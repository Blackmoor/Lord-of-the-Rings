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L36" i="2" l="1"/>
  <c r="AK36" i="2"/>
  <c r="AJ36" i="2"/>
  <c r="AI36" i="2"/>
  <c r="AH36" i="2"/>
  <c r="AG36" i="2"/>
  <c r="AF36" i="2"/>
  <c r="AE36" i="2"/>
  <c r="AD36" i="2"/>
  <c r="AC36" i="2"/>
  <c r="AB36" i="2"/>
  <c r="Z36" i="2"/>
  <c r="Y36" i="2"/>
  <c r="X36" i="2"/>
  <c r="W36" i="2"/>
  <c r="V36" i="2"/>
  <c r="T36" i="2"/>
  <c r="S36" i="2"/>
  <c r="R36" i="2"/>
  <c r="Q36" i="2"/>
  <c r="P36" i="2"/>
  <c r="O36" i="2"/>
  <c r="N36" i="2"/>
  <c r="L36" i="2"/>
  <c r="K36" i="2"/>
  <c r="J36" i="2" s="1"/>
  <c r="I36" i="2"/>
  <c r="H36" i="2"/>
  <c r="G36" i="2"/>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7" i="2"/>
  <c r="I38" i="2"/>
  <c r="I39" i="2"/>
  <c r="I41" i="2"/>
  <c r="I42" i="2"/>
  <c r="I43" i="2"/>
  <c r="I44" i="2"/>
  <c r="I45" i="2"/>
  <c r="I46" i="2"/>
  <c r="I47" i="2"/>
  <c r="I48" i="2"/>
  <c r="I49" i="2"/>
  <c r="I50" i="2"/>
  <c r="I51" i="2"/>
  <c r="I52" i="2"/>
  <c r="I53" i="2"/>
  <c r="I54" i="2"/>
  <c r="I40" i="2"/>
  <c r="L54" i="2"/>
  <c r="L53" i="2"/>
  <c r="L52" i="2"/>
  <c r="L51" i="2"/>
  <c r="L50" i="2"/>
  <c r="L49" i="2"/>
  <c r="L48" i="2"/>
  <c r="L47" i="2"/>
  <c r="L46" i="2"/>
  <c r="L45" i="2"/>
  <c r="L44" i="2"/>
  <c r="L43" i="2"/>
  <c r="L42" i="2"/>
  <c r="L41" i="2"/>
  <c r="L40" i="2"/>
  <c r="L39" i="2"/>
  <c r="L38" i="2"/>
  <c r="L37"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AL40" i="2"/>
  <c r="AK40" i="2"/>
  <c r="AJ40" i="2"/>
  <c r="AI40" i="2"/>
  <c r="AH40" i="2"/>
  <c r="AG40" i="2"/>
  <c r="AF40" i="2"/>
  <c r="AE40" i="2"/>
  <c r="AD40" i="2"/>
  <c r="AC40" i="2"/>
  <c r="AB40" i="2"/>
  <c r="Z40" i="2"/>
  <c r="Y40" i="2"/>
  <c r="X40" i="2"/>
  <c r="W40" i="2"/>
  <c r="V40" i="2"/>
  <c r="T40" i="2"/>
  <c r="S40" i="2"/>
  <c r="R40" i="2"/>
  <c r="Q40" i="2"/>
  <c r="P40" i="2"/>
  <c r="O40" i="2"/>
  <c r="N40" i="2"/>
  <c r="K40" i="2"/>
  <c r="J40" i="2" s="1"/>
  <c r="H40" i="2"/>
  <c r="G40" i="2"/>
  <c r="AL34" i="2" l="1"/>
  <c r="AK34" i="2"/>
  <c r="AJ34" i="2"/>
  <c r="AI34" i="2"/>
  <c r="AH34" i="2"/>
  <c r="AG34" i="2"/>
  <c r="AF34" i="2"/>
  <c r="AE34" i="2"/>
  <c r="AD34" i="2"/>
  <c r="AC34" i="2"/>
  <c r="AB34" i="2"/>
  <c r="Z34" i="2"/>
  <c r="Y34" i="2"/>
  <c r="X34" i="2"/>
  <c r="W34" i="2"/>
  <c r="V34" i="2"/>
  <c r="T34" i="2"/>
  <c r="S34" i="2"/>
  <c r="R34" i="2"/>
  <c r="Q34" i="2"/>
  <c r="P34" i="2"/>
  <c r="O34" i="2"/>
  <c r="N34" i="2"/>
  <c r="K34" i="2"/>
  <c r="J34" i="2" s="1"/>
  <c r="H34" i="2"/>
  <c r="G34" i="2"/>
  <c r="G15" i="2" l="1"/>
  <c r="H15" i="2"/>
  <c r="K15" i="2"/>
  <c r="J15" i="2" s="1"/>
  <c r="N15" i="2"/>
  <c r="O15" i="2"/>
  <c r="P15" i="2"/>
  <c r="Q15" i="2"/>
  <c r="R15" i="2"/>
  <c r="S15" i="2"/>
  <c r="T15" i="2"/>
  <c r="V15" i="2"/>
  <c r="W15" i="2"/>
  <c r="X15" i="2"/>
  <c r="Y15" i="2"/>
  <c r="Z15" i="2"/>
  <c r="AB15" i="2"/>
  <c r="AC15" i="2"/>
  <c r="AD15" i="2"/>
  <c r="AE15" i="2"/>
  <c r="AF15" i="2"/>
  <c r="AG15" i="2"/>
  <c r="AH15" i="2"/>
  <c r="AI15" i="2"/>
  <c r="AJ15" i="2"/>
  <c r="AK15" i="2"/>
  <c r="AL15" i="2"/>
  <c r="G16" i="2"/>
  <c r="H16" i="2"/>
  <c r="K16" i="2"/>
  <c r="J16" i="2" s="1"/>
  <c r="N16" i="2"/>
  <c r="O16" i="2"/>
  <c r="P16" i="2"/>
  <c r="Q16" i="2"/>
  <c r="R16" i="2"/>
  <c r="S16" i="2"/>
  <c r="T16" i="2"/>
  <c r="V16" i="2"/>
  <c r="W16" i="2"/>
  <c r="X16" i="2"/>
  <c r="Y16" i="2"/>
  <c r="Z16" i="2"/>
  <c r="AB16" i="2"/>
  <c r="AC16" i="2"/>
  <c r="AD16" i="2"/>
  <c r="AE16" i="2"/>
  <c r="AF16" i="2"/>
  <c r="AG16" i="2"/>
  <c r="AH16" i="2"/>
  <c r="AI16" i="2"/>
  <c r="AJ16" i="2"/>
  <c r="AK16" i="2"/>
  <c r="AL16" i="2"/>
  <c r="G17" i="2"/>
  <c r="H17" i="2"/>
  <c r="K17" i="2"/>
  <c r="J17" i="2" s="1"/>
  <c r="N17" i="2"/>
  <c r="O17" i="2"/>
  <c r="P17" i="2"/>
  <c r="Q17" i="2"/>
  <c r="R17" i="2"/>
  <c r="S17" i="2"/>
  <c r="T17" i="2"/>
  <c r="V17" i="2"/>
  <c r="W17" i="2"/>
  <c r="X17" i="2"/>
  <c r="Y17" i="2"/>
  <c r="Z17" i="2"/>
  <c r="AB17" i="2"/>
  <c r="AC17" i="2"/>
  <c r="AD17" i="2"/>
  <c r="AE17" i="2"/>
  <c r="AF17" i="2"/>
  <c r="AG17" i="2"/>
  <c r="AH17" i="2"/>
  <c r="AI17" i="2"/>
  <c r="AJ17" i="2"/>
  <c r="AK17" i="2"/>
  <c r="AL17" i="2"/>
  <c r="G18" i="2"/>
  <c r="H18" i="2"/>
  <c r="K18" i="2"/>
  <c r="J18" i="2" s="1"/>
  <c r="N18" i="2"/>
  <c r="O18" i="2"/>
  <c r="P18" i="2"/>
  <c r="Q18" i="2"/>
  <c r="R18" i="2"/>
  <c r="S18" i="2"/>
  <c r="T18" i="2"/>
  <c r="V18" i="2"/>
  <c r="W18" i="2"/>
  <c r="X18" i="2"/>
  <c r="Y18" i="2"/>
  <c r="Z18" i="2"/>
  <c r="AB18" i="2"/>
  <c r="AC18" i="2"/>
  <c r="AD18" i="2"/>
  <c r="AE18" i="2"/>
  <c r="AF18" i="2"/>
  <c r="AG18" i="2"/>
  <c r="AH18" i="2"/>
  <c r="AI18" i="2"/>
  <c r="AJ18" i="2"/>
  <c r="AK18" i="2"/>
  <c r="AL18" i="2"/>
  <c r="G19" i="2"/>
  <c r="H19" i="2"/>
  <c r="K19" i="2"/>
  <c r="J19" i="2" s="1"/>
  <c r="N19" i="2"/>
  <c r="O19" i="2"/>
  <c r="P19" i="2"/>
  <c r="Q19" i="2"/>
  <c r="R19" i="2"/>
  <c r="S19" i="2"/>
  <c r="T19" i="2"/>
  <c r="V19" i="2"/>
  <c r="W19" i="2"/>
  <c r="X19" i="2"/>
  <c r="Y19" i="2"/>
  <c r="Z19" i="2"/>
  <c r="AB19" i="2"/>
  <c r="AC19" i="2"/>
  <c r="AD19" i="2"/>
  <c r="AE19" i="2"/>
  <c r="AF19" i="2"/>
  <c r="AG19" i="2"/>
  <c r="AH19" i="2"/>
  <c r="AI19" i="2"/>
  <c r="AJ19" i="2"/>
  <c r="AK19" i="2"/>
  <c r="AL19" i="2"/>
  <c r="G20" i="2"/>
  <c r="H20" i="2"/>
  <c r="K20" i="2"/>
  <c r="J20" i="2" s="1"/>
  <c r="N20" i="2"/>
  <c r="O20" i="2"/>
  <c r="P20" i="2"/>
  <c r="Q20" i="2"/>
  <c r="R20" i="2"/>
  <c r="S20" i="2"/>
  <c r="T20" i="2"/>
  <c r="V20" i="2"/>
  <c r="W20" i="2"/>
  <c r="X20" i="2"/>
  <c r="Y20" i="2"/>
  <c r="Z20" i="2"/>
  <c r="AB20" i="2"/>
  <c r="AC20" i="2"/>
  <c r="AD20" i="2"/>
  <c r="AE20" i="2"/>
  <c r="AF20" i="2"/>
  <c r="AG20" i="2"/>
  <c r="AH20" i="2"/>
  <c r="AI20" i="2"/>
  <c r="AJ20" i="2"/>
  <c r="AK20" i="2"/>
  <c r="AL20" i="2"/>
  <c r="G21" i="2"/>
  <c r="H21" i="2"/>
  <c r="K21" i="2"/>
  <c r="J21" i="2" s="1"/>
  <c r="N21" i="2"/>
  <c r="O21" i="2"/>
  <c r="P21" i="2"/>
  <c r="Q21" i="2"/>
  <c r="R21" i="2"/>
  <c r="S21" i="2"/>
  <c r="T21" i="2"/>
  <c r="V21" i="2"/>
  <c r="W21" i="2"/>
  <c r="X21" i="2"/>
  <c r="Y21" i="2"/>
  <c r="Z21" i="2"/>
  <c r="AB21" i="2"/>
  <c r="AC21" i="2"/>
  <c r="AD21" i="2"/>
  <c r="AE21" i="2"/>
  <c r="AF21" i="2"/>
  <c r="AG21" i="2"/>
  <c r="AH21" i="2"/>
  <c r="AI21" i="2"/>
  <c r="AJ21" i="2"/>
  <c r="AK21" i="2"/>
  <c r="AL21" i="2"/>
  <c r="G22" i="2"/>
  <c r="H22" i="2"/>
  <c r="K22" i="2"/>
  <c r="J22" i="2" s="1"/>
  <c r="N22" i="2"/>
  <c r="O22" i="2"/>
  <c r="P22" i="2"/>
  <c r="Q22" i="2"/>
  <c r="R22" i="2"/>
  <c r="S22" i="2"/>
  <c r="T22" i="2"/>
  <c r="V22" i="2"/>
  <c r="W22" i="2"/>
  <c r="X22" i="2"/>
  <c r="Y22" i="2"/>
  <c r="Z22" i="2"/>
  <c r="AB22" i="2"/>
  <c r="AC22" i="2"/>
  <c r="AD22" i="2"/>
  <c r="AE22" i="2"/>
  <c r="AF22" i="2"/>
  <c r="AG22" i="2"/>
  <c r="AH22" i="2"/>
  <c r="AI22" i="2"/>
  <c r="AJ22" i="2"/>
  <c r="AK22" i="2"/>
  <c r="AL22" i="2"/>
  <c r="G23" i="2"/>
  <c r="H23" i="2"/>
  <c r="K23" i="2"/>
  <c r="J23" i="2" s="1"/>
  <c r="N23" i="2"/>
  <c r="O23" i="2"/>
  <c r="P23" i="2"/>
  <c r="Q23" i="2"/>
  <c r="R23" i="2"/>
  <c r="S23" i="2"/>
  <c r="T23" i="2"/>
  <c r="V23" i="2"/>
  <c r="W23" i="2"/>
  <c r="X23" i="2"/>
  <c r="Y23" i="2"/>
  <c r="Z23" i="2"/>
  <c r="AB23" i="2"/>
  <c r="AC23" i="2"/>
  <c r="AD23" i="2"/>
  <c r="AE23" i="2"/>
  <c r="AF23" i="2"/>
  <c r="AG23" i="2"/>
  <c r="AH23" i="2"/>
  <c r="AI23" i="2"/>
  <c r="AJ23" i="2"/>
  <c r="AK23" i="2"/>
  <c r="AL23" i="2"/>
  <c r="G24" i="2"/>
  <c r="H24" i="2"/>
  <c r="K24" i="2"/>
  <c r="J24" i="2" s="1"/>
  <c r="N24" i="2"/>
  <c r="O24" i="2"/>
  <c r="P24" i="2"/>
  <c r="Q24" i="2"/>
  <c r="R24" i="2"/>
  <c r="S24" i="2"/>
  <c r="T24" i="2"/>
  <c r="V24" i="2"/>
  <c r="W24" i="2"/>
  <c r="X24" i="2"/>
  <c r="Y24" i="2"/>
  <c r="Z24" i="2"/>
  <c r="AB24" i="2"/>
  <c r="AC24" i="2"/>
  <c r="AD24" i="2"/>
  <c r="AE24" i="2"/>
  <c r="AF24" i="2"/>
  <c r="AG24" i="2"/>
  <c r="AH24" i="2"/>
  <c r="AI24" i="2"/>
  <c r="AJ24" i="2"/>
  <c r="AK24" i="2"/>
  <c r="AL24" i="2"/>
  <c r="G25" i="2"/>
  <c r="H25" i="2"/>
  <c r="K25" i="2"/>
  <c r="J25" i="2" s="1"/>
  <c r="N25" i="2"/>
  <c r="O25" i="2"/>
  <c r="P25" i="2"/>
  <c r="Q25" i="2"/>
  <c r="R25" i="2"/>
  <c r="S25" i="2"/>
  <c r="T25" i="2"/>
  <c r="V25" i="2"/>
  <c r="W25" i="2"/>
  <c r="X25" i="2"/>
  <c r="Y25" i="2"/>
  <c r="Z25" i="2"/>
  <c r="AB25" i="2"/>
  <c r="AC25" i="2"/>
  <c r="AD25" i="2"/>
  <c r="AE25" i="2"/>
  <c r="AF25" i="2"/>
  <c r="AG25" i="2"/>
  <c r="AH25" i="2"/>
  <c r="AI25" i="2"/>
  <c r="AJ25" i="2"/>
  <c r="AK25" i="2"/>
  <c r="AL25" i="2"/>
  <c r="G26" i="2"/>
  <c r="H26" i="2"/>
  <c r="K26" i="2"/>
  <c r="J26" i="2" s="1"/>
  <c r="N26" i="2"/>
  <c r="O26" i="2"/>
  <c r="P26" i="2"/>
  <c r="Q26" i="2"/>
  <c r="R26" i="2"/>
  <c r="S26" i="2"/>
  <c r="T26" i="2"/>
  <c r="V26" i="2"/>
  <c r="W26" i="2"/>
  <c r="X26" i="2"/>
  <c r="Y26" i="2"/>
  <c r="Z26" i="2"/>
  <c r="AB26" i="2"/>
  <c r="AC26" i="2"/>
  <c r="AD26" i="2"/>
  <c r="AE26" i="2"/>
  <c r="AF26" i="2"/>
  <c r="AG26" i="2"/>
  <c r="AH26" i="2"/>
  <c r="AI26" i="2"/>
  <c r="AJ26" i="2"/>
  <c r="AK26" i="2"/>
  <c r="AL26" i="2"/>
  <c r="G27" i="2"/>
  <c r="H27" i="2"/>
  <c r="K27" i="2"/>
  <c r="J27" i="2" s="1"/>
  <c r="N27" i="2"/>
  <c r="O27" i="2"/>
  <c r="P27" i="2"/>
  <c r="Q27" i="2"/>
  <c r="R27" i="2"/>
  <c r="S27" i="2"/>
  <c r="T27" i="2"/>
  <c r="V27" i="2"/>
  <c r="W27" i="2"/>
  <c r="X27" i="2"/>
  <c r="Y27" i="2"/>
  <c r="Z27" i="2"/>
  <c r="AB27" i="2"/>
  <c r="AC27" i="2"/>
  <c r="AD27" i="2"/>
  <c r="AE27" i="2"/>
  <c r="AF27" i="2"/>
  <c r="AG27" i="2"/>
  <c r="AH27" i="2"/>
  <c r="AI27" i="2"/>
  <c r="AJ27" i="2"/>
  <c r="AK27" i="2"/>
  <c r="AL27" i="2"/>
  <c r="G28" i="2"/>
  <c r="H28" i="2"/>
  <c r="K28" i="2"/>
  <c r="J28" i="2" s="1"/>
  <c r="N28" i="2"/>
  <c r="O28" i="2"/>
  <c r="P28" i="2"/>
  <c r="Q28" i="2"/>
  <c r="R28" i="2"/>
  <c r="S28" i="2"/>
  <c r="T28" i="2"/>
  <c r="V28" i="2"/>
  <c r="W28" i="2"/>
  <c r="X28" i="2"/>
  <c r="Y28" i="2"/>
  <c r="Z28" i="2"/>
  <c r="AB28" i="2"/>
  <c r="AC28" i="2"/>
  <c r="AD28" i="2"/>
  <c r="AE28" i="2"/>
  <c r="AF28" i="2"/>
  <c r="AG28" i="2"/>
  <c r="AH28" i="2"/>
  <c r="AI28" i="2"/>
  <c r="AJ28" i="2"/>
  <c r="AK28" i="2"/>
  <c r="AL28" i="2"/>
  <c r="G29" i="2"/>
  <c r="H29" i="2"/>
  <c r="K29" i="2"/>
  <c r="J29" i="2" s="1"/>
  <c r="N29" i="2"/>
  <c r="O29" i="2"/>
  <c r="P29" i="2"/>
  <c r="Q29" i="2"/>
  <c r="R29" i="2"/>
  <c r="S29" i="2"/>
  <c r="T29" i="2"/>
  <c r="V29" i="2"/>
  <c r="W29" i="2"/>
  <c r="X29" i="2"/>
  <c r="Y29" i="2"/>
  <c r="Z29" i="2"/>
  <c r="AB29" i="2"/>
  <c r="AC29" i="2"/>
  <c r="AD29" i="2"/>
  <c r="AE29" i="2"/>
  <c r="AF29" i="2"/>
  <c r="AG29" i="2"/>
  <c r="AH29" i="2"/>
  <c r="AI29" i="2"/>
  <c r="AJ29" i="2"/>
  <c r="AK29" i="2"/>
  <c r="AL29" i="2"/>
  <c r="G30" i="2"/>
  <c r="H30" i="2"/>
  <c r="K30" i="2"/>
  <c r="J30" i="2" s="1"/>
  <c r="N30" i="2"/>
  <c r="O30" i="2"/>
  <c r="P30" i="2"/>
  <c r="Q30" i="2"/>
  <c r="R30" i="2"/>
  <c r="S30" i="2"/>
  <c r="T30" i="2"/>
  <c r="V30" i="2"/>
  <c r="W30" i="2"/>
  <c r="X30" i="2"/>
  <c r="Y30" i="2"/>
  <c r="Z30" i="2"/>
  <c r="AB30" i="2"/>
  <c r="AC30" i="2"/>
  <c r="AD30" i="2"/>
  <c r="AE30" i="2"/>
  <c r="AF30" i="2"/>
  <c r="AG30" i="2"/>
  <c r="AH30" i="2"/>
  <c r="AI30" i="2"/>
  <c r="AJ30" i="2"/>
  <c r="AK30" i="2"/>
  <c r="AL30" i="2"/>
  <c r="G31" i="2"/>
  <c r="H31" i="2"/>
  <c r="K31" i="2"/>
  <c r="J31" i="2" s="1"/>
  <c r="N31" i="2"/>
  <c r="O31" i="2"/>
  <c r="P31" i="2"/>
  <c r="Q31" i="2"/>
  <c r="R31" i="2"/>
  <c r="S31" i="2"/>
  <c r="T31" i="2"/>
  <c r="V31" i="2"/>
  <c r="W31" i="2"/>
  <c r="X31" i="2"/>
  <c r="Y31" i="2"/>
  <c r="Z31" i="2"/>
  <c r="AB31" i="2"/>
  <c r="AC31" i="2"/>
  <c r="AD31" i="2"/>
  <c r="AE31" i="2"/>
  <c r="AF31" i="2"/>
  <c r="AG31" i="2"/>
  <c r="AH31" i="2"/>
  <c r="AI31" i="2"/>
  <c r="AJ31" i="2"/>
  <c r="AK31" i="2"/>
  <c r="AL31" i="2"/>
  <c r="G32" i="2"/>
  <c r="H32" i="2"/>
  <c r="K32" i="2"/>
  <c r="J32" i="2" s="1"/>
  <c r="N32" i="2"/>
  <c r="O32" i="2"/>
  <c r="P32" i="2"/>
  <c r="Q32" i="2"/>
  <c r="R32" i="2"/>
  <c r="S32" i="2"/>
  <c r="T32" i="2"/>
  <c r="V32" i="2"/>
  <c r="W32" i="2"/>
  <c r="X32" i="2"/>
  <c r="Y32" i="2"/>
  <c r="Z32" i="2"/>
  <c r="AB32" i="2"/>
  <c r="AC32" i="2"/>
  <c r="AD32" i="2"/>
  <c r="AE32" i="2"/>
  <c r="AF32" i="2"/>
  <c r="AG32" i="2"/>
  <c r="AH32" i="2"/>
  <c r="AI32" i="2"/>
  <c r="AJ32" i="2"/>
  <c r="AK32" i="2"/>
  <c r="AL32" i="2"/>
  <c r="G33" i="2"/>
  <c r="H33" i="2"/>
  <c r="K33" i="2"/>
  <c r="J33" i="2" s="1"/>
  <c r="N33" i="2"/>
  <c r="O33" i="2"/>
  <c r="P33" i="2"/>
  <c r="Q33" i="2"/>
  <c r="R33" i="2"/>
  <c r="S33" i="2"/>
  <c r="T33" i="2"/>
  <c r="V33" i="2"/>
  <c r="W33" i="2"/>
  <c r="X33" i="2"/>
  <c r="Y33" i="2"/>
  <c r="Z33" i="2"/>
  <c r="AB33" i="2"/>
  <c r="AC33" i="2"/>
  <c r="AD33" i="2"/>
  <c r="AE33" i="2"/>
  <c r="AF33" i="2"/>
  <c r="AG33" i="2"/>
  <c r="AH33" i="2"/>
  <c r="AI33" i="2"/>
  <c r="AJ33" i="2"/>
  <c r="AK33" i="2"/>
  <c r="AL33" i="2"/>
  <c r="G35" i="2"/>
  <c r="H35" i="2"/>
  <c r="K35" i="2"/>
  <c r="J35" i="2" s="1"/>
  <c r="N35" i="2"/>
  <c r="O35" i="2"/>
  <c r="P35" i="2"/>
  <c r="Q35" i="2"/>
  <c r="R35" i="2"/>
  <c r="S35" i="2"/>
  <c r="T35" i="2"/>
  <c r="V35" i="2"/>
  <c r="W35" i="2"/>
  <c r="X35" i="2"/>
  <c r="Y35" i="2"/>
  <c r="Z35" i="2"/>
  <c r="AB35" i="2"/>
  <c r="AC35" i="2"/>
  <c r="AD35" i="2"/>
  <c r="AE35" i="2"/>
  <c r="AF35" i="2"/>
  <c r="AG35" i="2"/>
  <c r="AH35" i="2"/>
  <c r="AI35" i="2"/>
  <c r="AJ35" i="2"/>
  <c r="AK35" i="2"/>
  <c r="AL35" i="2"/>
  <c r="G37" i="2"/>
  <c r="H37" i="2"/>
  <c r="K37" i="2"/>
  <c r="J37" i="2" s="1"/>
  <c r="N37" i="2"/>
  <c r="O37" i="2"/>
  <c r="P37" i="2"/>
  <c r="Q37" i="2"/>
  <c r="R37" i="2"/>
  <c r="S37" i="2"/>
  <c r="T37" i="2"/>
  <c r="V37" i="2"/>
  <c r="W37" i="2"/>
  <c r="X37" i="2"/>
  <c r="Y37" i="2"/>
  <c r="Z37" i="2"/>
  <c r="AB37" i="2"/>
  <c r="AC37" i="2"/>
  <c r="AD37" i="2"/>
  <c r="AE37" i="2"/>
  <c r="AF37" i="2"/>
  <c r="AG37" i="2"/>
  <c r="AH37" i="2"/>
  <c r="AI37" i="2"/>
  <c r="AJ37" i="2"/>
  <c r="AK37" i="2"/>
  <c r="AL37" i="2"/>
  <c r="G38" i="2"/>
  <c r="H38" i="2"/>
  <c r="K38" i="2"/>
  <c r="J38" i="2" s="1"/>
  <c r="N38" i="2"/>
  <c r="O38" i="2"/>
  <c r="P38" i="2"/>
  <c r="Q38" i="2"/>
  <c r="R38" i="2"/>
  <c r="S38" i="2"/>
  <c r="T38" i="2"/>
  <c r="V38" i="2"/>
  <c r="W38" i="2"/>
  <c r="X38" i="2"/>
  <c r="Y38" i="2"/>
  <c r="Z38" i="2"/>
  <c r="AB38" i="2"/>
  <c r="AC38" i="2"/>
  <c r="AD38" i="2"/>
  <c r="AE38" i="2"/>
  <c r="AF38" i="2"/>
  <c r="AG38" i="2"/>
  <c r="AH38" i="2"/>
  <c r="AI38" i="2"/>
  <c r="AJ38" i="2"/>
  <c r="AK38" i="2"/>
  <c r="AL38" i="2"/>
  <c r="G39" i="2"/>
  <c r="H39" i="2"/>
  <c r="K39" i="2"/>
  <c r="J39" i="2" s="1"/>
  <c r="N39" i="2"/>
  <c r="O39" i="2"/>
  <c r="P39" i="2"/>
  <c r="Q39" i="2"/>
  <c r="R39" i="2"/>
  <c r="S39" i="2"/>
  <c r="T39" i="2"/>
  <c r="V39" i="2"/>
  <c r="W39" i="2"/>
  <c r="X39" i="2"/>
  <c r="Y39" i="2"/>
  <c r="Z39" i="2"/>
  <c r="AB39" i="2"/>
  <c r="AC39" i="2"/>
  <c r="AD39" i="2"/>
  <c r="AE39" i="2"/>
  <c r="AF39" i="2"/>
  <c r="AG39" i="2"/>
  <c r="AH39" i="2"/>
  <c r="AI39" i="2"/>
  <c r="AJ39" i="2"/>
  <c r="AK39" i="2"/>
  <c r="AL39" i="2"/>
  <c r="G41" i="2"/>
  <c r="H41" i="2"/>
  <c r="K41" i="2"/>
  <c r="J41" i="2" s="1"/>
  <c r="N41" i="2"/>
  <c r="O41" i="2"/>
  <c r="P41" i="2"/>
  <c r="Q41" i="2"/>
  <c r="R41" i="2"/>
  <c r="S41" i="2"/>
  <c r="T41" i="2"/>
  <c r="V41" i="2"/>
  <c r="W41" i="2"/>
  <c r="X41" i="2"/>
  <c r="Y41" i="2"/>
  <c r="Z41" i="2"/>
  <c r="AB41" i="2"/>
  <c r="AC41" i="2"/>
  <c r="AD41" i="2"/>
  <c r="AE41" i="2"/>
  <c r="AF41" i="2"/>
  <c r="AG41" i="2"/>
  <c r="AH41" i="2"/>
  <c r="AI41" i="2"/>
  <c r="AJ41" i="2"/>
  <c r="AK41" i="2"/>
  <c r="AL41" i="2"/>
  <c r="G42" i="2"/>
  <c r="H42" i="2"/>
  <c r="K42" i="2"/>
  <c r="J42" i="2" s="1"/>
  <c r="N42" i="2"/>
  <c r="O42" i="2"/>
  <c r="P42" i="2"/>
  <c r="Q42" i="2"/>
  <c r="R42" i="2"/>
  <c r="S42" i="2"/>
  <c r="T42" i="2"/>
  <c r="V42" i="2"/>
  <c r="W42" i="2"/>
  <c r="X42" i="2"/>
  <c r="Y42" i="2"/>
  <c r="Z42" i="2"/>
  <c r="AB42" i="2"/>
  <c r="AC42" i="2"/>
  <c r="AD42" i="2"/>
  <c r="AE42" i="2"/>
  <c r="AF42" i="2"/>
  <c r="AG42" i="2"/>
  <c r="AH42" i="2"/>
  <c r="AI42" i="2"/>
  <c r="AJ42" i="2"/>
  <c r="AK42" i="2"/>
  <c r="AL42" i="2"/>
  <c r="G43" i="2"/>
  <c r="H43" i="2"/>
  <c r="K43" i="2"/>
  <c r="J43" i="2" s="1"/>
  <c r="N43" i="2"/>
  <c r="O43" i="2"/>
  <c r="P43" i="2"/>
  <c r="Q43" i="2"/>
  <c r="R43" i="2"/>
  <c r="S43" i="2"/>
  <c r="T43" i="2"/>
  <c r="V43" i="2"/>
  <c r="W43" i="2"/>
  <c r="X43" i="2"/>
  <c r="Y43" i="2"/>
  <c r="Z43" i="2"/>
  <c r="AB43" i="2"/>
  <c r="AC43" i="2"/>
  <c r="AD43" i="2"/>
  <c r="AE43" i="2"/>
  <c r="AF43" i="2"/>
  <c r="AG43" i="2"/>
  <c r="AH43" i="2"/>
  <c r="AI43" i="2"/>
  <c r="AJ43" i="2"/>
  <c r="AK43" i="2"/>
  <c r="AL43" i="2"/>
  <c r="G44" i="2"/>
  <c r="H44" i="2"/>
  <c r="K44" i="2"/>
  <c r="J44" i="2" s="1"/>
  <c r="N44" i="2"/>
  <c r="O44" i="2"/>
  <c r="P44" i="2"/>
  <c r="Q44" i="2"/>
  <c r="R44" i="2"/>
  <c r="S44" i="2"/>
  <c r="T44" i="2"/>
  <c r="V44" i="2"/>
  <c r="W44" i="2"/>
  <c r="X44" i="2"/>
  <c r="Y44" i="2"/>
  <c r="Z44" i="2"/>
  <c r="AB44" i="2"/>
  <c r="AC44" i="2"/>
  <c r="AD44" i="2"/>
  <c r="AE44" i="2"/>
  <c r="AF44" i="2"/>
  <c r="AG44" i="2"/>
  <c r="AH44" i="2"/>
  <c r="AI44" i="2"/>
  <c r="AJ44" i="2"/>
  <c r="AK44" i="2"/>
  <c r="AL44" i="2"/>
  <c r="G45" i="2"/>
  <c r="H45" i="2"/>
  <c r="K45" i="2"/>
  <c r="J45" i="2" s="1"/>
  <c r="N45" i="2"/>
  <c r="O45" i="2"/>
  <c r="P45" i="2"/>
  <c r="Q45" i="2"/>
  <c r="R45" i="2"/>
  <c r="S45" i="2"/>
  <c r="T45" i="2"/>
  <c r="V45" i="2"/>
  <c r="W45" i="2"/>
  <c r="X45" i="2"/>
  <c r="Y45" i="2"/>
  <c r="Z45" i="2"/>
  <c r="AB45" i="2"/>
  <c r="AC45" i="2"/>
  <c r="AD45" i="2"/>
  <c r="AE45" i="2"/>
  <c r="AF45" i="2"/>
  <c r="AG45" i="2"/>
  <c r="AH45" i="2"/>
  <c r="AI45" i="2"/>
  <c r="AJ45" i="2"/>
  <c r="AK45" i="2"/>
  <c r="AL45" i="2"/>
  <c r="G46" i="2"/>
  <c r="H46" i="2"/>
  <c r="K46" i="2"/>
  <c r="J46" i="2" s="1"/>
  <c r="N46" i="2"/>
  <c r="O46" i="2"/>
  <c r="P46" i="2"/>
  <c r="Q46" i="2"/>
  <c r="R46" i="2"/>
  <c r="S46" i="2"/>
  <c r="T46" i="2"/>
  <c r="V46" i="2"/>
  <c r="W46" i="2"/>
  <c r="X46" i="2"/>
  <c r="Y46" i="2"/>
  <c r="Z46" i="2"/>
  <c r="AB46" i="2"/>
  <c r="AC46" i="2"/>
  <c r="AD46" i="2"/>
  <c r="AE46" i="2"/>
  <c r="AF46" i="2"/>
  <c r="AG46" i="2"/>
  <c r="AH46" i="2"/>
  <c r="AI46" i="2"/>
  <c r="AJ46" i="2"/>
  <c r="AK46" i="2"/>
  <c r="AL46" i="2"/>
  <c r="G47" i="2"/>
  <c r="H47" i="2"/>
  <c r="K47" i="2"/>
  <c r="J47" i="2" s="1"/>
  <c r="N47" i="2"/>
  <c r="O47" i="2"/>
  <c r="P47" i="2"/>
  <c r="Q47" i="2"/>
  <c r="R47" i="2"/>
  <c r="S47" i="2"/>
  <c r="T47" i="2"/>
  <c r="V47" i="2"/>
  <c r="W47" i="2"/>
  <c r="X47" i="2"/>
  <c r="Y47" i="2"/>
  <c r="Z47" i="2"/>
  <c r="AB47" i="2"/>
  <c r="AC47" i="2"/>
  <c r="AD47" i="2"/>
  <c r="AE47" i="2"/>
  <c r="AF47" i="2"/>
  <c r="AG47" i="2"/>
  <c r="AH47" i="2"/>
  <c r="AI47" i="2"/>
  <c r="AJ47" i="2"/>
  <c r="AK47" i="2"/>
  <c r="AL47" i="2"/>
  <c r="G48" i="2"/>
  <c r="H48" i="2"/>
  <c r="K48" i="2"/>
  <c r="J48" i="2" s="1"/>
  <c r="N48" i="2"/>
  <c r="O48" i="2"/>
  <c r="P48" i="2"/>
  <c r="Q48" i="2"/>
  <c r="R48" i="2"/>
  <c r="S48" i="2"/>
  <c r="T48" i="2"/>
  <c r="V48" i="2"/>
  <c r="W48" i="2"/>
  <c r="X48" i="2"/>
  <c r="Y48" i="2"/>
  <c r="Z48" i="2"/>
  <c r="AB48" i="2"/>
  <c r="AC48" i="2"/>
  <c r="AD48" i="2"/>
  <c r="AE48" i="2"/>
  <c r="AF48" i="2"/>
  <c r="AG48" i="2"/>
  <c r="AH48" i="2"/>
  <c r="AI48" i="2"/>
  <c r="AJ48" i="2"/>
  <c r="AK48" i="2"/>
  <c r="AL48" i="2"/>
  <c r="G49" i="2"/>
  <c r="H49" i="2"/>
  <c r="K49" i="2"/>
  <c r="J49" i="2" s="1"/>
  <c r="N49" i="2"/>
  <c r="O49" i="2"/>
  <c r="P49" i="2"/>
  <c r="Q49" i="2"/>
  <c r="R49" i="2"/>
  <c r="S49" i="2"/>
  <c r="T49" i="2"/>
  <c r="V49" i="2"/>
  <c r="W49" i="2"/>
  <c r="X49" i="2"/>
  <c r="Y49" i="2"/>
  <c r="Z49" i="2"/>
  <c r="AB49" i="2"/>
  <c r="AC49" i="2"/>
  <c r="AD49" i="2"/>
  <c r="AE49" i="2"/>
  <c r="AF49" i="2"/>
  <c r="AG49" i="2"/>
  <c r="AH49" i="2"/>
  <c r="AI49" i="2"/>
  <c r="AJ49" i="2"/>
  <c r="AK49" i="2"/>
  <c r="AL49" i="2"/>
  <c r="G50" i="2"/>
  <c r="H50" i="2"/>
  <c r="K50" i="2"/>
  <c r="J50" i="2" s="1"/>
  <c r="N50" i="2"/>
  <c r="O50" i="2"/>
  <c r="P50" i="2"/>
  <c r="Q50" i="2"/>
  <c r="R50" i="2"/>
  <c r="S50" i="2"/>
  <c r="T50" i="2"/>
  <c r="V50" i="2"/>
  <c r="W50" i="2"/>
  <c r="X50" i="2"/>
  <c r="Y50" i="2"/>
  <c r="Z50" i="2"/>
  <c r="AB50" i="2"/>
  <c r="AC50" i="2"/>
  <c r="AD50" i="2"/>
  <c r="AE50" i="2"/>
  <c r="AF50" i="2"/>
  <c r="AG50" i="2"/>
  <c r="AH50" i="2"/>
  <c r="AI50" i="2"/>
  <c r="AJ50" i="2"/>
  <c r="AK50" i="2"/>
  <c r="AL50" i="2"/>
  <c r="G51" i="2"/>
  <c r="H51" i="2"/>
  <c r="K51" i="2"/>
  <c r="J51" i="2" s="1"/>
  <c r="N51" i="2"/>
  <c r="O51" i="2"/>
  <c r="P51" i="2"/>
  <c r="Q51" i="2"/>
  <c r="R51" i="2"/>
  <c r="S51" i="2"/>
  <c r="T51" i="2"/>
  <c r="V51" i="2"/>
  <c r="W51" i="2"/>
  <c r="X51" i="2"/>
  <c r="Y51" i="2"/>
  <c r="Z51" i="2"/>
  <c r="AB51" i="2"/>
  <c r="AC51" i="2"/>
  <c r="AD51" i="2"/>
  <c r="AE51" i="2"/>
  <c r="AF51" i="2"/>
  <c r="AG51" i="2"/>
  <c r="AH51" i="2"/>
  <c r="AI51" i="2"/>
  <c r="AJ51" i="2"/>
  <c r="AK51" i="2"/>
  <c r="AL51" i="2"/>
  <c r="G52" i="2"/>
  <c r="H52" i="2"/>
  <c r="K52" i="2"/>
  <c r="J52" i="2" s="1"/>
  <c r="N52" i="2"/>
  <c r="O52" i="2"/>
  <c r="P52" i="2"/>
  <c r="Q52" i="2"/>
  <c r="R52" i="2"/>
  <c r="S52" i="2"/>
  <c r="T52" i="2"/>
  <c r="V52" i="2"/>
  <c r="W52" i="2"/>
  <c r="X52" i="2"/>
  <c r="Y52" i="2"/>
  <c r="Z52" i="2"/>
  <c r="AB52" i="2"/>
  <c r="AC52" i="2"/>
  <c r="AD52" i="2"/>
  <c r="AE52" i="2"/>
  <c r="AF52" i="2"/>
  <c r="AG52" i="2"/>
  <c r="AH52" i="2"/>
  <c r="AI52" i="2"/>
  <c r="AJ52" i="2"/>
  <c r="AK52" i="2"/>
  <c r="AL52" i="2"/>
  <c r="G53" i="2"/>
  <c r="H53" i="2"/>
  <c r="K53" i="2"/>
  <c r="J53" i="2" s="1"/>
  <c r="N53" i="2"/>
  <c r="O53" i="2"/>
  <c r="P53" i="2"/>
  <c r="Q53" i="2"/>
  <c r="R53" i="2"/>
  <c r="S53" i="2"/>
  <c r="T53" i="2"/>
  <c r="V53" i="2"/>
  <c r="W53" i="2"/>
  <c r="X53" i="2"/>
  <c r="Y53" i="2"/>
  <c r="Z53" i="2"/>
  <c r="AB53" i="2"/>
  <c r="AC53" i="2"/>
  <c r="AD53" i="2"/>
  <c r="AE53" i="2"/>
  <c r="AF53" i="2"/>
  <c r="AG53" i="2"/>
  <c r="AH53" i="2"/>
  <c r="AI53" i="2"/>
  <c r="AJ53" i="2"/>
  <c r="AK53" i="2"/>
  <c r="AL53" i="2"/>
  <c r="G54" i="2"/>
  <c r="H54" i="2"/>
  <c r="K54" i="2"/>
  <c r="J54" i="2" s="1"/>
  <c r="N54" i="2"/>
  <c r="O54" i="2"/>
  <c r="P54" i="2"/>
  <c r="Q54" i="2"/>
  <c r="R54" i="2"/>
  <c r="S54" i="2"/>
  <c r="T54" i="2"/>
  <c r="V54" i="2"/>
  <c r="W54" i="2"/>
  <c r="X54" i="2"/>
  <c r="Y54" i="2"/>
  <c r="Z54" i="2"/>
  <c r="AB54" i="2"/>
  <c r="AC54" i="2"/>
  <c r="AD54" i="2"/>
  <c r="AE54" i="2"/>
  <c r="AF54" i="2"/>
  <c r="AG54" i="2"/>
  <c r="AH54" i="2"/>
  <c r="AI54" i="2"/>
  <c r="AJ54" i="2"/>
  <c r="AK54" i="2"/>
  <c r="AL54" i="2"/>
  <c r="AL14" i="2"/>
  <c r="AK14" i="2"/>
  <c r="AJ14" i="2"/>
  <c r="AI14" i="2"/>
  <c r="AH14" i="2"/>
  <c r="AG14" i="2"/>
  <c r="AF14" i="2"/>
  <c r="AE14" i="2"/>
  <c r="AD14" i="2"/>
  <c r="AC14" i="2"/>
  <c r="AB14" i="2"/>
  <c r="Z14" i="2"/>
  <c r="Y14" i="2"/>
  <c r="X14" i="2"/>
  <c r="W14" i="2"/>
  <c r="V14" i="2"/>
  <c r="T14" i="2"/>
  <c r="S14" i="2"/>
  <c r="R14" i="2"/>
  <c r="Q14" i="2"/>
  <c r="P14" i="2"/>
  <c r="O14" i="2"/>
  <c r="N14" i="2"/>
  <c r="K14" i="2"/>
  <c r="J14" i="2" s="1"/>
  <c r="H14" i="2"/>
  <c r="G14" i="2"/>
  <c r="AL13" i="2"/>
  <c r="AK13" i="2"/>
  <c r="AJ13" i="2"/>
  <c r="AI13" i="2"/>
  <c r="AH13" i="2"/>
  <c r="AG13" i="2"/>
  <c r="AF13" i="2"/>
  <c r="AE13" i="2"/>
  <c r="AD13" i="2"/>
  <c r="AC13" i="2"/>
  <c r="AB13" i="2"/>
  <c r="Z13" i="2"/>
  <c r="Y13" i="2"/>
  <c r="X13" i="2"/>
  <c r="W13" i="2"/>
  <c r="V13" i="2"/>
  <c r="T13" i="2"/>
  <c r="S13" i="2"/>
  <c r="R13" i="2"/>
  <c r="Q13" i="2"/>
  <c r="P13" i="2"/>
  <c r="O13" i="2"/>
  <c r="N13" i="2"/>
  <c r="K13" i="2"/>
  <c r="J13" i="2" s="1"/>
  <c r="H13" i="2"/>
  <c r="G13" i="2"/>
  <c r="AL12" i="2"/>
  <c r="AK12" i="2"/>
  <c r="AJ12" i="2"/>
  <c r="AI12" i="2"/>
  <c r="AH12" i="2"/>
  <c r="AG12" i="2"/>
  <c r="AF12" i="2"/>
  <c r="AE12" i="2"/>
  <c r="AD12" i="2"/>
  <c r="AC12" i="2"/>
  <c r="AB12" i="2"/>
  <c r="Z12" i="2"/>
  <c r="Y12" i="2"/>
  <c r="X12" i="2"/>
  <c r="W12" i="2"/>
  <c r="V12" i="2"/>
  <c r="T12" i="2"/>
  <c r="S12" i="2"/>
  <c r="R12" i="2"/>
  <c r="Q12" i="2"/>
  <c r="P12" i="2"/>
  <c r="O12" i="2"/>
  <c r="N12" i="2"/>
  <c r="K12" i="2"/>
  <c r="J12" i="2" s="1"/>
  <c r="H12" i="2"/>
  <c r="G12" i="2"/>
  <c r="AL11" i="2"/>
  <c r="AK11" i="2"/>
  <c r="AJ11" i="2"/>
  <c r="AI11" i="2"/>
  <c r="AH11" i="2"/>
  <c r="AG11" i="2"/>
  <c r="AF11" i="2"/>
  <c r="AE11" i="2"/>
  <c r="AD11" i="2"/>
  <c r="AC11" i="2"/>
  <c r="AB11" i="2"/>
  <c r="Z11" i="2"/>
  <c r="Y11" i="2"/>
  <c r="X11" i="2"/>
  <c r="W11" i="2"/>
  <c r="V11" i="2"/>
  <c r="T11" i="2"/>
  <c r="S11" i="2"/>
  <c r="R11" i="2"/>
  <c r="Q11" i="2"/>
  <c r="P11" i="2"/>
  <c r="O11" i="2"/>
  <c r="N11" i="2"/>
  <c r="K11" i="2"/>
  <c r="J11" i="2" s="1"/>
  <c r="H11" i="2"/>
  <c r="G11" i="2"/>
  <c r="AL10" i="2"/>
  <c r="AK10" i="2"/>
  <c r="AJ10" i="2"/>
  <c r="AI10" i="2"/>
  <c r="AH10" i="2"/>
  <c r="AG10" i="2"/>
  <c r="AF10" i="2"/>
  <c r="AE10" i="2"/>
  <c r="AD10" i="2"/>
  <c r="AC10" i="2"/>
  <c r="AB10" i="2"/>
  <c r="Z10" i="2"/>
  <c r="Y10" i="2"/>
  <c r="X10" i="2"/>
  <c r="W10" i="2"/>
  <c r="V10" i="2"/>
  <c r="T10" i="2"/>
  <c r="S10" i="2"/>
  <c r="R10" i="2"/>
  <c r="Q10" i="2"/>
  <c r="P10" i="2"/>
  <c r="O10" i="2"/>
  <c r="N10" i="2"/>
  <c r="K10" i="2"/>
  <c r="J10" i="2" s="1"/>
  <c r="H10" i="2"/>
  <c r="G10" i="2"/>
  <c r="AL9" i="2"/>
  <c r="AK9" i="2"/>
  <c r="AJ9" i="2"/>
  <c r="AI9" i="2"/>
  <c r="AH9" i="2"/>
  <c r="AG9" i="2"/>
  <c r="AF9" i="2"/>
  <c r="AE9" i="2"/>
  <c r="AD9" i="2"/>
  <c r="AC9" i="2"/>
  <c r="AB9" i="2"/>
  <c r="Z9" i="2"/>
  <c r="Y9" i="2"/>
  <c r="X9" i="2"/>
  <c r="W9" i="2"/>
  <c r="V9" i="2"/>
  <c r="T9" i="2"/>
  <c r="S9" i="2"/>
  <c r="R9" i="2"/>
  <c r="Q9" i="2"/>
  <c r="P9" i="2"/>
  <c r="O9" i="2"/>
  <c r="N9" i="2"/>
  <c r="K9" i="2"/>
  <c r="J9" i="2" s="1"/>
  <c r="H9" i="2"/>
  <c r="G9" i="2"/>
  <c r="AL8" i="2"/>
  <c r="AK8" i="2"/>
  <c r="AJ8" i="2"/>
  <c r="AI8" i="2"/>
  <c r="AH8" i="2"/>
  <c r="AG8" i="2"/>
  <c r="AF8" i="2"/>
  <c r="AE8" i="2"/>
  <c r="AD8" i="2"/>
  <c r="AC8" i="2"/>
  <c r="AB8" i="2"/>
  <c r="Z8" i="2"/>
  <c r="Y8" i="2"/>
  <c r="X8" i="2"/>
  <c r="W8" i="2"/>
  <c r="V8" i="2"/>
  <c r="T8" i="2"/>
  <c r="S8" i="2"/>
  <c r="R8" i="2"/>
  <c r="Q8" i="2"/>
  <c r="P8" i="2"/>
  <c r="O8" i="2"/>
  <c r="N8" i="2"/>
  <c r="K8" i="2"/>
  <c r="J8" i="2" s="1"/>
  <c r="H8" i="2"/>
  <c r="G8" i="2"/>
  <c r="AL7" i="2"/>
  <c r="AK7" i="2"/>
  <c r="AJ7" i="2"/>
  <c r="AI7" i="2"/>
  <c r="AH7" i="2"/>
  <c r="AG7" i="2"/>
  <c r="AF7" i="2"/>
  <c r="AE7" i="2"/>
  <c r="AD7" i="2"/>
  <c r="AC7" i="2"/>
  <c r="AB7" i="2"/>
  <c r="Z7" i="2"/>
  <c r="Y7" i="2"/>
  <c r="X7" i="2"/>
  <c r="W7" i="2"/>
  <c r="V7" i="2"/>
  <c r="T7" i="2"/>
  <c r="S7" i="2"/>
  <c r="R7" i="2"/>
  <c r="Q7" i="2"/>
  <c r="P7" i="2"/>
  <c r="O7" i="2"/>
  <c r="N7" i="2"/>
  <c r="K7" i="2"/>
  <c r="J7" i="2" s="1"/>
  <c r="H7" i="2"/>
  <c r="G7" i="2"/>
  <c r="AL6" i="2"/>
  <c r="AK6" i="2"/>
  <c r="AJ6" i="2"/>
  <c r="AI6" i="2"/>
  <c r="AH6" i="2"/>
  <c r="AG6" i="2"/>
  <c r="AF6" i="2"/>
  <c r="AE6" i="2"/>
  <c r="AD6" i="2"/>
  <c r="AC6" i="2"/>
  <c r="AB6" i="2"/>
  <c r="Z6" i="2"/>
  <c r="Y6" i="2"/>
  <c r="X6" i="2"/>
  <c r="W6" i="2"/>
  <c r="V6" i="2"/>
  <c r="T6" i="2"/>
  <c r="S6" i="2"/>
  <c r="R6" i="2"/>
  <c r="Q6" i="2"/>
  <c r="P6" i="2"/>
  <c r="O6" i="2"/>
  <c r="N6" i="2"/>
  <c r="K6" i="2"/>
  <c r="J6" i="2" s="1"/>
  <c r="H6" i="2"/>
  <c r="G6" i="2"/>
  <c r="AL5" i="2"/>
  <c r="AK5" i="2"/>
  <c r="AJ5" i="2"/>
  <c r="AI5" i="2"/>
  <c r="AH5" i="2"/>
  <c r="AG5" i="2"/>
  <c r="AF5" i="2"/>
  <c r="AE5" i="2"/>
  <c r="AD5" i="2"/>
  <c r="AC5" i="2"/>
  <c r="AB5" i="2"/>
  <c r="Z5" i="2"/>
  <c r="Y5" i="2"/>
  <c r="X5" i="2"/>
  <c r="W5" i="2"/>
  <c r="V5" i="2"/>
  <c r="T5" i="2"/>
  <c r="S5" i="2"/>
  <c r="R5" i="2"/>
  <c r="Q5" i="2"/>
  <c r="P5" i="2"/>
  <c r="O5" i="2"/>
  <c r="N5" i="2"/>
  <c r="K5" i="2"/>
  <c r="J5" i="2" s="1"/>
  <c r="H5" i="2"/>
  <c r="G5" i="2"/>
  <c r="AL4" i="2"/>
  <c r="AK4" i="2"/>
  <c r="AJ4" i="2"/>
  <c r="AI4" i="2"/>
  <c r="AH4" i="2"/>
  <c r="AG4" i="2"/>
  <c r="AF4" i="2"/>
  <c r="AE4" i="2"/>
  <c r="AD4" i="2"/>
  <c r="AC4" i="2"/>
  <c r="AB4" i="2"/>
  <c r="Z4" i="2"/>
  <c r="Y4" i="2"/>
  <c r="X4" i="2"/>
  <c r="W4" i="2"/>
  <c r="V4" i="2"/>
  <c r="T4" i="2"/>
  <c r="S4" i="2"/>
  <c r="R4" i="2"/>
  <c r="Q4" i="2"/>
  <c r="P4" i="2"/>
  <c r="O4" i="2"/>
  <c r="N4" i="2"/>
  <c r="K4" i="2"/>
  <c r="J4" i="2" s="1"/>
  <c r="H4" i="2"/>
  <c r="G4" i="2"/>
  <c r="AL3" i="2"/>
  <c r="AK3" i="2"/>
  <c r="AJ3" i="2"/>
  <c r="AI3" i="2"/>
  <c r="AH3" i="2"/>
  <c r="AG3" i="2"/>
  <c r="AF3" i="2"/>
  <c r="AE3" i="2"/>
  <c r="AD3" i="2"/>
  <c r="AC3" i="2"/>
  <c r="AB3" i="2"/>
  <c r="Z3" i="2"/>
  <c r="Y3" i="2"/>
  <c r="X3" i="2"/>
  <c r="W3" i="2"/>
  <c r="V3" i="2"/>
  <c r="T3" i="2"/>
  <c r="S3" i="2"/>
  <c r="R3" i="2"/>
  <c r="Q3" i="2"/>
  <c r="P3" i="2"/>
  <c r="O3" i="2"/>
  <c r="N3" i="2"/>
  <c r="K3" i="2"/>
  <c r="J3" i="2" s="1"/>
  <c r="H3" i="2"/>
  <c r="G3" i="2"/>
</calcChain>
</file>

<file path=xl/sharedStrings.xml><?xml version="1.0" encoding="utf-8"?>
<sst xmlns="http://schemas.openxmlformats.org/spreadsheetml/2006/main" count="24641" uniqueCount="11094">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</sst>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3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0"/>
  <sheetViews>
    <sheetView showGridLines="0" showZeros="0" tabSelected="1" zoomScaleNormal="100" workbookViewId="0">
      <pane xSplit="5" ySplit="2" topLeftCell="F12" activePane="bottomRight" state="frozen"/>
      <selection activeCell="B1" sqref="B1"/>
      <selection pane="topRight" activeCell="F1" sqref="F1"/>
      <selection pane="bottomLeft" activeCell="B3" sqref="B3"/>
      <selection pane="bottomRight" activeCell="B2" sqref="B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COUNTIFS('Card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COUNTIFS('Card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COUNTIFS('Card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COUNTIFS('Card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COUNTIFS('Card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COUNTIFS('Card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COUNTIFS('Card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COUNTIFS('Card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COUNTIFS('Card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COUNTIFS('Card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COUNTIFS('Card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COUNTIFS('Card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COUNTIFS('Card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COUNTIFS('Card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COUNTIFS('Card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COUNTIFS('Card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COUNTIFS('Card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COUNTIFS('Card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COUNTIFS('Card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COUNTIFS('Card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COUNTIFS('Card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COUNTIFS('Card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COUNTIFS('Card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t="s">
        <v>5595</v>
      </c>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COUNTIFS('Card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t="s">
        <v>5595</v>
      </c>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COUNTIFS('Card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s="92" customFormat="1" x14ac:dyDescent="0.2">
      <c r="A28" s="89" t="s">
        <v>4783</v>
      </c>
      <c r="B28" s="89" t="s">
        <v>4788</v>
      </c>
      <c r="C28" s="90" t="s">
        <v>5745</v>
      </c>
      <c r="D28" s="89"/>
      <c r="E28" s="91" t="s">
        <v>5864</v>
      </c>
      <c r="F28" s="126"/>
      <c r="G28" s="93">
        <f>SUMIF('Card Data'!$A:$A,$A28,'Card Data'!$E:$E)</f>
        <v>45</v>
      </c>
      <c r="H28" s="93">
        <f>COUNTIFS('Card Data'!$I:$I,N$2,'Card Data'!$A:$A,$A28)</f>
        <v>0</v>
      </c>
      <c r="I28" s="93">
        <f>SUMIFS('Card Data'!$E:$E,'Card Data'!$A:$A,$A28,'Card Data'!$J:$J,"&lt;&gt;",'Card Data'!$J:$J,"&lt;&gt;Burden",'Card Data'!$I:$I,"&lt;&gt;Hero")</f>
        <v>0</v>
      </c>
      <c r="J28" s="93">
        <f>SUMIFS('Card Data'!$E:$E,'Card Data'!$A:$A,$A28,'Card Data'!$J:$J,"",'Card Data'!$I:$I,"&lt;&gt;Campaign")+SUMIFS('Card Data'!$E:$E,'Card Data'!$A:$A,$A28,'Card Data'!$J:$J,"Burden")-K28</f>
        <v>41</v>
      </c>
      <c r="K28" s="93">
        <f>COUNTIFS('Card Data'!$I:$I,K$2,'Card Data'!$A:$A,$A28,'Card Data'!$K:$K,"&lt;&gt;*Side Quest.*")</f>
        <v>4</v>
      </c>
      <c r="L28" s="93">
        <f>COUNTIFS('Card Data'!$I:$I,L$2,'Card Data'!$A:$A,$A28,'Card Data'!$K:$K,"&lt;&gt;*Side Quest.*")</f>
        <v>0</v>
      </c>
      <c r="M28" s="129"/>
      <c r="N28" s="93">
        <f>COUNTIFS('Card Data'!$I:$I,N$2,'Card Data'!$A:$A,$A28)</f>
        <v>0</v>
      </c>
      <c r="O28" s="93">
        <f>COUNTIFS('Card Data'!$I:$I,O$2,'Card Data'!$A:$A,$A28)</f>
        <v>0</v>
      </c>
      <c r="P28" s="93">
        <f>COUNTIFS('Card Data'!$I:$I,P$2,'Card Data'!$A:$A,$A28)</f>
        <v>0</v>
      </c>
      <c r="Q28" s="93">
        <f>COUNTIFS('Card Data'!$I:$I,Q$2,'Card Data'!$A:$A,$A28)</f>
        <v>0</v>
      </c>
      <c r="R28" s="93">
        <f>COUNTIFS('Card Data'!$I:$I,R$2,'Card Data'!$A:$A,$A28)</f>
        <v>6</v>
      </c>
      <c r="S28" s="93">
        <f>COUNTIFS('Card Data'!$I:$I,S$2,'Card Data'!$A:$A,$A28)</f>
        <v>5</v>
      </c>
      <c r="T28" s="93">
        <f>COUNTIFS('Card Data'!$I:$I,T$2,'Card Data'!$A:$A,$A28)</f>
        <v>3</v>
      </c>
      <c r="U28" s="129"/>
      <c r="V28" s="93">
        <f>COUNTIFS('Card Data'!$J:$J,V$2,'Card Data'!$A:$A,$A28)</f>
        <v>0</v>
      </c>
      <c r="W28" s="93">
        <f>COUNTIFS('Card Data'!$J:$J,W$2,'Card Data'!$A:$A,$A28)</f>
        <v>0</v>
      </c>
      <c r="X28" s="93">
        <f>COUNTIFS('Card Data'!$J:$J,X$2,'Card Data'!$A:$A,$A28)</f>
        <v>0</v>
      </c>
      <c r="Y28" s="93">
        <f>COUNTIFS('Card Data'!$J:$J,Y$2,'Card Data'!$A:$A,$A28)</f>
        <v>0</v>
      </c>
      <c r="Z28" s="93">
        <f>COUNTIFS('Card Data'!$J:$J,Z$2,'Card Data'!$A:$A,$A28)</f>
        <v>0</v>
      </c>
      <c r="AA28" s="129"/>
      <c r="AB28" s="93" t="str">
        <f>IF(COUNTIFS('Card Data'!$K:$K,"*"&amp;AB$2&amp;".*",'Card Data'!$A:$A,$A28)=0,"",IF(COUNTIFS('Card Data'!$K:$K,"*"&amp;AB$2&amp;".*",'Card Data'!$A:$A,$A28,'Card Data'!$I:$I,"Hero")=0,COUNTIFS('Card Data'!$K:$K,"*"&amp;AB$2&amp;".*",'Card Data'!$A:$A,$A28),COUNTIFS('Card Data'!$K:$K,"*"&amp;AB$2&amp;".*",'Card Data'!$A:$A,$A28)&amp;" ("&amp;COUNTIFS('Card Data'!$K:$K,"*"&amp;AB$2&amp;".*",'Card Data'!$A:$A,$A28,'Card Data'!$I:$I,"Hero")&amp;")"))</f>
        <v/>
      </c>
      <c r="AC28" s="93">
        <f>IF(COUNTIFS('Card Data'!$K:$K,"*"&amp;AC$2&amp;".*",'Card Data'!$A:$A,$A28)=0,"",IF(COUNTIFS('Card Data'!$K:$K,"*"&amp;AC$2&amp;".*",'Card Data'!$A:$A,$A28,'Card Data'!$I:$I,"Hero")=0,COUNTIFS('Card Data'!$K:$K,"*"&amp;AC$2&amp;".*",'Card Data'!$A:$A,$A28),COUNTIFS('Card Data'!$K:$K,"*"&amp;AC$2&amp;".*",'Card Data'!$A:$A,$A28)&amp;" ("&amp;COUNTIFS('Card Data'!$K:$K,"*"&amp;AC$2&amp;".*",'Card Data'!$A:$A,$A28,'Card Data'!$I:$I,"Hero")&amp;")"))</f>
        <v>1</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t="str">
        <f>IF(COUNTIFS('Card Data'!$K:$K,"*"&amp;AI$2&amp;".*",'Card Data'!$A:$A,$A28)=0,"",IF(COUNTIFS('Card Data'!$K:$K,"*"&amp;AI$2&amp;".*",'Card Data'!$A:$A,$A28,'Card Data'!$I:$I,"Hero")=0,COUNTIFS('Card Data'!$K:$K,"*"&amp;AI$2&amp;".*",'Card Data'!$A:$A,$A28),COUNTIFS('Card Data'!$K:$K,"*"&amp;AI$2&amp;".*",'Card Data'!$A:$A,$A28)&amp;" ("&amp;COUNTIFS('Card Data'!$K:$K,"*"&amp;AI$2&amp;".*",'Card Data'!$A:$A,$A28,'Card Data'!$I:$I,"Hero")&amp;")"))</f>
        <v/>
      </c>
      <c r="AJ28" s="93">
        <f>IF(COUNTIFS('Card Data'!$K:$K,"*"&amp;AJ$2&amp;".*",'Card Data'!$A:$A,$A28)=0,"",IF(COUNTIFS('Card Data'!$K:$K,"*"&amp;AJ$2&amp;".*",'Card Data'!$A:$A,$A28,'Card Data'!$I:$I,"Hero")=0,COUNTIFS('Card Data'!$K:$K,"*"&amp;AJ$2&amp;".*",'Card Data'!$A:$A,$A28),COUNTIFS('Card Data'!$K:$K,"*"&amp;AJ$2&amp;".*",'Card Data'!$A:$A,$A28)&amp;" ("&amp;COUNTIFS('Card Data'!$K:$K,"*"&amp;AJ$2&amp;".*",'Card Data'!$A:$A,$A28,'Card Data'!$I:$I,"Hero")&amp;")"))</f>
        <v>1</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c r="AL28" s="9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s="92" customFormat="1" x14ac:dyDescent="0.2">
      <c r="A29" s="89" t="s">
        <v>3365</v>
      </c>
      <c r="B29" s="89" t="s">
        <v>3370</v>
      </c>
      <c r="C29" s="90" t="s">
        <v>5745</v>
      </c>
      <c r="D29" s="89"/>
      <c r="E29" s="91" t="s">
        <v>5865</v>
      </c>
      <c r="F29" s="126"/>
      <c r="G29" s="93">
        <f>SUMIF('Card Data'!$A:$A,$A29,'Card Data'!$E:$E)</f>
        <v>49</v>
      </c>
      <c r="H29" s="93">
        <f>COUNTIFS('Card Data'!$I:$I,N$2,'Card Data'!$A:$A,$A29)</f>
        <v>0</v>
      </c>
      <c r="I29" s="93">
        <f>SUMIFS('Card Data'!$E:$E,'Card Data'!$A:$A,$A29,'Card Data'!$J:$J,"&lt;&gt;",'Card Data'!$J:$J,"&lt;&gt;Burden",'Card Data'!$I:$I,"&lt;&gt;Hero")</f>
        <v>0</v>
      </c>
      <c r="J29" s="93">
        <f>SUMIFS('Card Data'!$E:$E,'Card Data'!$A:$A,$A29,'Card Data'!$J:$J,"",'Card Data'!$I:$I,"&lt;&gt;Campaign")+SUMIFS('Card Data'!$E:$E,'Card Data'!$A:$A,$A29,'Card Data'!$J:$J,"Burden")-K29</f>
        <v>46</v>
      </c>
      <c r="K29" s="93">
        <f>COUNTIFS('Card Data'!$I:$I,K$2,'Card Data'!$A:$A,$A29,'Card Data'!$K:$K,"&lt;&gt;*Side Quest.*")</f>
        <v>3</v>
      </c>
      <c r="L29" s="93">
        <f>COUNTIFS('Card Data'!$I:$I,L$2,'Card Data'!$A:$A,$A29,'Card Data'!$K:$K,"&lt;&gt;*Side Quest.*")</f>
        <v>0</v>
      </c>
      <c r="M29" s="129"/>
      <c r="N29" s="93">
        <f>COUNTIFS('Card Data'!$I:$I,N$2,'Card Data'!$A:$A,$A29)</f>
        <v>0</v>
      </c>
      <c r="O29" s="93">
        <f>COUNTIFS('Card Data'!$I:$I,O$2,'Card Data'!$A:$A,$A29)</f>
        <v>0</v>
      </c>
      <c r="P29" s="93">
        <f>COUNTIFS('Card Data'!$I:$I,P$2,'Card Data'!$A:$A,$A29)</f>
        <v>0</v>
      </c>
      <c r="Q29" s="93">
        <f>COUNTIFS('Card Data'!$I:$I,Q$2,'Card Data'!$A:$A,$A29)</f>
        <v>0</v>
      </c>
      <c r="R29" s="93">
        <f>COUNTIFS('Card Data'!$I:$I,R$2,'Card Data'!$A:$A,$A29)</f>
        <v>3</v>
      </c>
      <c r="S29" s="93">
        <f>COUNTIFS('Card Data'!$I:$I,S$2,'Card Data'!$A:$A,$A29)</f>
        <v>10</v>
      </c>
      <c r="T29" s="93">
        <f>COUNTIFS('Card Data'!$I:$I,T$2,'Card Data'!$A:$A,$A29)</f>
        <v>6</v>
      </c>
      <c r="U29" s="129"/>
      <c r="V29" s="93">
        <f>COUNTIFS('Card Data'!$J:$J,V$2,'Card Data'!$A:$A,$A29)</f>
        <v>0</v>
      </c>
      <c r="W29" s="93">
        <f>COUNTIFS('Card Data'!$J:$J,W$2,'Card Data'!$A:$A,$A29)</f>
        <v>0</v>
      </c>
      <c r="X29" s="93">
        <f>COUNTIFS('Card Data'!$J:$J,X$2,'Card Data'!$A:$A,$A29)</f>
        <v>0</v>
      </c>
      <c r="Y29" s="93">
        <f>COUNTIFS('Card Data'!$J:$J,Y$2,'Card Data'!$A:$A,$A29)</f>
        <v>0</v>
      </c>
      <c r="Z29" s="93">
        <f>COUNTIFS('Card Data'!$J:$J,Z$2,'Card Data'!$A:$A,$A29)</f>
        <v>0</v>
      </c>
      <c r="AA29" s="129"/>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c r="AL29" s="9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5144</v>
      </c>
      <c r="B30" s="89" t="s">
        <v>5149</v>
      </c>
      <c r="C30" s="90" t="s">
        <v>5745</v>
      </c>
      <c r="D30" s="89"/>
      <c r="E30" s="91" t="s">
        <v>5866</v>
      </c>
      <c r="F30" s="126"/>
      <c r="G30" s="93">
        <f>SUMIF('Card Data'!$A:$A,$A30,'Card Data'!$E:$E)</f>
        <v>48</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45</v>
      </c>
      <c r="K30" s="93">
        <f>COUNTIFS('Card Data'!$I:$I,K$2,'Card Data'!$A:$A,$A30,'Card Data'!$K:$K,"&lt;&gt;*Side Quest.*")</f>
        <v>3</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6</v>
      </c>
      <c r="S30" s="93">
        <f>COUNTIFS('Card Data'!$I:$I,S$2,'Card Data'!$A:$A,$A30)</f>
        <v>7</v>
      </c>
      <c r="T30" s="93">
        <f>COUNTIFS('Card Data'!$I:$I,T$2,'Card Data'!$A:$A,$A30)</f>
        <v>6</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f>IF(COUNTIFS('Card Data'!$K:$K,"*"&amp;AC$2&amp;".*",'Card Data'!$A:$A,$A30)=0,"",IF(COUNTIFS('Card Data'!$K:$K,"*"&amp;AC$2&amp;".*",'Card Data'!$A:$A,$A30,'Card Data'!$I:$I,"Hero")=0,COUNTIFS('Card Data'!$K:$K,"*"&amp;AC$2&amp;".*",'Card Data'!$A:$A,$A30),COUNTIFS('Card Data'!$K:$K,"*"&amp;AC$2&amp;".*",'Card Data'!$A:$A,$A30)&amp;" ("&amp;COUNTIFS('Card Data'!$K:$K,"*"&amp;AC$2&amp;".*",'Card Data'!$A:$A,$A30,'Card Data'!$I:$I,"Hero")&amp;")"))</f>
        <v>1</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77" customFormat="1" x14ac:dyDescent="0.2">
      <c r="A31" s="74" t="s">
        <v>766</v>
      </c>
      <c r="B31" s="74" t="s">
        <v>5330</v>
      </c>
      <c r="C31" s="75" t="s">
        <v>5745</v>
      </c>
      <c r="D31" s="74"/>
      <c r="E31" s="76" t="s">
        <v>5867</v>
      </c>
      <c r="F31" s="127"/>
      <c r="G31" s="78">
        <f>SUMIF('Card Data'!$A:$A,$A31,'Card Data'!$E:$E)</f>
        <v>60</v>
      </c>
      <c r="H31" s="78">
        <f>COUNTIFS('Card Data'!$I:$I,N$2,'Card Data'!$A:$A,$A31)</f>
        <v>0</v>
      </c>
      <c r="I31" s="78">
        <f>SUMIFS('Card Data'!$E:$E,'Card Data'!$A:$A,$A31,'Card Data'!$J:$J,"&lt;&gt;",'Card Data'!$J:$J,"&lt;&gt;Burden",'Card Data'!$I:$I,"&lt;&gt;Hero")</f>
        <v>0</v>
      </c>
      <c r="J31" s="78">
        <f>SUMIFS('Card Data'!$E:$E,'Card Data'!$A:$A,$A31,'Card Data'!$J:$J,"",'Card Data'!$I:$I,"&lt;&gt;Campaign")+SUMIFS('Card Data'!$E:$E,'Card Data'!$A:$A,$A31,'Card Data'!$J:$J,"Burden")-K31</f>
        <v>60</v>
      </c>
      <c r="K31" s="78">
        <f>COUNTIFS('Card Data'!$I:$I,K$2,'Card Data'!$A:$A,$A31,'Card Data'!$K:$K,"&lt;&gt;*Side Quest.*")</f>
        <v>0</v>
      </c>
      <c r="L31" s="78">
        <f>COUNTIFS('Card Data'!$I:$I,L$2,'Card Data'!$A:$A,$A31,'Card Data'!$K:$K,"&lt;&gt;*Side Quest.*")</f>
        <v>0</v>
      </c>
      <c r="M31" s="130"/>
      <c r="N31" s="78">
        <f>COUNTIFS('Card Data'!$I:$I,N$2,'Card Data'!$A:$A,$A31)</f>
        <v>0</v>
      </c>
      <c r="O31" s="78">
        <f>COUNTIFS('Card Data'!$I:$I,O$2,'Card Data'!$A:$A,$A31)</f>
        <v>0</v>
      </c>
      <c r="P31" s="78">
        <f>COUNTIFS('Card Data'!$I:$I,P$2,'Card Data'!$A:$A,$A31)</f>
        <v>0</v>
      </c>
      <c r="Q31" s="78">
        <f>COUNTIFS('Card Data'!$I:$I,Q$2,'Card Data'!$A:$A,$A31)</f>
        <v>0</v>
      </c>
      <c r="R31" s="78">
        <f>COUNTIFS('Card Data'!$I:$I,R$2,'Card Data'!$A:$A,$A31)</f>
        <v>10</v>
      </c>
      <c r="S31" s="78">
        <f>COUNTIFS('Card Data'!$I:$I,S$2,'Card Data'!$A:$A,$A31)</f>
        <v>6</v>
      </c>
      <c r="T31" s="78">
        <f>COUNTIFS('Card Data'!$I:$I,T$2,'Card Data'!$A:$A,$A31)</f>
        <v>8</v>
      </c>
      <c r="U31" s="130"/>
      <c r="V31" s="78">
        <f>COUNTIFS('Card Data'!$J:$J,V$2,'Card Data'!$A:$A,$A31)</f>
        <v>0</v>
      </c>
      <c r="W31" s="78">
        <f>COUNTIFS('Card Data'!$J:$J,W$2,'Card Data'!$A:$A,$A31)</f>
        <v>0</v>
      </c>
      <c r="X31" s="78">
        <f>COUNTIFS('Card Data'!$J:$J,X$2,'Card Data'!$A:$A,$A31)</f>
        <v>0</v>
      </c>
      <c r="Y31" s="78">
        <f>COUNTIFS('Card Data'!$J:$J,Y$2,'Card Data'!$A:$A,$A31)</f>
        <v>0</v>
      </c>
      <c r="Z31" s="78">
        <f>COUNTIFS('Card Data'!$J:$J,Z$2,'Card Data'!$A:$A,$A31)</f>
        <v>0</v>
      </c>
      <c r="AA31" s="130"/>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c r="AL31" s="78"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77" customFormat="1" x14ac:dyDescent="0.2">
      <c r="A32" s="74" t="s">
        <v>3165</v>
      </c>
      <c r="B32" s="74" t="s">
        <v>5331</v>
      </c>
      <c r="C32" s="75" t="s">
        <v>5745</v>
      </c>
      <c r="D32" s="74"/>
      <c r="E32" s="79" t="s">
        <v>5868</v>
      </c>
      <c r="F32" s="127"/>
      <c r="G32" s="78">
        <f>SUMIF('Card Data'!$A:$A,$A32,'Card Data'!$E:$E)</f>
        <v>120</v>
      </c>
      <c r="H32" s="78">
        <f>COUNTIFS('Card Data'!$I:$I,N$2,'Card Data'!$A:$A,$A32)</f>
        <v>0</v>
      </c>
      <c r="I32" s="78">
        <f>SUMIFS('Card Data'!$E:$E,'Card Data'!$A:$A,$A32,'Card Data'!$J:$J,"&lt;&gt;",'Card Data'!$J:$J,"&lt;&gt;Burden",'Card Data'!$I:$I,"&lt;&gt;Hero")</f>
        <v>0</v>
      </c>
      <c r="J32" s="78">
        <f>SUMIFS('Card Data'!$E:$E,'Card Data'!$A:$A,$A32,'Card Data'!$J:$J,"",'Card Data'!$I:$I,"&lt;&gt;Campaign")+SUMIFS('Card Data'!$E:$E,'Card Data'!$A:$A,$A32,'Card Data'!$J:$J,"Burden")-K32</f>
        <v>119</v>
      </c>
      <c r="K32" s="78">
        <f>COUNTIFS('Card Data'!$I:$I,K$2,'Card Data'!$A:$A,$A32,'Card Data'!$K:$K,"&lt;&gt;*Side Quest.*")</f>
        <v>1</v>
      </c>
      <c r="L32" s="78">
        <f>COUNTIFS('Card Data'!$I:$I,L$2,'Card Data'!$A:$A,$A32,'Card Data'!$K:$K,"&lt;&gt;*Side Quest.*")</f>
        <v>0</v>
      </c>
      <c r="M32" s="130"/>
      <c r="N32" s="78">
        <f>COUNTIFS('Card Data'!$I:$I,N$2,'Card Data'!$A:$A,$A32)</f>
        <v>0</v>
      </c>
      <c r="O32" s="78">
        <f>COUNTIFS('Card Data'!$I:$I,O$2,'Card Data'!$A:$A,$A32)</f>
        <v>0</v>
      </c>
      <c r="P32" s="78">
        <f>COUNTIFS('Card Data'!$I:$I,P$2,'Card Data'!$A:$A,$A32)</f>
        <v>0</v>
      </c>
      <c r="Q32" s="78">
        <f>COUNTIFS('Card Data'!$I:$I,Q$2,'Card Data'!$A:$A,$A32)</f>
        <v>0</v>
      </c>
      <c r="R32" s="78">
        <f>COUNTIFS('Card Data'!$I:$I,R$2,'Card Data'!$A:$A,$A32)</f>
        <v>19</v>
      </c>
      <c r="S32" s="78">
        <f>COUNTIFS('Card Data'!$I:$I,S$2,'Card Data'!$A:$A,$A32)</f>
        <v>14</v>
      </c>
      <c r="T32" s="78">
        <f>COUNTIFS('Card Data'!$I:$I,T$2,'Card Data'!$A:$A,$A32)</f>
        <v>16</v>
      </c>
      <c r="U32" s="130"/>
      <c r="V32" s="78">
        <f>COUNTIFS('Card Data'!$J:$J,V$2,'Card Data'!$A:$A,$A32)</f>
        <v>0</v>
      </c>
      <c r="W32" s="78">
        <f>COUNTIFS('Card Data'!$J:$J,W$2,'Card Data'!$A:$A,$A32)</f>
        <v>0</v>
      </c>
      <c r="X32" s="78">
        <f>COUNTIFS('Card Data'!$J:$J,X$2,'Card Data'!$A:$A,$A32)</f>
        <v>0</v>
      </c>
      <c r="Y32" s="78">
        <f>COUNTIFS('Card Data'!$J:$J,Y$2,'Card Data'!$A:$A,$A32)</f>
        <v>0</v>
      </c>
      <c r="Z32" s="78">
        <f>COUNTIFS('Card Data'!$J:$J,Z$2,'Card Data'!$A:$A,$A32)</f>
        <v>0</v>
      </c>
      <c r="AA32" s="130"/>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c r="AL32" s="78"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77" customFormat="1" x14ac:dyDescent="0.2">
      <c r="A33" s="74" t="s">
        <v>5801</v>
      </c>
      <c r="B33" s="74" t="s">
        <v>5829</v>
      </c>
      <c r="C33" s="75" t="s">
        <v>5745</v>
      </c>
      <c r="D33" s="74"/>
      <c r="E33" s="79" t="s">
        <v>5869</v>
      </c>
      <c r="F33" s="127"/>
      <c r="G33" s="78">
        <f>SUMIF('Card Data'!$A:$A,$A33,'Card Data'!$E:$E)</f>
        <v>60</v>
      </c>
      <c r="H33" s="78">
        <f>COUNTIFS('Card Data'!$I:$I,N$2,'Card Data'!$A:$A,$A33)</f>
        <v>0</v>
      </c>
      <c r="I33" s="78">
        <f>SUMIFS('Card Data'!$E:$E,'Card Data'!$A:$A,$A33,'Card Data'!$J:$J,"&lt;&gt;",'Card Data'!$J:$J,"&lt;&gt;Burden",'Card Data'!$I:$I,"&lt;&gt;Hero")</f>
        <v>0</v>
      </c>
      <c r="J33" s="78">
        <f>SUMIFS('Card Data'!$E:$E,'Card Data'!$A:$A,$A33,'Card Data'!$J:$J,"",'Card Data'!$I:$I,"&lt;&gt;Campaign")+SUMIFS('Card Data'!$E:$E,'Card Data'!$A:$A,$A33,'Card Data'!$J:$J,"Burden")-K33</f>
        <v>56</v>
      </c>
      <c r="K33" s="78">
        <f>COUNTIFS('Card Data'!$I:$I,K$2,'Card Data'!$A:$A,$A33,'Card Data'!$K:$K,"&lt;&gt;*Side Quest.*")</f>
        <v>4</v>
      </c>
      <c r="L33" s="78">
        <f>COUNTIFS('Card Data'!$I:$I,L$2,'Card Data'!$A:$A,$A33,'Card Data'!$K:$K,"&lt;&gt;*Side Quest.*")</f>
        <v>0</v>
      </c>
      <c r="M33" s="130"/>
      <c r="N33" s="78">
        <f>COUNTIFS('Card Data'!$I:$I,N$2,'Card Data'!$A:$A,$A33)</f>
        <v>0</v>
      </c>
      <c r="O33" s="78">
        <f>COUNTIFS('Card Data'!$I:$I,O$2,'Card Data'!$A:$A,$A33)</f>
        <v>0</v>
      </c>
      <c r="P33" s="78">
        <f>COUNTIFS('Card Data'!$I:$I,P$2,'Card Data'!$A:$A,$A33)</f>
        <v>0</v>
      </c>
      <c r="Q33" s="78">
        <f>COUNTIFS('Card Data'!$I:$I,Q$2,'Card Data'!$A:$A,$A33)</f>
        <v>0</v>
      </c>
      <c r="R33" s="78">
        <f>COUNTIFS('Card Data'!$I:$I,R$2,'Card Data'!$A:$A,$A33)</f>
        <v>9</v>
      </c>
      <c r="S33" s="78">
        <f>COUNTIFS('Card Data'!$I:$I,S$2,'Card Data'!$A:$A,$A33)</f>
        <v>6</v>
      </c>
      <c r="T33" s="78">
        <f>COUNTIFS('Card Data'!$I:$I,T$2,'Card Data'!$A:$A,$A33)</f>
        <v>5</v>
      </c>
      <c r="U33" s="130"/>
      <c r="V33" s="78">
        <f>COUNTIFS('Card Data'!$J:$J,V$2,'Card Data'!$A:$A,$A33)</f>
        <v>0</v>
      </c>
      <c r="W33" s="78">
        <f>COUNTIFS('Card Data'!$J:$J,W$2,'Card Data'!$A:$A,$A33)</f>
        <v>0</v>
      </c>
      <c r="X33" s="78">
        <f>COUNTIFS('Card Data'!$J:$J,X$2,'Card Data'!$A:$A,$A33)</f>
        <v>0</v>
      </c>
      <c r="Y33" s="78">
        <f>COUNTIFS('Card Data'!$J:$J,Y$2,'Card Data'!$A:$A,$A33)</f>
        <v>0</v>
      </c>
      <c r="Z33" s="78">
        <f>COUNTIFS('Card Data'!$J:$J,Z$2,'Card Data'!$A:$A,$A33)</f>
        <v>0</v>
      </c>
      <c r="AA33" s="130"/>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c r="AL33" s="78"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77" customFormat="1" x14ac:dyDescent="0.2">
      <c r="A34" s="74" t="s">
        <v>10413</v>
      </c>
      <c r="B34" s="74" t="s">
        <v>10414</v>
      </c>
      <c r="C34" s="75" t="s">
        <v>5745</v>
      </c>
      <c r="D34" s="74" t="s">
        <v>5595</v>
      </c>
      <c r="E34" s="79" t="s">
        <v>5869</v>
      </c>
      <c r="F34" s="127"/>
      <c r="G34" s="78">
        <f>SUMIF('Card Data'!$A:$A,$A34,'Card Data'!$E:$E)</f>
        <v>121</v>
      </c>
      <c r="H34" s="78">
        <f>COUNTIFS('Card Data'!$I:$I,N$2,'Card Data'!$A:$A,$A34)</f>
        <v>0</v>
      </c>
      <c r="I34" s="78">
        <f>SUMIFS('Card Data'!$E:$E,'Card Data'!$A:$A,$A34,'Card Data'!$J:$J,"&lt;&gt;",'Card Data'!$J:$J,"&lt;&gt;Burden",'Card Data'!$I:$I,"&lt;&gt;Hero")</f>
        <v>0</v>
      </c>
      <c r="J34" s="78">
        <f>SUMIFS('Card Data'!$E:$E,'Card Data'!$A:$A,$A34,'Card Data'!$J:$J,"",'Card Data'!$I:$I,"&lt;&gt;Campaign")+SUMIFS('Card Data'!$E:$E,'Card Data'!$A:$A,$A34,'Card Data'!$J:$J,"Burden")-K34</f>
        <v>120</v>
      </c>
      <c r="K34" s="78">
        <f>COUNTIFS('Card Data'!$I:$I,K$2,'Card Data'!$A:$A,$A34,'Card Data'!$K:$K,"&lt;&gt;*Side Quest.*")</f>
        <v>1</v>
      </c>
      <c r="L34" s="78">
        <f>COUNTIFS('Card Data'!$I:$I,L$2,'Card Data'!$A:$A,$A34,'Card Data'!$K:$K,"&lt;&gt;*Side Quest.*")</f>
        <v>0</v>
      </c>
      <c r="M34" s="130"/>
      <c r="N34" s="78">
        <f>COUNTIFS('Card Data'!$I:$I,N$2,'Card Data'!$A:$A,$A34)</f>
        <v>0</v>
      </c>
      <c r="O34" s="78">
        <f>COUNTIFS('Card Data'!$I:$I,O$2,'Card Data'!$A:$A,$A34)</f>
        <v>0</v>
      </c>
      <c r="P34" s="78">
        <f>COUNTIFS('Card Data'!$I:$I,P$2,'Card Data'!$A:$A,$A34)</f>
        <v>0</v>
      </c>
      <c r="Q34" s="78">
        <f>COUNTIFS('Card Data'!$I:$I,Q$2,'Card Data'!$A:$A,$A34)</f>
        <v>0</v>
      </c>
      <c r="R34" s="78">
        <f>COUNTIFS('Card Data'!$I:$I,R$2,'Card Data'!$A:$A,$A34)</f>
        <v>19</v>
      </c>
      <c r="S34" s="78">
        <f>COUNTIFS('Card Data'!$I:$I,S$2,'Card Data'!$A:$A,$A34)</f>
        <v>12</v>
      </c>
      <c r="T34" s="78">
        <f>COUNTIFS('Card Data'!$I:$I,T$2,'Card Data'!$A:$A,$A34)</f>
        <v>13</v>
      </c>
      <c r="U34" s="130"/>
      <c r="V34" s="78">
        <f>COUNTIFS('Card Data'!$J:$J,V$2,'Card Data'!$A:$A,$A34)</f>
        <v>0</v>
      </c>
      <c r="W34" s="78">
        <f>COUNTIFS('Card Data'!$J:$J,W$2,'Card Data'!$A:$A,$A34)</f>
        <v>0</v>
      </c>
      <c r="X34" s="78">
        <f>COUNTIFS('Card Data'!$J:$J,X$2,'Card Data'!$A:$A,$A34)</f>
        <v>0</v>
      </c>
      <c r="Y34" s="78">
        <f>COUNTIFS('Card Data'!$J:$J,Y$2,'Card Data'!$A:$A,$A34)</f>
        <v>0</v>
      </c>
      <c r="Z34" s="78">
        <f>COUNTIFS('Card Data'!$J:$J,Z$2,'Card Data'!$A:$A,$A34)</f>
        <v>0</v>
      </c>
      <c r="AA34" s="130"/>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c r="AL34" s="78"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77" customFormat="1" x14ac:dyDescent="0.2">
      <c r="A35" s="74" t="s">
        <v>4566</v>
      </c>
      <c r="B35" s="74" t="s">
        <v>5662</v>
      </c>
      <c r="C35" s="75" t="s">
        <v>5745</v>
      </c>
      <c r="D35" s="74"/>
      <c r="E35" s="79" t="s">
        <v>5870</v>
      </c>
      <c r="F35" s="127"/>
      <c r="G35" s="78">
        <f>SUMIF('Card Data'!$A:$A,$A35,'Card Data'!$E:$E)</f>
        <v>58</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58</v>
      </c>
      <c r="K35" s="78">
        <f>COUNTIFS('Card Data'!$I:$I,K$2,'Card Data'!$A:$A,$A35,'Card Data'!$K:$K,"&lt;&gt;*Side Quest.*")</f>
        <v>0</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5</v>
      </c>
      <c r="S35" s="78">
        <f>COUNTIFS('Card Data'!$I:$I,S$2,'Card Data'!$A:$A,$A35)</f>
        <v>9</v>
      </c>
      <c r="T35" s="78">
        <f>COUNTIFS('Card Data'!$I:$I,T$2,'Card Data'!$A:$A,$A35)</f>
        <v>7</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77" customFormat="1" x14ac:dyDescent="0.2">
      <c r="A36" s="74" t="s">
        <v>11042</v>
      </c>
      <c r="B36" s="74" t="s">
        <v>11012</v>
      </c>
      <c r="C36" s="75" t="s">
        <v>8065</v>
      </c>
      <c r="D36" s="74" t="s">
        <v>5595</v>
      </c>
      <c r="E36" s="79" t="s">
        <v>11013</v>
      </c>
      <c r="F36" s="127"/>
      <c r="G36" s="78">
        <f>SUMIF('Card Data'!$A:$A,$A36,'Card Data'!$E:$E)</f>
        <v>60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60</v>
      </c>
      <c r="K36" s="78">
        <f>COUNTIFS('Card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6</v>
      </c>
      <c r="S36" s="78">
        <f>COUNTIFS('Card Data'!$I:$I,S$2,'Card Data'!$A:$A,$A36)</f>
        <v>8</v>
      </c>
      <c r="T36" s="78">
        <f>COUNTIFS('Card Data'!$I:$I,T$2,'Card Data'!$A:$A,$A36)</f>
        <v>5</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83" customFormat="1" x14ac:dyDescent="0.2">
      <c r="A37" s="80" t="s">
        <v>4293</v>
      </c>
      <c r="B37" s="80" t="s">
        <v>5661</v>
      </c>
      <c r="C37" s="81" t="s">
        <v>5745</v>
      </c>
      <c r="D37" s="80"/>
      <c r="E37" s="82" t="s">
        <v>5872</v>
      </c>
      <c r="F37" s="126"/>
      <c r="G37" s="84">
        <f>SUMIF('Card Data'!$A:$A,$A37,'Card Data'!$E:$E)</f>
        <v>165</v>
      </c>
      <c r="H37" s="84">
        <f>COUNTIFS('Card Data'!$I:$I,N$2,'Card Data'!$A:$A,$A37)</f>
        <v>5</v>
      </c>
      <c r="I37" s="84">
        <f>SUMIFS('Card Data'!$E:$E,'Card Data'!$A:$A,$A37,'Card Data'!$J:$J,"&lt;&gt;",'Card Data'!$J:$J,"&lt;&gt;Burden",'Card Data'!$I:$I,"&lt;&gt;Hero")</f>
        <v>52</v>
      </c>
      <c r="J37" s="84">
        <f>SUMIFS('Card Data'!$E:$E,'Card Data'!$A:$A,$A37,'Card Data'!$J:$J,"",'Card Data'!$I:$I,"&lt;&gt;Campaign")+SUMIFS('Card Data'!$E:$E,'Card Data'!$A:$A,$A37,'Card Data'!$J:$J,"Burden")-K37</f>
        <v>99</v>
      </c>
      <c r="K37" s="84">
        <f>COUNTIFS('Card Data'!$I:$I,K$2,'Card Data'!$A:$A,$A37,'Card Data'!$K:$K,"&lt;&gt;*Side Quest.*")</f>
        <v>9</v>
      </c>
      <c r="L37" s="84">
        <f>COUNTIFS('Card Data'!$I:$I,L$2,'Card Data'!$A:$A,$A37,'Card Data'!$K:$K,"&lt;&gt;*Side Quest.*")</f>
        <v>0</v>
      </c>
      <c r="M37" s="129"/>
      <c r="N37" s="84">
        <f>COUNTIFS('Card Data'!$I:$I,N$2,'Card Data'!$A:$A,$A37)</f>
        <v>5</v>
      </c>
      <c r="O37" s="84">
        <f>COUNTIFS('Card Data'!$I:$I,O$2,'Card Data'!$A:$A,$A37)</f>
        <v>5</v>
      </c>
      <c r="P37" s="84">
        <f>COUNTIFS('Card Data'!$I:$I,P$2,'Card Data'!$A:$A,$A37)</f>
        <v>3</v>
      </c>
      <c r="Q37" s="84">
        <f>COUNTIFS('Card Data'!$I:$I,Q$2,'Card Data'!$A:$A,$A37)</f>
        <v>6</v>
      </c>
      <c r="R37" s="84">
        <f>COUNTIFS('Card Data'!$I:$I,R$2,'Card Data'!$A:$A,$A37)</f>
        <v>14</v>
      </c>
      <c r="S37" s="84">
        <f>COUNTIFS('Card Data'!$I:$I,S$2,'Card Data'!$A:$A,$A37)</f>
        <v>13</v>
      </c>
      <c r="T37" s="84">
        <f>COUNTIFS('Card Data'!$I:$I,T$2,'Card Data'!$A:$A,$A37)</f>
        <v>16</v>
      </c>
      <c r="U37" s="129"/>
      <c r="V37" s="84">
        <f>COUNTIFS('Card Data'!$J:$J,V$2,'Card Data'!$A:$A,$A37)</f>
        <v>4</v>
      </c>
      <c r="W37" s="84">
        <f>COUNTIFS('Card Data'!$J:$J,W$2,'Card Data'!$A:$A,$A37)</f>
        <v>4</v>
      </c>
      <c r="X37" s="84">
        <f>COUNTIFS('Card Data'!$J:$J,X$2,'Card Data'!$A:$A,$A37)</f>
        <v>4</v>
      </c>
      <c r="Y37" s="84">
        <f>COUNTIFS('Card Data'!$J:$J,Y$2,'Card Data'!$A:$A,$A37)</f>
        <v>4</v>
      </c>
      <c r="Z37" s="84">
        <f>COUNTIFS('Card Data'!$J:$J,Z$2,'Card Data'!$A:$A,$A37)</f>
        <v>4</v>
      </c>
      <c r="AA37" s="129"/>
      <c r="AB37" s="84" t="str">
        <f>IF(COUNTIFS('Card Data'!$K:$K,"*"&amp;AB$2&amp;".*",'Card Data'!$A:$A,$A37)=0,"",IF(COUNTIFS('Card Data'!$K:$K,"*"&amp;AB$2&amp;".*",'Card Data'!$A:$A,$A37,'Card Data'!$I:$I,"Hero")=0,COUNTIFS('Card Data'!$K:$K,"*"&amp;AB$2&amp;".*",'Card Data'!$A:$A,$A37),COUNTIFS('Card Data'!$K:$K,"*"&amp;AB$2&amp;".*",'Card Data'!$A:$A,$A37)&amp;" ("&amp;COUNTIFS('Card Data'!$K:$K,"*"&amp;AB$2&amp;".*",'Card Data'!$A:$A,$A37,'Card Data'!$I:$I,"Hero")&amp;")"))</f>
        <v>7 (3)</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1 (1)</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4"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83" customFormat="1" x14ac:dyDescent="0.2">
      <c r="A38" s="80" t="s">
        <v>4034</v>
      </c>
      <c r="B38" s="80" t="s">
        <v>5660</v>
      </c>
      <c r="C38" s="81" t="s">
        <v>5745</v>
      </c>
      <c r="D38" s="80"/>
      <c r="E38" s="82" t="s">
        <v>5873</v>
      </c>
      <c r="F38" s="126"/>
      <c r="G38" s="84">
        <f>SUMIF('Card Data'!$A:$A,$A38,'Card Data'!$E:$E)</f>
        <v>165</v>
      </c>
      <c r="H38" s="84">
        <f>COUNTIFS('Card Data'!$I:$I,N$2,'Card Data'!$A:$A,$A38)</f>
        <v>5</v>
      </c>
      <c r="I38" s="84">
        <f>SUMIFS('Card Data'!$E:$E,'Card Data'!$A:$A,$A38,'Card Data'!$J:$J,"&lt;&gt;",'Card Data'!$J:$J,"&lt;&gt;Burden",'Card Data'!$I:$I,"&lt;&gt;Hero")</f>
        <v>45</v>
      </c>
      <c r="J38" s="84">
        <f>SUMIFS('Card Data'!$E:$E,'Card Data'!$A:$A,$A38,'Card Data'!$J:$J,"",'Card Data'!$I:$I,"&lt;&gt;Campaign")+SUMIFS('Card Data'!$E:$E,'Card Data'!$A:$A,$A38,'Card Data'!$J:$J,"Burden")-K38</f>
        <v>102</v>
      </c>
      <c r="K38" s="84">
        <f>COUNTIFS('Card Data'!$I:$I,K$2,'Card Data'!$A:$A,$A38,'Card Data'!$K:$K,"&lt;&gt;*Side Quest.*")</f>
        <v>13</v>
      </c>
      <c r="L38" s="84">
        <f>COUNTIFS('Card Data'!$I:$I,L$2,'Card Data'!$A:$A,$A38,'Card Data'!$K:$K,"&lt;&gt;*Side Quest.*")</f>
        <v>0</v>
      </c>
      <c r="M38" s="129"/>
      <c r="N38" s="84">
        <f>COUNTIFS('Card Data'!$I:$I,N$2,'Card Data'!$A:$A,$A38)</f>
        <v>5</v>
      </c>
      <c r="O38" s="84">
        <f>COUNTIFS('Card Data'!$I:$I,O$2,'Card Data'!$A:$A,$A38)</f>
        <v>3</v>
      </c>
      <c r="P38" s="84">
        <f>COUNTIFS('Card Data'!$I:$I,P$2,'Card Data'!$A:$A,$A38)</f>
        <v>5</v>
      </c>
      <c r="Q38" s="84">
        <f>COUNTIFS('Card Data'!$I:$I,Q$2,'Card Data'!$A:$A,$A38)</f>
        <v>5</v>
      </c>
      <c r="R38" s="84">
        <f>COUNTIFS('Card Data'!$I:$I,R$2,'Card Data'!$A:$A,$A38)</f>
        <v>16</v>
      </c>
      <c r="S38" s="84">
        <f>COUNTIFS('Card Data'!$I:$I,S$2,'Card Data'!$A:$A,$A38)</f>
        <v>13</v>
      </c>
      <c r="T38" s="84">
        <f>COUNTIFS('Card Data'!$I:$I,T$2,'Card Data'!$A:$A,$A38)</f>
        <v>11</v>
      </c>
      <c r="U38" s="129"/>
      <c r="V38" s="84">
        <f>COUNTIFS('Card Data'!$J:$J,V$2,'Card Data'!$A:$A,$A38)</f>
        <v>4</v>
      </c>
      <c r="W38" s="84">
        <f>COUNTIFS('Card Data'!$J:$J,W$2,'Card Data'!$A:$A,$A38)</f>
        <v>4</v>
      </c>
      <c r="X38" s="84">
        <f>COUNTIFS('Card Data'!$J:$J,X$2,'Card Data'!$A:$A,$A38)</f>
        <v>4</v>
      </c>
      <c r="Y38" s="84">
        <f>COUNTIFS('Card Data'!$J:$J,Y$2,'Card Data'!$A:$A,$A38)</f>
        <v>4</v>
      </c>
      <c r="Z38" s="84">
        <f>COUNTIFS('Card Data'!$J:$J,Z$2,'Card Data'!$A:$A,$A38)</f>
        <v>6</v>
      </c>
      <c r="AA38" s="129"/>
      <c r="AB38" s="84" t="str">
        <f>IF(COUNTIFS('Card Data'!$K:$K,"*"&amp;AB$2&amp;".*",'Card Data'!$A:$A,$A38)=0,"",IF(COUNTIFS('Card Data'!$K:$K,"*"&amp;AB$2&amp;".*",'Card Data'!$A:$A,$A38,'Card Data'!$I:$I,"Hero")=0,COUNTIFS('Card Data'!$K:$K,"*"&amp;AB$2&amp;".*",'Card Data'!$A:$A,$A38),COUNTIFS('Card Data'!$K:$K,"*"&amp;AB$2&amp;".*",'Card Data'!$A:$A,$A38)&amp;" ("&amp;COUNTIFS('Card Data'!$K:$K,"*"&amp;AB$2&amp;".*",'Card Data'!$A:$A,$A38,'Card Data'!$I:$I,"Hero")&amp;")"))</f>
        <v>6 (3)</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1 (1)</v>
      </c>
      <c r="AG38" s="84" t="str">
        <f>IF(COUNTIFS('Card Data'!$K:$K,"*"&amp;AG$2&amp;".*",'Card Data'!$A:$A,$A38)=0,"",IF(COUNTIFS('Card Data'!$K:$K,"*"&amp;AG$2&amp;".*",'Card Data'!$A:$A,$A38,'Card Data'!$I:$I,"Hero")=0,COUNTIFS('Card Data'!$K:$K,"*"&amp;AG$2&amp;".*",'Card Data'!$A:$A,$A38),COUNTIFS('Card Data'!$K:$K,"*"&amp;AG$2&amp;".*",'Card Data'!$A:$A,$A38)&amp;" ("&amp;COUNTIFS('Card Data'!$K:$K,"*"&amp;AG$2&amp;".*",'Card Data'!$A:$A,$A38,'Card Data'!$I:$I,"Hero")&amp;")"))</f>
        <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f>IF(COUNTIFS('Card Data'!$K:$K,"*"&amp;AI$2&amp;".*",'Card Data'!$A:$A,$A38)=0,"",IF(COUNTIFS('Card Data'!$K:$K,"*"&amp;AI$2&amp;".*",'Card Data'!$A:$A,$A38,'Card Data'!$I:$I,"Hero")=0,COUNTIFS('Card Data'!$K:$K,"*"&amp;AI$2&amp;".*",'Card Data'!$A:$A,$A38),COUNTIFS('Card Data'!$K:$K,"*"&amp;AI$2&amp;".*",'Card Data'!$A:$A,$A38)&amp;" ("&amp;COUNTIFS('Card Data'!$K:$K,"*"&amp;AI$2&amp;".*",'Card Data'!$A:$A,$A38,'Card Data'!$I:$I,"Hero")&amp;")"))</f>
        <v>1</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c r="AL38" s="84"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83" customFormat="1" x14ac:dyDescent="0.2">
      <c r="A39" s="80" t="s">
        <v>3452</v>
      </c>
      <c r="B39" s="80" t="s">
        <v>3465</v>
      </c>
      <c r="C39" s="81" t="s">
        <v>5745</v>
      </c>
      <c r="D39" s="80"/>
      <c r="E39" s="82" t="s">
        <v>5874</v>
      </c>
      <c r="F39" s="126"/>
      <c r="G39" s="84">
        <f>SUMIF('Card Data'!$A:$A,$A39,'Card Data'!$E:$E)</f>
        <v>165</v>
      </c>
      <c r="H39" s="84">
        <f>COUNTIFS('Card Data'!$I:$I,N$2,'Card Data'!$A:$A,$A39)</f>
        <v>5</v>
      </c>
      <c r="I39" s="84">
        <f>SUMIFS('Card Data'!$E:$E,'Card Data'!$A:$A,$A39,'Card Data'!$J:$J,"&lt;&gt;",'Card Data'!$J:$J,"&lt;&gt;Burden",'Card Data'!$I:$I,"&lt;&gt;Hero")</f>
        <v>39</v>
      </c>
      <c r="J39" s="84">
        <f>SUMIFS('Card Data'!$E:$E,'Card Data'!$A:$A,$A39,'Card Data'!$J:$J,"",'Card Data'!$I:$I,"&lt;&gt;Campaign")+SUMIFS('Card Data'!$E:$E,'Card Data'!$A:$A,$A39,'Card Data'!$J:$J,"Burden")-K39</f>
        <v>110</v>
      </c>
      <c r="K39" s="84">
        <f>COUNTIFS('Card Data'!$I:$I,K$2,'Card Data'!$A:$A,$A39,'Card Data'!$K:$K,"&lt;&gt;*Side Quest.*")</f>
        <v>8</v>
      </c>
      <c r="L39" s="84">
        <f>COUNTIFS('Card Data'!$I:$I,L$2,'Card Data'!$A:$A,$A39,'Card Data'!$K:$K,"&lt;&gt;*Side Quest.*")</f>
        <v>3</v>
      </c>
      <c r="M39" s="129"/>
      <c r="N39" s="84">
        <f>COUNTIFS('Card Data'!$I:$I,N$2,'Card Data'!$A:$A,$A39)</f>
        <v>5</v>
      </c>
      <c r="O39" s="84">
        <f>COUNTIFS('Card Data'!$I:$I,O$2,'Card Data'!$A:$A,$A39)</f>
        <v>3</v>
      </c>
      <c r="P39" s="84">
        <f>COUNTIFS('Card Data'!$I:$I,P$2,'Card Data'!$A:$A,$A39)</f>
        <v>9</v>
      </c>
      <c r="Q39" s="84">
        <f>COUNTIFS('Card Data'!$I:$I,Q$2,'Card Data'!$A:$A,$A39)</f>
        <v>4</v>
      </c>
      <c r="R39" s="84">
        <f>COUNTIFS('Card Data'!$I:$I,R$2,'Card Data'!$A:$A,$A39)</f>
        <v>9</v>
      </c>
      <c r="S39" s="84">
        <f>COUNTIFS('Card Data'!$I:$I,S$2,'Card Data'!$A:$A,$A39)</f>
        <v>19</v>
      </c>
      <c r="T39" s="84">
        <f>COUNTIFS('Card Data'!$I:$I,T$2,'Card Data'!$A:$A,$A39)</f>
        <v>21</v>
      </c>
      <c r="U39" s="129"/>
      <c r="V39" s="84">
        <f>COUNTIFS('Card Data'!$J:$J,V$2,'Card Data'!$A:$A,$A39)</f>
        <v>3</v>
      </c>
      <c r="W39" s="84">
        <f>COUNTIFS('Card Data'!$J:$J,W$2,'Card Data'!$A:$A,$A39)</f>
        <v>4</v>
      </c>
      <c r="X39" s="84">
        <f>COUNTIFS('Card Data'!$J:$J,X$2,'Card Data'!$A:$A,$A39)</f>
        <v>3</v>
      </c>
      <c r="Y39" s="84">
        <f>COUNTIFS('Card Data'!$J:$J,Y$2,'Card Data'!$A:$A,$A39)</f>
        <v>4</v>
      </c>
      <c r="Z39" s="84">
        <f>COUNTIFS('Card Data'!$J:$J,Z$2,'Card Data'!$A:$A,$A39)</f>
        <v>0</v>
      </c>
      <c r="AA39" s="129"/>
      <c r="AB39" s="84" t="str">
        <f>IF(COUNTIFS('Card Data'!$K:$K,"*"&amp;AB$2&amp;".*",'Card Data'!$A:$A,$A39)=0,"",IF(COUNTIFS('Card Data'!$K:$K,"*"&amp;AB$2&amp;".*",'Card Data'!$A:$A,$A39,'Card Data'!$I:$I,"Hero")=0,COUNTIFS('Card Data'!$K:$K,"*"&amp;AB$2&amp;".*",'Card Data'!$A:$A,$A39),COUNTIFS('Card Data'!$K:$K,"*"&amp;AB$2&amp;".*",'Card Data'!$A:$A,$A39)&amp;" ("&amp;COUNTIFS('Card Data'!$K:$K,"*"&amp;AB$2&amp;".*",'Card Data'!$A:$A,$A39,'Card Data'!$I:$I,"Hero")&amp;")"))</f>
        <v/>
      </c>
      <c r="AC39" s="84" t="str">
        <f>IF(COUNTIFS('Card Data'!$K:$K,"*"&amp;AC$2&amp;".*",'Card Data'!$A:$A,$A39)=0,"",IF(COUNTIFS('Card Data'!$K:$K,"*"&amp;AC$2&amp;".*",'Card Data'!$A:$A,$A39,'Card Data'!$I:$I,"Hero")=0,COUNTIFS('Card Data'!$K:$K,"*"&amp;AC$2&amp;".*",'Card Data'!$A:$A,$A39),COUNTIFS('Card Data'!$K:$K,"*"&amp;AC$2&amp;".*",'Card Data'!$A:$A,$A39)&amp;" ("&amp;COUNTIFS('Card Data'!$K:$K,"*"&amp;AC$2&amp;".*",'Card Data'!$A:$A,$A39,'Card Data'!$I:$I,"Hero")&amp;")"))</f>
        <v/>
      </c>
      <c r="AD39" s="84" t="str">
        <f>IF(COUNTIFS('Card Data'!$K:$K,"*"&amp;AD$2&amp;".*",'Card Data'!$A:$A,$A39)=0,"",IF(COUNTIFS('Card Data'!$K:$K,"*"&amp;AD$2&amp;".*",'Card Data'!$A:$A,$A39,'Card Data'!$I:$I,"Hero")=0,COUNTIFS('Card Data'!$K:$K,"*"&amp;AD$2&amp;".*",'Card Data'!$A:$A,$A39),COUNTIFS('Card Data'!$K:$K,"*"&amp;AD$2&amp;".*",'Card Data'!$A:$A,$A39)&amp;" ("&amp;COUNTIFS('Card Data'!$K:$K,"*"&amp;AD$2&amp;".*",'Card Data'!$A:$A,$A39,'Card Data'!$I:$I,"Hero")&amp;")"))</f>
        <v/>
      </c>
      <c r="AE39" s="84" t="str">
        <f>IF(COUNTIFS('Card Data'!$K:$K,"*"&amp;AE$2&amp;".*",'Card Data'!$A:$A,$A39)=0,"",IF(COUNTIFS('Card Data'!$K:$K,"*"&amp;AE$2&amp;".*",'Card Data'!$A:$A,$A39,'Card Data'!$I:$I,"Hero")=0,COUNTIFS('Card Data'!$K:$K,"*"&amp;AE$2&amp;".*",'Card Data'!$A:$A,$A39),COUNTIFS('Card Data'!$K:$K,"*"&amp;AE$2&amp;".*",'Card Data'!$A:$A,$A39)&amp;" ("&amp;COUNTIFS('Card Data'!$K:$K,"*"&amp;AE$2&amp;".*",'Card Data'!$A:$A,$A39,'Card Data'!$I:$I,"Hero")&amp;")"))</f>
        <v/>
      </c>
      <c r="AF39" s="84" t="str">
        <f>IF(COUNTIFS('Card Data'!$K:$K,"*"&amp;AF$2&amp;".*",'Card Data'!$A:$A,$A39)=0,"",IF(COUNTIFS('Card Data'!$K:$K,"*"&amp;AF$2&amp;".*",'Card Data'!$A:$A,$A39,'Card Data'!$I:$I,"Hero")=0,COUNTIFS('Card Data'!$K:$K,"*"&amp;AF$2&amp;".*",'Card Data'!$A:$A,$A39),COUNTIFS('Card Data'!$K:$K,"*"&amp;AF$2&amp;".*",'Card Data'!$A:$A,$A39)&amp;" ("&amp;COUNTIFS('Card Data'!$K:$K,"*"&amp;AF$2&amp;".*",'Card Data'!$A:$A,$A39,'Card Data'!$I:$I,"Hero")&amp;")"))</f>
        <v>6 (5)</v>
      </c>
      <c r="AG39" s="84" t="str">
        <f>IF(COUNTIFS('Card Data'!$K:$K,"*"&amp;AG$2&amp;".*",'Card Data'!$A:$A,$A39)=0,"",IF(COUNTIFS('Card Data'!$K:$K,"*"&amp;AG$2&amp;".*",'Card Data'!$A:$A,$A39,'Card Data'!$I:$I,"Hero")=0,COUNTIFS('Card Data'!$K:$K,"*"&amp;AG$2&amp;".*",'Card Data'!$A:$A,$A39),COUNTIFS('Card Data'!$K:$K,"*"&amp;AG$2&amp;".*",'Card Data'!$A:$A,$A39)&amp;" ("&amp;COUNTIFS('Card Data'!$K:$K,"*"&amp;AG$2&amp;".*",'Card Data'!$A:$A,$A39,'Card Data'!$I:$I,"Hero")&amp;")"))</f>
        <v/>
      </c>
      <c r="AH39" s="84">
        <f>IF(COUNTIFS('Card Data'!$K:$K,"*"&amp;AH$2&amp;".*",'Card Data'!$A:$A,$A39)=0,"",IF(COUNTIFS('Card Data'!$K:$K,"*"&amp;AH$2&amp;".*",'Card Data'!$A:$A,$A39,'Card Data'!$I:$I,"Hero")=0,COUNTIFS('Card Data'!$K:$K,"*"&amp;AH$2&amp;".*",'Card Data'!$A:$A,$A39),COUNTIFS('Card Data'!$K:$K,"*"&amp;AH$2&amp;".*",'Card Data'!$A:$A,$A39)&amp;" ("&amp;COUNTIFS('Card Data'!$K:$K,"*"&amp;AH$2&amp;".*",'Card Data'!$A:$A,$A39,'Card Data'!$I:$I,"Hero")&amp;")"))</f>
        <v>1</v>
      </c>
      <c r="AI39" s="84" t="str">
        <f>IF(COUNTIFS('Card Data'!$K:$K,"*"&amp;AI$2&amp;".*",'Card Data'!$A:$A,$A39)=0,"",IF(COUNTIFS('Card Data'!$K:$K,"*"&amp;AI$2&amp;".*",'Card Data'!$A:$A,$A39,'Card Data'!$I:$I,"Hero")=0,COUNTIFS('Card Data'!$K:$K,"*"&amp;AI$2&amp;".*",'Card Data'!$A:$A,$A39),COUNTIFS('Card Data'!$K:$K,"*"&amp;AI$2&amp;".*",'Card Data'!$A:$A,$A39)&amp;" ("&amp;COUNTIFS('Card Data'!$K:$K,"*"&amp;AI$2&amp;".*",'Card Data'!$A:$A,$A39,'Card Data'!$I:$I,"Hero")&amp;")"))</f>
        <v/>
      </c>
      <c r="AJ39" s="84" t="str">
        <f>IF(COUNTIFS('Card Data'!$K:$K,"*"&amp;AJ$2&amp;".*",'Card Data'!$A:$A,$A39)=0,"",IF(COUNTIFS('Card Data'!$K:$K,"*"&amp;AJ$2&amp;".*",'Card Data'!$A:$A,$A39,'Card Data'!$I:$I,"Hero")=0,COUNTIFS('Card Data'!$K:$K,"*"&amp;AJ$2&amp;".*",'Card Data'!$A:$A,$A39),COUNTIFS('Card Data'!$K:$K,"*"&amp;AJ$2&amp;".*",'Card Data'!$A:$A,$A39)&amp;" ("&amp;COUNTIFS('Card Data'!$K:$K,"*"&amp;AJ$2&amp;".*",'Card Data'!$A:$A,$A39,'Card Data'!$I:$I,"Hero")&amp;")"))</f>
        <v/>
      </c>
      <c r="AK39" s="84" t="str">
        <f>IF(COUNTIFS('Card Data'!$K:$K,"*"&amp;AK$2&amp;".*",'Card Data'!$A:$A,$A39)=0,"",IF(COUNTIFS('Card Data'!$K:$K,"*"&amp;AK$2&amp;".*",'Card Data'!$A:$A,$A39,'Card Data'!$I:$I,"Hero")=0,COUNTIFS('Card Data'!$K:$K,"*"&amp;AK$2&amp;".*",'Card Data'!$A:$A,$A39),COUNTIFS('Card Data'!$K:$K,"*"&amp;AK$2&amp;".*",'Card Data'!$A:$A,$A39)&amp;" ("&amp;COUNTIFS('Card Data'!$K:$K,"*"&amp;AK$2&amp;".*",'Card Data'!$A:$A,$A39,'Card Data'!$I:$I,"Hero")&amp;")"))</f>
        <v/>
      </c>
      <c r="AL39" s="84"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83" customFormat="1" x14ac:dyDescent="0.2">
      <c r="A40" s="80" t="s">
        <v>10683</v>
      </c>
      <c r="B40" s="80" t="s">
        <v>11010</v>
      </c>
      <c r="C40" s="81" t="s">
        <v>8065</v>
      </c>
      <c r="D40" s="80" t="s">
        <v>5595</v>
      </c>
      <c r="E40" s="82" t="s">
        <v>11011</v>
      </c>
      <c r="F40" s="126"/>
      <c r="G40" s="84">
        <f>SUMIF('Card Data'!$A:$A,$A40,'Card Data'!$E:$E)</f>
        <v>165</v>
      </c>
      <c r="H40" s="84">
        <f>COUNTIFS('Card Data'!$I:$I,N$2,'Card Data'!$A:$A,$A40)</f>
        <v>2</v>
      </c>
      <c r="I40" s="84">
        <f>SUMIFS('Card Data'!$E:$E,'Card Data'!$A:$A,$A40,'Card Data'!$J:$J,"&lt;&gt;",'Card Data'!$J:$J,"&lt;&gt;Burden",'Card Data'!$I:$I,"&lt;&gt;Hero")</f>
        <v>32</v>
      </c>
      <c r="J40" s="84">
        <f>SUMIFS('Card Data'!$E:$E,'Card Data'!$A:$A,$A40,'Card Data'!$J:$J,"",'Card Data'!$I:$I,"&lt;&gt;Campaign")+SUMIFS('Card Data'!$E:$E,'Card Data'!$A:$A,$A40,'Card Data'!$J:$J,"Burden")-K40</f>
        <v>114</v>
      </c>
      <c r="K40" s="84">
        <f>COUNTIFS('Card Data'!$I:$I,K$2,'Card Data'!$A:$A,$A40,'Card Data'!$K:$K,"&lt;&gt;*Side Quest.*")</f>
        <v>14</v>
      </c>
      <c r="L40" s="84">
        <f>COUNTIFS('Card Data'!$I:$I,L$2,'Card Data'!$A:$A,$A40,'Card Data'!$K:$K,"&lt;&gt;*Side Quest.*")</f>
        <v>3</v>
      </c>
      <c r="M40" s="129"/>
      <c r="N40" s="84">
        <f>COUNTIFS('Card Data'!$I:$I,N$2,'Card Data'!$A:$A,$A40)</f>
        <v>2</v>
      </c>
      <c r="O40" s="84">
        <f>COUNTIFS('Card Data'!$I:$I,O$2,'Card Data'!$A:$A,$A40)</f>
        <v>4</v>
      </c>
      <c r="P40" s="84">
        <f>COUNTIFS('Card Data'!$I:$I,P$2,'Card Data'!$A:$A,$A40)</f>
        <v>11</v>
      </c>
      <c r="Q40" s="84">
        <f>COUNTIFS('Card Data'!$I:$I,Q$2,'Card Data'!$A:$A,$A40)</f>
        <v>1</v>
      </c>
      <c r="R40" s="84">
        <f>COUNTIFS('Card Data'!$I:$I,R$2,'Card Data'!$A:$A,$A40)</f>
        <v>15</v>
      </c>
      <c r="S40" s="84">
        <f>COUNTIFS('Card Data'!$I:$I,S$2,'Card Data'!$A:$A,$A40)</f>
        <v>19</v>
      </c>
      <c r="T40" s="84">
        <f>COUNTIFS('Card Data'!$I:$I,T$2,'Card Data'!$A:$A,$A40)</f>
        <v>17</v>
      </c>
      <c r="U40" s="129"/>
      <c r="V40" s="84">
        <f>COUNTIFS('Card Data'!$J:$J,V$2,'Card Data'!$A:$A,$A40)</f>
        <v>1</v>
      </c>
      <c r="W40" s="84">
        <f>COUNTIFS('Card Data'!$J:$J,W$2,'Card Data'!$A:$A,$A40)</f>
        <v>1</v>
      </c>
      <c r="X40" s="84">
        <f>COUNTIFS('Card Data'!$J:$J,X$2,'Card Data'!$A:$A,$A40)</f>
        <v>1</v>
      </c>
      <c r="Y40" s="84">
        <f>COUNTIFS('Card Data'!$J:$J,Y$2,'Card Data'!$A:$A,$A40)</f>
        <v>1</v>
      </c>
      <c r="Z40" s="84">
        <f>COUNTIFS('Card Data'!$J:$J,Z$2,'Card Data'!$A:$A,$A40)</f>
        <v>4</v>
      </c>
      <c r="AA40" s="129"/>
      <c r="AB40" s="84" t="str">
        <f>IF(COUNTIFS('Card Data'!$K:$K,"*"&amp;AB$2&amp;".*",'Card Data'!$A:$A,$A40)=0,"",IF(COUNTIFS('Card Data'!$K:$K,"*"&amp;AB$2&amp;".*",'Card Data'!$A:$A,$A40,'Card Data'!$I:$I,"Hero")=0,COUNTIFS('Card Data'!$K:$K,"*"&amp;AB$2&amp;".*",'Card Data'!$A:$A,$A40),COUNTIFS('Card Data'!$K:$K,"*"&amp;AB$2&amp;".*",'Card Data'!$A:$A,$A40)&amp;" ("&amp;COUNTIFS('Card Data'!$K:$K,"*"&amp;AB$2&amp;".*",'Card Data'!$A:$A,$A40,'Card Data'!$I:$I,"Hero")&amp;")"))</f>
        <v/>
      </c>
      <c r="AC40" s="84">
        <f>IF(COUNTIFS('Card Data'!$K:$K,"*"&amp;AC$2&amp;".*",'Card Data'!$A:$A,$A40)=0,"",IF(COUNTIFS('Card Data'!$K:$K,"*"&amp;AC$2&amp;".*",'Card Data'!$A:$A,$A40,'Card Data'!$I:$I,"Hero")=0,COUNTIFS('Card Data'!$K:$K,"*"&amp;AC$2&amp;".*",'Card Data'!$A:$A,$A40),COUNTIFS('Card Data'!$K:$K,"*"&amp;AC$2&amp;".*",'Card Data'!$A:$A,$A40)&amp;" ("&amp;COUNTIFS('Card Data'!$K:$K,"*"&amp;AC$2&amp;".*",'Card Data'!$A:$A,$A40,'Card Data'!$I:$I,"Hero")&amp;")"))</f>
        <v>1</v>
      </c>
      <c r="AD40" s="84" t="str">
        <f>IF(COUNTIFS('Card Data'!$K:$K,"*"&amp;AD$2&amp;".*",'Card Data'!$A:$A,$A40)=0,"",IF(COUNTIFS('Card Data'!$K:$K,"*"&amp;AD$2&amp;".*",'Card Data'!$A:$A,$A40,'Card Data'!$I:$I,"Hero")=0,COUNTIFS('Card Data'!$K:$K,"*"&amp;AD$2&amp;".*",'Card Data'!$A:$A,$A40),COUNTIFS('Card Data'!$K:$K,"*"&amp;AD$2&amp;".*",'Card Data'!$A:$A,$A40)&amp;" ("&amp;COUNTIFS('Card Data'!$K:$K,"*"&amp;AD$2&amp;".*",'Card Data'!$A:$A,$A40,'Card Data'!$I:$I,"Hero")&amp;")"))</f>
        <v/>
      </c>
      <c r="AE40" s="84" t="str">
        <f>IF(COUNTIFS('Card Data'!$K:$K,"*"&amp;AE$2&amp;".*",'Card Data'!$A:$A,$A40)=0,"",IF(COUNTIFS('Card Data'!$K:$K,"*"&amp;AE$2&amp;".*",'Card Data'!$A:$A,$A40,'Card Data'!$I:$I,"Hero")=0,COUNTIFS('Card Data'!$K:$K,"*"&amp;AE$2&amp;".*",'Card Data'!$A:$A,$A40),COUNTIFS('Card Data'!$K:$K,"*"&amp;AE$2&amp;".*",'Card Data'!$A:$A,$A40)&amp;" ("&amp;COUNTIFS('Card Data'!$K:$K,"*"&amp;AE$2&amp;".*",'Card Data'!$A:$A,$A40,'Card Data'!$I:$I,"Hero")&amp;")"))</f>
        <v/>
      </c>
      <c r="AF40" s="84" t="str">
        <f>IF(COUNTIFS('Card Data'!$K:$K,"*"&amp;AF$2&amp;".*",'Card Data'!$A:$A,$A40)=0,"",IF(COUNTIFS('Card Data'!$K:$K,"*"&amp;AF$2&amp;".*",'Card Data'!$A:$A,$A40,'Card Data'!$I:$I,"Hero")=0,COUNTIFS('Card Data'!$K:$K,"*"&amp;AF$2&amp;".*",'Card Data'!$A:$A,$A40),COUNTIFS('Card Data'!$K:$K,"*"&amp;AF$2&amp;".*",'Card Data'!$A:$A,$A40)&amp;" ("&amp;COUNTIFS('Card Data'!$K:$K,"*"&amp;AF$2&amp;".*",'Card Data'!$A:$A,$A40,'Card Data'!$I:$I,"Hero")&amp;")"))</f>
        <v>2 (1)</v>
      </c>
      <c r="AG40" s="84" t="str">
        <f>IF(COUNTIFS('Card Data'!$K:$K,"*"&amp;AG$2&amp;".*",'Card Data'!$A:$A,$A40)=0,"",IF(COUNTIFS('Card Data'!$K:$K,"*"&amp;AG$2&amp;".*",'Card Data'!$A:$A,$A40,'Card Data'!$I:$I,"Hero")=0,COUNTIFS('Card Data'!$K:$K,"*"&amp;AG$2&amp;".*",'Card Data'!$A:$A,$A40),COUNTIFS('Card Data'!$K:$K,"*"&amp;AG$2&amp;".*",'Card Data'!$A:$A,$A40)&amp;" ("&amp;COUNTIFS('Card Data'!$K:$K,"*"&amp;AG$2&amp;".*",'Card Data'!$A:$A,$A40,'Card Data'!$I:$I,"Hero")&amp;")"))</f>
        <v/>
      </c>
      <c r="AH40" s="84">
        <f>IF(COUNTIFS('Card Data'!$K:$K,"*"&amp;AH$2&amp;".*",'Card Data'!$A:$A,$A40)=0,"",IF(COUNTIFS('Card Data'!$K:$K,"*"&amp;AH$2&amp;".*",'Card Data'!$A:$A,$A40,'Card Data'!$I:$I,"Hero")=0,COUNTIFS('Card Data'!$K:$K,"*"&amp;AH$2&amp;".*",'Card Data'!$A:$A,$A40),COUNTIFS('Card Data'!$K:$K,"*"&amp;AH$2&amp;".*",'Card Data'!$A:$A,$A40)&amp;" ("&amp;COUNTIFS('Card Data'!$K:$K,"*"&amp;AH$2&amp;".*",'Card Data'!$A:$A,$A40,'Card Data'!$I:$I,"Hero")&amp;")"))</f>
        <v>2</v>
      </c>
      <c r="AI40" s="84" t="str">
        <f>IF(COUNTIFS('Card Data'!$K:$K,"*"&amp;AI$2&amp;".*",'Card Data'!$A:$A,$A40)=0,"",IF(COUNTIFS('Card Data'!$K:$K,"*"&amp;AI$2&amp;".*",'Card Data'!$A:$A,$A40,'Card Data'!$I:$I,"Hero")=0,COUNTIFS('Card Data'!$K:$K,"*"&amp;AI$2&amp;".*",'Card Data'!$A:$A,$A40),COUNTIFS('Card Data'!$K:$K,"*"&amp;AI$2&amp;".*",'Card Data'!$A:$A,$A40)&amp;" ("&amp;COUNTIFS('Card Data'!$K:$K,"*"&amp;AI$2&amp;".*",'Card Data'!$A:$A,$A40,'Card Data'!$I:$I,"Hero")&amp;")"))</f>
        <v/>
      </c>
      <c r="AJ40" s="84" t="str">
        <f>IF(COUNTIFS('Card Data'!$K:$K,"*"&amp;AJ$2&amp;".*",'Card Data'!$A:$A,$A40)=0,"",IF(COUNTIFS('Card Data'!$K:$K,"*"&amp;AJ$2&amp;".*",'Card Data'!$A:$A,$A40,'Card Data'!$I:$I,"Hero")=0,COUNTIFS('Card Data'!$K:$K,"*"&amp;AJ$2&amp;".*",'Card Data'!$A:$A,$A40),COUNTIFS('Card Data'!$K:$K,"*"&amp;AJ$2&amp;".*",'Card Data'!$A:$A,$A40)&amp;" ("&amp;COUNTIFS('Card Data'!$K:$K,"*"&amp;AJ$2&amp;".*",'Card Data'!$A:$A,$A40,'Card Data'!$I:$I,"Hero")&amp;")"))</f>
        <v/>
      </c>
      <c r="AK40" s="84">
        <f>IF(COUNTIFS('Card Data'!$K:$K,"*"&amp;AK$2&amp;".*",'Card Data'!$A:$A,$A40)=0,"",IF(COUNTIFS('Card Data'!$K:$K,"*"&amp;AK$2&amp;".*",'Card Data'!$A:$A,$A40,'Card Data'!$I:$I,"Hero")=0,COUNTIFS('Card Data'!$K:$K,"*"&amp;AK$2&amp;".*",'Card Data'!$A:$A,$A40),COUNTIFS('Card Data'!$K:$K,"*"&amp;AK$2&amp;".*",'Card Data'!$A:$A,$A40)&amp;" ("&amp;COUNTIFS('Card Data'!$K:$K,"*"&amp;AK$2&amp;".*",'Card Data'!$A:$A,$A40,'Card Data'!$I:$I,"Hero")&amp;")"))</f>
        <v>2</v>
      </c>
      <c r="AL40" s="84"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88" customFormat="1" x14ac:dyDescent="0.2">
      <c r="A41" s="85" t="s">
        <v>2100</v>
      </c>
      <c r="B41" s="85" t="s">
        <v>5322</v>
      </c>
      <c r="C41" s="86" t="s">
        <v>5745</v>
      </c>
      <c r="D41" s="85"/>
      <c r="E41" s="87" t="s">
        <v>5875</v>
      </c>
      <c r="F41" s="126"/>
      <c r="G41" s="124">
        <f>SUMIF('Card Data'!$A:$A,$A41,'Card Data'!$E:$E)</f>
        <v>37</v>
      </c>
      <c r="H41" s="124">
        <f>COUNTIFS('Card Data'!$I:$I,N$2,'Card Data'!$A:$A,$A41)</f>
        <v>2</v>
      </c>
      <c r="I41" s="124">
        <f>SUMIFS('Card Data'!$E:$E,'Card Data'!$A:$A,$A41,'Card Data'!$J:$J,"&lt;&gt;",'Card Data'!$J:$J,"&lt;&gt;Burden",'Card Data'!$I:$I,"&lt;&gt;Hero")</f>
        <v>0</v>
      </c>
      <c r="J41" s="124">
        <f>SUMIFS('Card Data'!$E:$E,'Card Data'!$A:$A,$A41,'Card Data'!$J:$J,"",'Card Data'!$I:$I,"&lt;&gt;Campaign")+SUMIFS('Card Data'!$E:$E,'Card Data'!$A:$A,$A41,'Card Data'!$J:$J,"Burden")-K41</f>
        <v>34</v>
      </c>
      <c r="K41" s="124">
        <f>COUNTIFS('Card Data'!$I:$I,K$2,'Card Data'!$A:$A,$A41,'Card Data'!$K:$K,"&lt;&gt;*Side Quest.*")</f>
        <v>3</v>
      </c>
      <c r="L41" s="124">
        <f>COUNTIFS('Card Data'!$I:$I,L$2,'Card Data'!$A:$A,$A41,'Card Data'!$K:$K,"&lt;&gt;*Side Quest.*")</f>
        <v>0</v>
      </c>
      <c r="M41" s="129"/>
      <c r="N41" s="124">
        <f>COUNTIFS('Card Data'!$I:$I,N$2,'Card Data'!$A:$A,$A41)</f>
        <v>2</v>
      </c>
      <c r="O41" s="124">
        <f>COUNTIFS('Card Data'!$I:$I,O$2,'Card Data'!$A:$A,$A41)</f>
        <v>0</v>
      </c>
      <c r="P41" s="124">
        <f>COUNTIFS('Card Data'!$I:$I,P$2,'Card Data'!$A:$A,$A41)</f>
        <v>0</v>
      </c>
      <c r="Q41" s="124">
        <f>COUNTIFS('Card Data'!$I:$I,Q$2,'Card Data'!$A:$A,$A41)</f>
        <v>0</v>
      </c>
      <c r="R41" s="124">
        <f>COUNTIFS('Card Data'!$I:$I,R$2,'Card Data'!$A:$A,$A41)</f>
        <v>7</v>
      </c>
      <c r="S41" s="124">
        <f>COUNTIFS('Card Data'!$I:$I,S$2,'Card Data'!$A:$A,$A41)</f>
        <v>4</v>
      </c>
      <c r="T41" s="124">
        <f>COUNTIFS('Card Data'!$I:$I,T$2,'Card Data'!$A:$A,$A41)</f>
        <v>3</v>
      </c>
      <c r="U41" s="129"/>
      <c r="V41" s="124">
        <f>COUNTIFS('Card Data'!$J:$J,V$2,'Card Data'!$A:$A,$A41)</f>
        <v>0</v>
      </c>
      <c r="W41" s="124">
        <f>COUNTIFS('Card Data'!$J:$J,W$2,'Card Data'!$A:$A,$A41)</f>
        <v>0</v>
      </c>
      <c r="X41" s="124">
        <f>COUNTIFS('Card Data'!$J:$J,X$2,'Card Data'!$A:$A,$A41)</f>
        <v>1</v>
      </c>
      <c r="Y41" s="124">
        <f>COUNTIFS('Card Data'!$J:$J,Y$2,'Card Data'!$A:$A,$A41)</f>
        <v>1</v>
      </c>
      <c r="Z41" s="124">
        <f>COUNTIFS('Card Data'!$J:$J,Z$2,'Card Data'!$A:$A,$A41)</f>
        <v>0</v>
      </c>
      <c r="AA41" s="129"/>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1 (1)</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1 (1)</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1 (1)</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c r="AL41" s="124">
        <f>IF(COUNTIFS('Card Data'!$K:$K,"*"&amp;AL$2&amp;".*",'Card Data'!$A:$A,$A41)=0,"",IF(COUNTIFS('Card Data'!$K:$K,"*"&amp;AL$2&amp;".*",'Card Data'!$A:$A,$A41,'Card Data'!$I:$I,"Hero")=0,COUNTIFS('Card Data'!$K:$K,"*"&amp;AL$2&amp;".*",'Card Data'!$A:$A,$A41),COUNTIFS('Card Data'!$K:$K,"*"&amp;AL$2&amp;".*",'Card Data'!$A:$A,$A41)&amp;" ("&amp;COUNTIFS('Card Data'!$K:$K,"*"&amp;AL$2&amp;".*",'Card Data'!$A:$A,$A41,'Card Data'!$I:$I,"Hero")&amp;")"))</f>
        <v>1</v>
      </c>
    </row>
    <row r="42" spans="1:38" s="88" customFormat="1" x14ac:dyDescent="0.2">
      <c r="A42" s="85" t="s">
        <v>1869</v>
      </c>
      <c r="B42" s="85" t="s">
        <v>5333</v>
      </c>
      <c r="C42" s="86" t="s">
        <v>5745</v>
      </c>
      <c r="D42" s="85"/>
      <c r="E42" s="87" t="s">
        <v>5876</v>
      </c>
      <c r="F42" s="126"/>
      <c r="G42" s="124">
        <f>SUMIF('Card Data'!$A:$A,$A42,'Card Data'!$E:$E)</f>
        <v>29</v>
      </c>
      <c r="H42" s="124">
        <f>COUNTIFS('Card Data'!$I:$I,N$2,'Card Data'!$A:$A,$A42)</f>
        <v>1</v>
      </c>
      <c r="I42" s="124">
        <f>SUMIFS('Card Data'!$E:$E,'Card Data'!$A:$A,$A42,'Card Data'!$J:$J,"&lt;&gt;",'Card Data'!$J:$J,"&lt;&gt;Burden",'Card Data'!$I:$I,"&lt;&gt;Hero")</f>
        <v>0</v>
      </c>
      <c r="J42" s="124">
        <f>SUMIFS('Card Data'!$E:$E,'Card Data'!$A:$A,$A42,'Card Data'!$J:$J,"",'Card Data'!$I:$I,"&lt;&gt;Campaign")+SUMIFS('Card Data'!$E:$E,'Card Data'!$A:$A,$A42,'Card Data'!$J:$J,"Burden")-K42</f>
        <v>26</v>
      </c>
      <c r="K42" s="124">
        <f>COUNTIFS('Card Data'!$I:$I,K$2,'Card Data'!$A:$A,$A42,'Card Data'!$K:$K,"&lt;&gt;*Side Quest.*")</f>
        <v>3</v>
      </c>
      <c r="L42" s="124">
        <f>COUNTIFS('Card Data'!$I:$I,L$2,'Card Data'!$A:$A,$A42,'Card Data'!$K:$K,"&lt;&gt;*Side Quest.*")</f>
        <v>0</v>
      </c>
      <c r="M42" s="129"/>
      <c r="N42" s="124">
        <f>COUNTIFS('Card Data'!$I:$I,N$2,'Card Data'!$A:$A,$A42)</f>
        <v>1</v>
      </c>
      <c r="O42" s="124">
        <f>COUNTIFS('Card Data'!$I:$I,O$2,'Card Data'!$A:$A,$A42)</f>
        <v>0</v>
      </c>
      <c r="P42" s="124">
        <f>COUNTIFS('Card Data'!$I:$I,P$2,'Card Data'!$A:$A,$A42)</f>
        <v>0</v>
      </c>
      <c r="Q42" s="124">
        <f>COUNTIFS('Card Data'!$I:$I,Q$2,'Card Data'!$A:$A,$A42)</f>
        <v>0</v>
      </c>
      <c r="R42" s="124">
        <f>COUNTIFS('Card Data'!$I:$I,R$2,'Card Data'!$A:$A,$A42)</f>
        <v>5</v>
      </c>
      <c r="S42" s="124">
        <f>COUNTIFS('Card Data'!$I:$I,S$2,'Card Data'!$A:$A,$A42)</f>
        <v>2</v>
      </c>
      <c r="T42" s="124">
        <f>COUNTIFS('Card Data'!$I:$I,T$2,'Card Data'!$A:$A,$A42)</f>
        <v>2</v>
      </c>
      <c r="U42" s="129"/>
      <c r="V42" s="124">
        <f>COUNTIFS('Card Data'!$J:$J,V$2,'Card Data'!$A:$A,$A42)</f>
        <v>0</v>
      </c>
      <c r="W42" s="124">
        <f>COUNTIFS('Card Data'!$J:$J,W$2,'Card Data'!$A:$A,$A42)</f>
        <v>1</v>
      </c>
      <c r="X42" s="124">
        <f>COUNTIFS('Card Data'!$J:$J,X$2,'Card Data'!$A:$A,$A42)</f>
        <v>0</v>
      </c>
      <c r="Y42" s="124">
        <f>COUNTIFS('Card Data'!$J:$J,Y$2,'Card Data'!$A:$A,$A42)</f>
        <v>0</v>
      </c>
      <c r="Z42" s="124">
        <f>COUNTIFS('Card Data'!$J:$J,Z$2,'Card Data'!$A:$A,$A42)</f>
        <v>0</v>
      </c>
      <c r="AA42" s="129"/>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1 (1)</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c r="AL42" s="12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8" customFormat="1" x14ac:dyDescent="0.2">
      <c r="A43" s="85" t="s">
        <v>1620</v>
      </c>
      <c r="B43" s="85" t="s">
        <v>5328</v>
      </c>
      <c r="C43" s="86" t="s">
        <v>5745</v>
      </c>
      <c r="D43" s="85"/>
      <c r="E43" s="87" t="s">
        <v>5877</v>
      </c>
      <c r="F43" s="126"/>
      <c r="G43" s="124">
        <f>SUMIF('Card Data'!$A:$A,$A43,'Card Data'!$E:$E)</f>
        <v>52</v>
      </c>
      <c r="H43" s="124">
        <f>COUNTIFS('Card Data'!$I:$I,N$2,'Card Data'!$A:$A,$A43)</f>
        <v>0</v>
      </c>
      <c r="I43" s="124">
        <f>SUMIFS('Card Data'!$E:$E,'Card Data'!$A:$A,$A43,'Card Data'!$J:$J,"&lt;&gt;",'Card Data'!$J:$J,"&lt;&gt;Burden",'Card Data'!$I:$I,"&lt;&gt;Hero")</f>
        <v>0</v>
      </c>
      <c r="J43" s="124">
        <f>SUMIFS('Card Data'!$E:$E,'Card Data'!$A:$A,$A43,'Card Data'!$J:$J,"",'Card Data'!$I:$I,"&lt;&gt;Campaign")+SUMIFS('Card Data'!$E:$E,'Card Data'!$A:$A,$A43,'Card Data'!$J:$J,"Burden")-K43</f>
        <v>47</v>
      </c>
      <c r="K43" s="124">
        <f>COUNTIFS('Card Data'!$I:$I,K$2,'Card Data'!$A:$A,$A43,'Card Data'!$K:$K,"&lt;&gt;*Side Quest.*")</f>
        <v>5</v>
      </c>
      <c r="L43" s="124">
        <f>COUNTIFS('Card Data'!$I:$I,L$2,'Card Data'!$A:$A,$A43,'Card Data'!$K:$K,"&lt;&gt;*Side Quest.*")</f>
        <v>0</v>
      </c>
      <c r="M43" s="129"/>
      <c r="N43" s="124">
        <f>COUNTIFS('Card Data'!$I:$I,N$2,'Card Data'!$A:$A,$A43)</f>
        <v>0</v>
      </c>
      <c r="O43" s="124">
        <f>COUNTIFS('Card Data'!$I:$I,O$2,'Card Data'!$A:$A,$A43)</f>
        <v>0</v>
      </c>
      <c r="P43" s="124">
        <f>COUNTIFS('Card Data'!$I:$I,P$2,'Card Data'!$A:$A,$A43)</f>
        <v>0</v>
      </c>
      <c r="Q43" s="124">
        <f>COUNTIFS('Card Data'!$I:$I,Q$2,'Card Data'!$A:$A,$A43)</f>
        <v>0</v>
      </c>
      <c r="R43" s="124">
        <f>COUNTIFS('Card Data'!$I:$I,R$2,'Card Data'!$A:$A,$A43)</f>
        <v>6</v>
      </c>
      <c r="S43" s="124">
        <f>COUNTIFS('Card Data'!$I:$I,S$2,'Card Data'!$A:$A,$A43)</f>
        <v>5</v>
      </c>
      <c r="T43" s="124">
        <f>COUNTIFS('Card Data'!$I:$I,T$2,'Card Data'!$A:$A,$A43)</f>
        <v>5</v>
      </c>
      <c r="U43" s="129"/>
      <c r="V43" s="124">
        <f>COUNTIFS('Card Data'!$J:$J,V$2,'Card Data'!$A:$A,$A43)</f>
        <v>0</v>
      </c>
      <c r="W43" s="124">
        <f>COUNTIFS('Card Data'!$J:$J,W$2,'Card Data'!$A:$A,$A43)</f>
        <v>0</v>
      </c>
      <c r="X43" s="124">
        <f>COUNTIFS('Card Data'!$J:$J,X$2,'Card Data'!$A:$A,$A43)</f>
        <v>0</v>
      </c>
      <c r="Y43" s="124">
        <f>COUNTIFS('Card Data'!$J:$J,Y$2,'Card Data'!$A:$A,$A43)</f>
        <v>0</v>
      </c>
      <c r="Z43" s="124">
        <f>COUNTIFS('Card Data'!$J:$J,Z$2,'Card Data'!$A:$A,$A43)</f>
        <v>0</v>
      </c>
      <c r="AA43" s="129"/>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c r="AL43" s="12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8" customFormat="1" x14ac:dyDescent="0.2">
      <c r="A44" s="85" t="s">
        <v>874</v>
      </c>
      <c r="B44" s="85" t="s">
        <v>5336</v>
      </c>
      <c r="C44" s="86" t="s">
        <v>5745</v>
      </c>
      <c r="D44" s="85"/>
      <c r="E44" s="87" t="s">
        <v>5698</v>
      </c>
      <c r="F44" s="126"/>
      <c r="G44" s="124">
        <f>SUMIF('Card Data'!$A:$A,$A44,'Card Data'!$E:$E)</f>
        <v>0</v>
      </c>
      <c r="H44" s="124">
        <f>COUNTIFS('Card Data'!$I:$I,N$2,'Card Data'!$A:$A,$A44)</f>
        <v>1</v>
      </c>
      <c r="I44" s="124">
        <f>SUMIFS('Card Data'!$E:$E,'Card Data'!$A:$A,$A44,'Card Data'!$J:$J,"&lt;&gt;",'Card Data'!$J:$J,"&lt;&gt;Burden",'Card Data'!$I:$I,"&lt;&gt;Hero")</f>
        <v>0</v>
      </c>
      <c r="J44" s="124">
        <f>SUMIFS('Card Data'!$E:$E,'Card Data'!$A:$A,$A44,'Card Data'!$J:$J,"",'Card Data'!$I:$I,"&lt;&gt;Campaign")+SUMIFS('Card Data'!$E:$E,'Card Data'!$A:$A,$A44,'Card Data'!$J:$J,"Burden")-K44</f>
        <v>-3</v>
      </c>
      <c r="K44" s="124">
        <f>COUNTIFS('Card Data'!$I:$I,K$2,'Card Data'!$A:$A,$A44,'Card Data'!$K:$K,"&lt;&gt;*Side Quest.*")</f>
        <v>3</v>
      </c>
      <c r="L44" s="124">
        <f>COUNTIFS('Card Data'!$I:$I,L$2,'Card Data'!$A:$A,$A44,'Card Data'!$K:$K,"&lt;&gt;*Side Quest.*")</f>
        <v>0</v>
      </c>
      <c r="M44" s="129"/>
      <c r="N44" s="124">
        <f>COUNTIFS('Card Data'!$I:$I,N$2,'Card Data'!$A:$A,$A44)</f>
        <v>1</v>
      </c>
      <c r="O44" s="124">
        <f>COUNTIFS('Card Data'!$I:$I,O$2,'Card Data'!$A:$A,$A44)</f>
        <v>0</v>
      </c>
      <c r="P44" s="124">
        <f>COUNTIFS('Card Data'!$I:$I,P$2,'Card Data'!$A:$A,$A44)</f>
        <v>0</v>
      </c>
      <c r="Q44" s="124">
        <f>COUNTIFS('Card Data'!$I:$I,Q$2,'Card Data'!$A:$A,$A44)</f>
        <v>0</v>
      </c>
      <c r="R44" s="124">
        <f>COUNTIFS('Card Data'!$I:$I,R$2,'Card Data'!$A:$A,$A44)</f>
        <v>0</v>
      </c>
      <c r="S44" s="124">
        <f>COUNTIFS('Card Data'!$I:$I,S$2,'Card Data'!$A:$A,$A44)</f>
        <v>1</v>
      </c>
      <c r="T44" s="124">
        <f>COUNTIFS('Card Data'!$I:$I,T$2,'Card Data'!$A:$A,$A44)</f>
        <v>0</v>
      </c>
      <c r="U44" s="129"/>
      <c r="V44" s="124">
        <f>COUNTIFS('Card Data'!$J:$J,V$2,'Card Data'!$A:$A,$A44)</f>
        <v>1</v>
      </c>
      <c r="W44" s="124">
        <f>COUNTIFS('Card Data'!$J:$J,W$2,'Card Data'!$A:$A,$A44)</f>
        <v>0</v>
      </c>
      <c r="X44" s="124">
        <f>COUNTIFS('Card Data'!$J:$J,X$2,'Card Data'!$A:$A,$A44)</f>
        <v>0</v>
      </c>
      <c r="Y44" s="124">
        <f>COUNTIFS('Card Data'!$J:$J,Y$2,'Card Data'!$A:$A,$A44)</f>
        <v>0</v>
      </c>
      <c r="Z44" s="124">
        <f>COUNTIFS('Card Data'!$J:$J,Z$2,'Card Data'!$A:$A,$A44)</f>
        <v>0</v>
      </c>
      <c r="AA44" s="129"/>
      <c r="AB44" s="124" t="str">
        <f>IF(COUNTIFS('Card Data'!$K:$K,"*"&amp;AB$2&amp;".*",'Card Data'!$A:$A,$A44)=0,"",IF(COUNTIFS('Card Data'!$K:$K,"*"&amp;AB$2&amp;".*",'Card Data'!$A:$A,$A44,'Card Data'!$I:$I,"Hero")=0,COUNTIFS('Card Data'!$K:$K,"*"&amp;AB$2&amp;".*",'Card Data'!$A:$A,$A44),COUNTIFS('Card Data'!$K:$K,"*"&amp;AB$2&amp;".*",'Card Data'!$A:$A,$A44)&amp;" ("&amp;COUNTIFS('Card Data'!$K:$K,"*"&amp;AB$2&amp;".*",'Card Data'!$A:$A,$A44,'Card Data'!$I:$I,"Hero")&amp;")"))</f>
        <v>1 (1)</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c r="AL44" s="12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1597</v>
      </c>
      <c r="B45" s="85" t="s">
        <v>5327</v>
      </c>
      <c r="C45" s="86" t="s">
        <v>5745</v>
      </c>
      <c r="D45" s="85"/>
      <c r="E45" s="87" t="s">
        <v>5878</v>
      </c>
      <c r="F45" s="126"/>
      <c r="G45" s="124">
        <f>SUMIF('Card Data'!$A:$A,$A45,'Card Data'!$E:$E)</f>
        <v>6</v>
      </c>
      <c r="H45" s="124">
        <f>COUNTIFS('Card Data'!$I:$I,N$2,'Card Data'!$A:$A,$A45)</f>
        <v>0</v>
      </c>
      <c r="I45" s="124">
        <f>SUMIFS('Card Data'!$E:$E,'Card Data'!$A:$A,$A45,'Card Data'!$J:$J,"&lt;&gt;",'Card Data'!$J:$J,"&lt;&gt;Burden",'Card Data'!$I:$I,"&lt;&gt;Hero")</f>
        <v>0</v>
      </c>
      <c r="J45" s="124">
        <f>SUMIFS('Card Data'!$E:$E,'Card Data'!$A:$A,$A45,'Card Data'!$J:$J,"",'Card Data'!$I:$I,"&lt;&gt;Campaign")+SUMIFS('Card Data'!$E:$E,'Card Data'!$A:$A,$A45,'Card Data'!$J:$J,"Burden")-K45</f>
        <v>5</v>
      </c>
      <c r="K45" s="124">
        <f>COUNTIFS('Card Data'!$I:$I,K$2,'Card Data'!$A:$A,$A45,'Card Data'!$K:$K,"&lt;&gt;*Side Quest.*")</f>
        <v>1</v>
      </c>
      <c r="L45" s="124">
        <f>COUNTIFS('Card Data'!$I:$I,L$2,'Card Data'!$A:$A,$A45,'Card Data'!$K:$K,"&lt;&gt;*Side Quest.*")</f>
        <v>0</v>
      </c>
      <c r="M45" s="129"/>
      <c r="N45" s="124">
        <f>COUNTIFS('Card Data'!$I:$I,N$2,'Card Data'!$A:$A,$A45)</f>
        <v>0</v>
      </c>
      <c r="O45" s="124">
        <f>COUNTIFS('Card Data'!$I:$I,O$2,'Card Data'!$A:$A,$A45)</f>
        <v>0</v>
      </c>
      <c r="P45" s="124">
        <f>COUNTIFS('Card Data'!$I:$I,P$2,'Card Data'!$A:$A,$A45)</f>
        <v>0</v>
      </c>
      <c r="Q45" s="124">
        <f>COUNTIFS('Card Data'!$I:$I,Q$2,'Card Data'!$A:$A,$A45)</f>
        <v>0</v>
      </c>
      <c r="R45" s="124">
        <f>COUNTIFS('Card Data'!$I:$I,R$2,'Card Data'!$A:$A,$A45)</f>
        <v>1</v>
      </c>
      <c r="S45" s="124">
        <f>COUNTIFS('Card Data'!$I:$I,S$2,'Card Data'!$A:$A,$A45)</f>
        <v>4</v>
      </c>
      <c r="T45" s="124">
        <f>COUNTIFS('Card Data'!$I:$I,T$2,'Card Data'!$A:$A,$A45)</f>
        <v>0</v>
      </c>
      <c r="U45" s="129"/>
      <c r="V45" s="124">
        <f>COUNTIFS('Card Data'!$J:$J,V$2,'Card Data'!$A:$A,$A45)</f>
        <v>0</v>
      </c>
      <c r="W45" s="124">
        <f>COUNTIFS('Card Data'!$J:$J,W$2,'Card Data'!$A:$A,$A45)</f>
        <v>0</v>
      </c>
      <c r="X45" s="124">
        <f>COUNTIFS('Card Data'!$J:$J,X$2,'Card Data'!$A:$A,$A45)</f>
        <v>0</v>
      </c>
      <c r="Y45" s="124">
        <f>COUNTIFS('Card Data'!$J:$J,Y$2,'Card Data'!$A:$A,$A45)</f>
        <v>0</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2148</v>
      </c>
      <c r="B46" s="85" t="s">
        <v>5324</v>
      </c>
      <c r="C46" s="86" t="s">
        <v>5745</v>
      </c>
      <c r="D46" s="85"/>
      <c r="E46" s="87" t="s">
        <v>5879</v>
      </c>
      <c r="F46" s="126"/>
      <c r="G46" s="124">
        <f>SUMIF('Card Data'!$A:$A,$A46,'Card Data'!$E:$E)</f>
        <v>0</v>
      </c>
      <c r="H46" s="124">
        <f>COUNTIFS('Card Data'!$I:$I,N$2,'Card Data'!$A:$A,$A46)</f>
        <v>0</v>
      </c>
      <c r="I46" s="124">
        <f>SUMIFS('Card Data'!$E:$E,'Card Data'!$A:$A,$A46,'Card Data'!$J:$J,"&lt;&gt;",'Card Data'!$J:$J,"&lt;&gt;Burden",'Card Data'!$I:$I,"&lt;&gt;Hero")</f>
        <v>0</v>
      </c>
      <c r="J46" s="124">
        <f>SUMIFS('Card Data'!$E:$E,'Card Data'!$A:$A,$A46,'Card Data'!$J:$J,"",'Card Data'!$I:$I,"&lt;&gt;Campaign")+SUMIFS('Card Data'!$E:$E,'Card Data'!$A:$A,$A46,'Card Data'!$J:$J,"Burden")-K46</f>
        <v>-9</v>
      </c>
      <c r="K46" s="124">
        <f>COUNTIFS('Card Data'!$I:$I,K$2,'Card Data'!$A:$A,$A46,'Card Data'!$K:$K,"&lt;&gt;*Side Quest.*")</f>
        <v>9</v>
      </c>
      <c r="L46" s="124">
        <f>COUNTIFS('Card Data'!$I:$I,L$2,'Card Data'!$A:$A,$A46,'Card Data'!$K:$K,"&lt;&gt;*Side Quest.*")</f>
        <v>0</v>
      </c>
      <c r="M46" s="129"/>
      <c r="N46" s="124">
        <f>COUNTIFS('Card Data'!$I:$I,N$2,'Card Data'!$A:$A,$A46)</f>
        <v>0</v>
      </c>
      <c r="O46" s="124">
        <f>COUNTIFS('Card Data'!$I:$I,O$2,'Card Data'!$A:$A,$A46)</f>
        <v>0</v>
      </c>
      <c r="P46" s="124">
        <f>COUNTIFS('Card Data'!$I:$I,P$2,'Card Data'!$A:$A,$A46)</f>
        <v>0</v>
      </c>
      <c r="Q46" s="124">
        <f>COUNTIFS('Card Data'!$I:$I,Q$2,'Card Data'!$A:$A,$A46)</f>
        <v>0</v>
      </c>
      <c r="R46" s="124">
        <f>COUNTIFS('Card Data'!$I:$I,R$2,'Card Data'!$A:$A,$A46)</f>
        <v>2</v>
      </c>
      <c r="S46" s="124">
        <f>COUNTIFS('Card Data'!$I:$I,S$2,'Card Data'!$A:$A,$A46)</f>
        <v>0</v>
      </c>
      <c r="T46" s="124">
        <f>COUNTIFS('Card Data'!$I:$I,T$2,'Card Data'!$A:$A,$A46)</f>
        <v>0</v>
      </c>
      <c r="U46" s="129"/>
      <c r="V46" s="124">
        <f>COUNTIFS('Card Data'!$J:$J,V$2,'Card Data'!$A:$A,$A46)</f>
        <v>0</v>
      </c>
      <c r="W46" s="124">
        <f>COUNTIFS('Card Data'!$J:$J,W$2,'Card Data'!$A:$A,$A46)</f>
        <v>0</v>
      </c>
      <c r="X46" s="124">
        <f>COUNTIFS('Card Data'!$J:$J,X$2,'Card Data'!$A:$A,$A46)</f>
        <v>0</v>
      </c>
      <c r="Y46" s="124">
        <f>COUNTIFS('Card Data'!$J:$J,Y$2,'Card Data'!$A:$A,$A46)</f>
        <v>0</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1899</v>
      </c>
      <c r="B47" s="85" t="s">
        <v>5323</v>
      </c>
      <c r="C47" s="86" t="s">
        <v>5745</v>
      </c>
      <c r="D47" s="85"/>
      <c r="E47" s="87" t="s">
        <v>5880</v>
      </c>
      <c r="F47" s="126"/>
      <c r="G47" s="124">
        <f>SUMIF('Card Data'!$A:$A,$A47,'Card Data'!$E:$E)</f>
        <v>144</v>
      </c>
      <c r="H47" s="124">
        <f>COUNTIFS('Card Data'!$I:$I,N$2,'Card Data'!$A:$A,$A47)</f>
        <v>6</v>
      </c>
      <c r="I47" s="124">
        <f>SUMIFS('Card Data'!$E:$E,'Card Data'!$A:$A,$A47,'Card Data'!$J:$J,"&lt;&gt;",'Card Data'!$J:$J,"&lt;&gt;Burden",'Card Data'!$I:$I,"&lt;&gt;Hero")</f>
        <v>0</v>
      </c>
      <c r="J47" s="124">
        <f>SUMIFS('Card Data'!$E:$E,'Card Data'!$A:$A,$A47,'Card Data'!$J:$J,"",'Card Data'!$I:$I,"&lt;&gt;Campaign")+SUMIFS('Card Data'!$E:$E,'Card Data'!$A:$A,$A47,'Card Data'!$J:$J,"Burden")-K47</f>
        <v>120</v>
      </c>
      <c r="K47" s="124">
        <f>COUNTIFS('Card Data'!$I:$I,K$2,'Card Data'!$A:$A,$A47,'Card Data'!$K:$K,"&lt;&gt;*Side Quest.*")</f>
        <v>16</v>
      </c>
      <c r="L47" s="124">
        <f>COUNTIFS('Card Data'!$I:$I,L$2,'Card Data'!$A:$A,$A47,'Card Data'!$K:$K,"&lt;&gt;*Side Quest.*")</f>
        <v>2</v>
      </c>
      <c r="M47" s="129"/>
      <c r="N47" s="124">
        <f>COUNTIFS('Card Data'!$I:$I,N$2,'Card Data'!$A:$A,$A47)</f>
        <v>6</v>
      </c>
      <c r="O47" s="124">
        <f>COUNTIFS('Card Data'!$I:$I,O$2,'Card Data'!$A:$A,$A47)</f>
        <v>0</v>
      </c>
      <c r="P47" s="124">
        <f>COUNTIFS('Card Data'!$I:$I,P$2,'Card Data'!$A:$A,$A47)</f>
        <v>0</v>
      </c>
      <c r="Q47" s="124">
        <f>COUNTIFS('Card Data'!$I:$I,Q$2,'Card Data'!$A:$A,$A47)</f>
        <v>0</v>
      </c>
      <c r="R47" s="124">
        <f>COUNTIFS('Card Data'!$I:$I,R$2,'Card Data'!$A:$A,$A47)</f>
        <v>24</v>
      </c>
      <c r="S47" s="124">
        <f>COUNTIFS('Card Data'!$I:$I,S$2,'Card Data'!$A:$A,$A47)</f>
        <v>15</v>
      </c>
      <c r="T47" s="124">
        <f>COUNTIFS('Card Data'!$I:$I,T$2,'Card Data'!$A:$A,$A47)</f>
        <v>14</v>
      </c>
      <c r="U47" s="129"/>
      <c r="V47" s="124">
        <f>COUNTIFS('Card Data'!$J:$J,V$2,'Card Data'!$A:$A,$A47)</f>
        <v>1</v>
      </c>
      <c r="W47" s="124">
        <f>COUNTIFS('Card Data'!$J:$J,W$2,'Card Data'!$A:$A,$A47)</f>
        <v>2</v>
      </c>
      <c r="X47" s="124">
        <f>COUNTIFS('Card Data'!$J:$J,X$2,'Card Data'!$A:$A,$A47)</f>
        <v>1</v>
      </c>
      <c r="Y47" s="124">
        <f>COUNTIFS('Card Data'!$J:$J,Y$2,'Card Data'!$A:$A,$A47)</f>
        <v>2</v>
      </c>
      <c r="Z47" s="124">
        <f>COUNTIFS('Card Data'!$J:$J,Z$2,'Card Data'!$A:$A,$A47)</f>
        <v>0</v>
      </c>
      <c r="AA47" s="129"/>
      <c r="AB47" s="124">
        <f>IF(COUNTIFS('Card Data'!$K:$K,"*"&amp;AB$2&amp;".*",'Card Data'!$A:$A,$A47)=0,"",IF(COUNTIFS('Card Data'!$K:$K,"*"&amp;AB$2&amp;".*",'Card Data'!$A:$A,$A47,'Card Data'!$I:$I,"Hero")=0,COUNTIFS('Card Data'!$K:$K,"*"&amp;AB$2&amp;".*",'Card Data'!$A:$A,$A47),COUNTIFS('Card Data'!$K:$K,"*"&amp;AB$2&amp;".*",'Card Data'!$A:$A,$A47)&amp;" ("&amp;COUNTIFS('Card Data'!$K:$K,"*"&amp;AB$2&amp;".*",'Card Data'!$A:$A,$A47,'Card Data'!$I:$I,"Hero")&amp;")"))</f>
        <v>1</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6 (5)</v>
      </c>
      <c r="AJ47" s="124">
        <f>IF(COUNTIFS('Card Data'!$K:$K,"*"&amp;AJ$2&amp;".*",'Card Data'!$A:$A,$A47)=0,"",IF(COUNTIFS('Card Data'!$K:$K,"*"&amp;AJ$2&amp;".*",'Card Data'!$A:$A,$A47,'Card Data'!$I:$I,"Hero")=0,COUNTIFS('Card Data'!$K:$K,"*"&amp;AJ$2&amp;".*",'Card Data'!$A:$A,$A47),COUNTIFS('Card Data'!$K:$K,"*"&amp;AJ$2&amp;".*",'Card Data'!$A:$A,$A47)&amp;" ("&amp;COUNTIFS('Card Data'!$K:$K,"*"&amp;AJ$2&amp;".*",'Card Data'!$A:$A,$A47,'Card Data'!$I:$I,"Hero")&amp;")"))</f>
        <v>1</v>
      </c>
      <c r="AK47" s="124">
        <f>IF(COUNTIFS('Card Data'!$K:$K,"*"&amp;AK$2&amp;".*",'Card Data'!$A:$A,$A47)=0,"",IF(COUNTIFS('Card Data'!$K:$K,"*"&amp;AK$2&amp;".*",'Card Data'!$A:$A,$A47,'Card Data'!$I:$I,"Hero")=0,COUNTIFS('Card Data'!$K:$K,"*"&amp;AK$2&amp;".*",'Card Data'!$A:$A,$A47),COUNTIFS('Card Data'!$K:$K,"*"&amp;AK$2&amp;".*",'Card Data'!$A:$A,$A47)&amp;" ("&amp;COUNTIFS('Card Data'!$K:$K,"*"&amp;AK$2&amp;".*",'Card Data'!$A:$A,$A47,'Card Data'!$I:$I,"Hero")&amp;")"))</f>
        <v>2</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1668</v>
      </c>
      <c r="B48" s="85" t="s">
        <v>5326</v>
      </c>
      <c r="C48" s="86" t="s">
        <v>5745</v>
      </c>
      <c r="D48" s="85"/>
      <c r="E48" s="87" t="s">
        <v>5881</v>
      </c>
      <c r="F48" s="126"/>
      <c r="G48" s="124">
        <f>SUMIF('Card Data'!$A:$A,$A48,'Card Data'!$E:$E)</f>
        <v>22</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0</v>
      </c>
      <c r="K48" s="124">
        <f>COUNTIFS('Card Data'!$I:$I,K$2,'Card Data'!$A:$A,$A48,'Card Data'!$K:$K,"&lt;&gt;*Side Quest.*")</f>
        <v>22</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f>COUNTIFS('Card Data'!$I:$I,T$2,'Card Data'!$A:$A,$A48)</f>
        <v>0</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2188</v>
      </c>
      <c r="B49" s="85" t="s">
        <v>5335</v>
      </c>
      <c r="C49" s="86" t="s">
        <v>5745</v>
      </c>
      <c r="D49" s="85"/>
      <c r="E49" s="87" t="s">
        <v>5882</v>
      </c>
      <c r="F49" s="126"/>
      <c r="G49" s="124">
        <f>SUMIF('Card Data'!$A:$A,$A49,'Card Data'!$E:$E)</f>
        <v>13</v>
      </c>
      <c r="H49" s="124">
        <f>COUNTIFS('Card Data'!$I:$I,N$2,'Card Data'!$A:$A,$A49)</f>
        <v>0</v>
      </c>
      <c r="I49" s="124">
        <f>SUMIFS('Card Data'!$E:$E,'Card Data'!$A:$A,$A49,'Card Data'!$J:$J,"&lt;&gt;",'Card Data'!$J:$J,"&lt;&gt;Burden",'Card Data'!$I:$I,"&lt;&gt;Hero")</f>
        <v>0</v>
      </c>
      <c r="J49" s="124">
        <f>SUMIFS('Card Data'!$E:$E,'Card Data'!$A:$A,$A49,'Card Data'!$J:$J,"",'Card Data'!$I:$I,"&lt;&gt;Campaign")+SUMIFS('Card Data'!$E:$E,'Card Data'!$A:$A,$A49,'Card Data'!$J:$J,"Burden")-K49</f>
        <v>10</v>
      </c>
      <c r="K49" s="124">
        <f>COUNTIFS('Card Data'!$I:$I,K$2,'Card Data'!$A:$A,$A49,'Card Data'!$K:$K,"&lt;&gt;*Side Quest.*")</f>
        <v>3</v>
      </c>
      <c r="L49" s="124">
        <f>COUNTIFS('Card Data'!$I:$I,L$2,'Card Data'!$A:$A,$A49,'Card Data'!$K:$K,"&lt;&gt;*Side Quest.*")</f>
        <v>0</v>
      </c>
      <c r="M49" s="129"/>
      <c r="N49" s="124">
        <f>COUNTIFS('Card Data'!$I:$I,N$2,'Card Data'!$A:$A,$A49)</f>
        <v>0</v>
      </c>
      <c r="O49" s="124">
        <f>COUNTIFS('Card Data'!$I:$I,O$2,'Card Data'!$A:$A,$A49)</f>
        <v>0</v>
      </c>
      <c r="P49" s="124">
        <f>COUNTIFS('Card Data'!$I:$I,P$2,'Card Data'!$A:$A,$A49)</f>
        <v>0</v>
      </c>
      <c r="Q49" s="124">
        <f>COUNTIFS('Card Data'!$I:$I,Q$2,'Card Data'!$A:$A,$A49)</f>
        <v>0</v>
      </c>
      <c r="R49" s="124">
        <f>COUNTIFS('Card Data'!$I:$I,R$2,'Card Data'!$A:$A,$A49)</f>
        <v>1</v>
      </c>
      <c r="S49" s="124">
        <f>COUNTIFS('Card Data'!$I:$I,S$2,'Card Data'!$A:$A,$A49)</f>
        <v>0</v>
      </c>
      <c r="T49" s="124">
        <f>COUNTIFS('Card Data'!$I:$I,T$2,'Card Data'!$A:$A,$A49)</f>
        <v>0</v>
      </c>
      <c r="U49" s="129"/>
      <c r="V49" s="124">
        <f>COUNTIFS('Card Data'!$J:$J,V$2,'Card Data'!$A:$A,$A49)</f>
        <v>0</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897</v>
      </c>
      <c r="B50" s="85" t="s">
        <v>5325</v>
      </c>
      <c r="C50" s="86" t="s">
        <v>5745</v>
      </c>
      <c r="D50" s="85"/>
      <c r="E50" s="87" t="s">
        <v>5883</v>
      </c>
      <c r="F50" s="126"/>
      <c r="G50" s="124">
        <f>SUMIF('Card Data'!$A:$A,$A50,'Card Data'!$E:$E)</f>
        <v>5</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2</v>
      </c>
      <c r="K50" s="124">
        <f>COUNTIFS('Card Data'!$I:$I,K$2,'Card Data'!$A:$A,$A50,'Card Data'!$K:$K,"&lt;&gt;*Side Quest.*")</f>
        <v>3</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0</v>
      </c>
      <c r="S50" s="124">
        <f>COUNTIFS('Card Data'!$I:$I,S$2,'Card Data'!$A:$A,$A50)</f>
        <v>1</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2183</v>
      </c>
      <c r="B51" s="85" t="s">
        <v>5332</v>
      </c>
      <c r="C51" s="86" t="s">
        <v>5745</v>
      </c>
      <c r="D51" s="85"/>
      <c r="E51" s="87" t="s">
        <v>5884</v>
      </c>
      <c r="F51" s="126"/>
      <c r="G51" s="124">
        <f>SUMIF('Card Data'!$A:$A,$A51,'Card Data'!$E:$E)</f>
        <v>1</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0</v>
      </c>
      <c r="K51" s="124">
        <f>COUNTIFS('Card Data'!$I:$I,K$2,'Card Data'!$A:$A,$A51,'Card Data'!$K:$K,"&lt;&gt;*Side Quest.*")</f>
        <v>1</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0</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1733</v>
      </c>
      <c r="B52" s="85" t="s">
        <v>5334</v>
      </c>
      <c r="C52" s="86" t="s">
        <v>5745</v>
      </c>
      <c r="D52" s="85"/>
      <c r="E52" s="87" t="s">
        <v>5885</v>
      </c>
      <c r="F52" s="126"/>
      <c r="G52" s="124">
        <f>SUMIF('Card Data'!$A:$A,$A52,'Card Data'!$E:$E)</f>
        <v>101</v>
      </c>
      <c r="H52" s="124">
        <f>COUNTIFS('Card Data'!$I:$I,N$2,'Card Data'!$A:$A,$A52)</f>
        <v>0</v>
      </c>
      <c r="I52" s="124">
        <f>SUMIFS('Card Data'!$E:$E,'Card Data'!$A:$A,$A52,'Card Data'!$J:$J,"&lt;&gt;",'Card Data'!$J:$J,"&lt;&gt;Burden",'Card Data'!$I:$I,"&lt;&gt;Hero")</f>
        <v>0</v>
      </c>
      <c r="J52" s="124">
        <f>SUMIFS('Card Data'!$E:$E,'Card Data'!$A:$A,$A52,'Card Data'!$J:$J,"",'Card Data'!$I:$I,"&lt;&gt;Campaign")+SUMIFS('Card Data'!$E:$E,'Card Data'!$A:$A,$A52,'Card Data'!$J:$J,"Burden")-K52</f>
        <v>99</v>
      </c>
      <c r="K52" s="124">
        <f>COUNTIFS('Card Data'!$I:$I,K$2,'Card Data'!$A:$A,$A52,'Card Data'!$K:$K,"&lt;&gt;*Side Quest.*")</f>
        <v>1</v>
      </c>
      <c r="L52" s="124">
        <f>COUNTIFS('Card Data'!$I:$I,L$2,'Card Data'!$A:$A,$A52,'Card Data'!$K:$K,"&lt;&gt;*Side Quest.*")</f>
        <v>1</v>
      </c>
      <c r="M52" s="129"/>
      <c r="N52" s="124">
        <f>COUNTIFS('Card Data'!$I:$I,N$2,'Card Data'!$A:$A,$A52)</f>
        <v>0</v>
      </c>
      <c r="O52" s="124">
        <f>COUNTIFS('Card Data'!$I:$I,O$2,'Card Data'!$A:$A,$A52)</f>
        <v>0</v>
      </c>
      <c r="P52" s="124">
        <f>COUNTIFS('Card Data'!$I:$I,P$2,'Card Data'!$A:$A,$A52)</f>
        <v>0</v>
      </c>
      <c r="Q52" s="124">
        <f>COUNTIFS('Card Data'!$I:$I,Q$2,'Card Data'!$A:$A,$A52)</f>
        <v>0</v>
      </c>
      <c r="R52" s="124">
        <f>COUNTIFS('Card Data'!$I:$I,R$2,'Card Data'!$A:$A,$A52)</f>
        <v>12</v>
      </c>
      <c r="S52" s="124">
        <f>COUNTIFS('Card Data'!$I:$I,S$2,'Card Data'!$A:$A,$A52)</f>
        <v>15</v>
      </c>
      <c r="T52" s="124">
        <f>COUNTIFS('Card Data'!$I:$I,T$2,'Card Data'!$A:$A,$A52)</f>
        <v>7</v>
      </c>
      <c r="U52" s="129"/>
      <c r="V52" s="124">
        <f>COUNTIFS('Card Data'!$J:$J,V$2,'Card Data'!$A:$A,$A52)</f>
        <v>0</v>
      </c>
      <c r="W52" s="124">
        <f>COUNTIFS('Card Data'!$J:$J,W$2,'Card Data'!$A:$A,$A52)</f>
        <v>0</v>
      </c>
      <c r="X52" s="124">
        <f>COUNTIFS('Card Data'!$J:$J,X$2,'Card Data'!$A:$A,$A52)</f>
        <v>0</v>
      </c>
      <c r="Y52" s="124">
        <f>COUNTIFS('Card Data'!$J:$J,Y$2,'Card Data'!$A:$A,$A52)</f>
        <v>0</v>
      </c>
      <c r="Z52" s="124">
        <f>COUNTIFS('Card Data'!$J:$J,Z$2,'Card Data'!$A:$A,$A52)</f>
        <v>0</v>
      </c>
      <c r="AA52" s="129"/>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916</v>
      </c>
      <c r="B53" s="85" t="s">
        <v>5329</v>
      </c>
      <c r="C53" s="86" t="s">
        <v>8213</v>
      </c>
      <c r="D53" s="85"/>
      <c r="E53" s="87" t="s">
        <v>5886</v>
      </c>
      <c r="F53" s="126"/>
      <c r="G53" s="124">
        <f>SUMIF('Card Data'!$A:$A,$A53,'Card Data'!$E:$E)</f>
        <v>432</v>
      </c>
      <c r="H53" s="124">
        <f>COUNTIFS('Card Data'!$I:$I,N$2,'Card Data'!$A:$A,$A53)</f>
        <v>15</v>
      </c>
      <c r="I53" s="124">
        <f>SUMIFS('Card Data'!$E:$E,'Card Data'!$A:$A,$A53,'Card Data'!$J:$J,"&lt;&gt;",'Card Data'!$J:$J,"&lt;&gt;Burden",'Card Data'!$I:$I,"&lt;&gt;Hero")</f>
        <v>255</v>
      </c>
      <c r="J53" s="124">
        <f>SUMIFS('Card Data'!$E:$E,'Card Data'!$A:$A,$A53,'Card Data'!$J:$J,"",'Card Data'!$I:$I,"&lt;&gt;Campaign")+SUMIFS('Card Data'!$E:$E,'Card Data'!$A:$A,$A53,'Card Data'!$J:$J,"Burden")-K53</f>
        <v>149</v>
      </c>
      <c r="K53" s="124">
        <f>COUNTIFS('Card Data'!$I:$I,K$2,'Card Data'!$A:$A,$A53,'Card Data'!$K:$K,"&lt;&gt;*Side Quest.*")</f>
        <v>10</v>
      </c>
      <c r="L53" s="124">
        <f>COUNTIFS('Card Data'!$I:$I,L$2,'Card Data'!$A:$A,$A53,'Card Data'!$K:$K,"&lt;&gt;*Side Quest.*")</f>
        <v>3</v>
      </c>
      <c r="M53" s="129"/>
      <c r="N53" s="124">
        <f>COUNTIFS('Card Data'!$I:$I,N$2,'Card Data'!$A:$A,$A53)</f>
        <v>15</v>
      </c>
      <c r="O53" s="124">
        <f>COUNTIFS('Card Data'!$I:$I,O$2,'Card Data'!$A:$A,$A53)</f>
        <v>29</v>
      </c>
      <c r="P53" s="124">
        <f>COUNTIFS('Card Data'!$I:$I,P$2,'Card Data'!$A:$A,$A53)</f>
        <v>25</v>
      </c>
      <c r="Q53" s="124">
        <f>COUNTIFS('Card Data'!$I:$I,Q$2,'Card Data'!$A:$A,$A53)</f>
        <v>33</v>
      </c>
      <c r="R53" s="124">
        <f>COUNTIFS('Card Data'!$I:$I,R$2,'Card Data'!$A:$A,$A53)</f>
        <v>22</v>
      </c>
      <c r="S53" s="124">
        <f>COUNTIFS('Card Data'!$I:$I,S$2,'Card Data'!$A:$A,$A53)</f>
        <v>27</v>
      </c>
      <c r="T53" s="124">
        <f>COUNTIFS('Card Data'!$I:$I,T$2,'Card Data'!$A:$A,$A53)</f>
        <v>18</v>
      </c>
      <c r="U53" s="129"/>
      <c r="V53" s="124">
        <f>COUNTIFS('Card Data'!$J:$J,V$2,'Card Data'!$A:$A,$A53)</f>
        <v>18</v>
      </c>
      <c r="W53" s="124">
        <f>COUNTIFS('Card Data'!$J:$J,W$2,'Card Data'!$A:$A,$A53)</f>
        <v>19</v>
      </c>
      <c r="X53" s="124">
        <f>COUNTIFS('Card Data'!$J:$J,X$2,'Card Data'!$A:$A,$A53)</f>
        <v>19</v>
      </c>
      <c r="Y53" s="124">
        <f>COUNTIFS('Card Data'!$J:$J,Y$2,'Card Data'!$A:$A,$A53)</f>
        <v>18</v>
      </c>
      <c r="Z53" s="124">
        <f>COUNTIFS('Card Data'!$J:$J,Z$2,'Card Data'!$A:$A,$A53)</f>
        <v>3</v>
      </c>
      <c r="AA53" s="129"/>
      <c r="AB53" s="124">
        <f>IF(COUNTIFS('Card Data'!$K:$K,"*"&amp;AB$2&amp;".*",'Card Data'!$A:$A,$A53)=0,"",IF(COUNTIFS('Card Data'!$K:$K,"*"&amp;AB$2&amp;".*",'Card Data'!$A:$A,$A53,'Card Data'!$I:$I,"Hero")=0,COUNTIFS('Card Data'!$K:$K,"*"&amp;AB$2&amp;".*",'Card Data'!$A:$A,$A53),COUNTIFS('Card Data'!$K:$K,"*"&amp;AB$2&amp;".*",'Card Data'!$A:$A,$A53)&amp;" ("&amp;COUNTIFS('Card Data'!$K:$K,"*"&amp;AB$2&amp;".*",'Card Data'!$A:$A,$A53,'Card Data'!$I:$I,"Hero")&amp;")"))</f>
        <v>3</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18 (7)</v>
      </c>
      <c r="AI53" s="124">
        <f>IF(COUNTIFS('Card Data'!$K:$K,"*"&amp;AI$2&amp;".*",'Card Data'!$A:$A,$A53)=0,"",IF(COUNTIFS('Card Data'!$K:$K,"*"&amp;AI$2&amp;".*",'Card Data'!$A:$A,$A53,'Card Data'!$I:$I,"Hero")=0,COUNTIFS('Card Data'!$K:$K,"*"&amp;AI$2&amp;".*",'Card Data'!$A:$A,$A53),COUNTIFS('Card Data'!$K:$K,"*"&amp;AI$2&amp;".*",'Card Data'!$A:$A,$A53)&amp;" ("&amp;COUNTIFS('Card Data'!$K:$K,"*"&amp;AI$2&amp;".*",'Card Data'!$A:$A,$A53,'Card Data'!$I:$I,"Hero")&amp;")"))</f>
        <v>1</v>
      </c>
      <c r="AJ53" s="124">
        <f>IF(COUNTIFS('Card Data'!$K:$K,"*"&amp;AJ$2&amp;".*",'Card Data'!$A:$A,$A53)=0,"",IF(COUNTIFS('Card Data'!$K:$K,"*"&amp;AJ$2&amp;".*",'Card Data'!$A:$A,$A53,'Card Data'!$I:$I,"Hero")=0,COUNTIFS('Card Data'!$K:$K,"*"&amp;AJ$2&amp;".*",'Card Data'!$A:$A,$A53),COUNTIFS('Card Data'!$K:$K,"*"&amp;AJ$2&amp;".*",'Card Data'!$A:$A,$A53)&amp;" ("&amp;COUNTIFS('Card Data'!$K:$K,"*"&amp;AJ$2&amp;".*",'Card Data'!$A:$A,$A53,'Card Data'!$I:$I,"Hero")&amp;")"))</f>
        <v>1</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14 (11)</v>
      </c>
      <c r="AL53" s="124">
        <f>IF(COUNTIFS('Card Data'!$K:$K,"*"&amp;AL$2&amp;".*",'Card Data'!$A:$A,$A53)=0,"",IF(COUNTIFS('Card Data'!$K:$K,"*"&amp;AL$2&amp;".*",'Card Data'!$A:$A,$A53,'Card Data'!$I:$I,"Hero")=0,COUNTIFS('Card Data'!$K:$K,"*"&amp;AL$2&amp;".*",'Card Data'!$A:$A,$A53),COUNTIFS('Card Data'!$K:$K,"*"&amp;AL$2&amp;".*",'Card Data'!$A:$A,$A53)&amp;" ("&amp;COUNTIFS('Card Data'!$K:$K,"*"&amp;AL$2&amp;".*",'Card Data'!$A:$A,$A53,'Card Data'!$I:$I,"Hero")&amp;")"))</f>
        <v>4</v>
      </c>
    </row>
    <row r="54" spans="1:38" s="88" customFormat="1" x14ac:dyDescent="0.2">
      <c r="A54" s="85" t="s">
        <v>7985</v>
      </c>
      <c r="B54" s="85" t="s">
        <v>7987</v>
      </c>
      <c r="C54" s="86" t="s">
        <v>8065</v>
      </c>
      <c r="D54" s="85"/>
      <c r="E54" s="87" t="s">
        <v>8066</v>
      </c>
      <c r="F54" s="126"/>
      <c r="G54" s="124">
        <f>SUMIF('Card Data'!$A:$A,$A54,'Card Data'!$E:$E)</f>
        <v>44</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40</v>
      </c>
      <c r="K54" s="124">
        <f>COUNTIFS('Card Data'!$I:$I,K$2,'Card Data'!$A:$A,$A54,'Card Data'!$K:$K,"&lt;&gt;*Side Quest.*")</f>
        <v>3</v>
      </c>
      <c r="L54" s="124">
        <f>COUNTIFS('Card Data'!$I:$I,L$2,'Card Data'!$A:$A,$A54,'Card Data'!$K:$K,"&lt;&gt;*Side Quest.*")</f>
        <v>1</v>
      </c>
      <c r="M54" s="131"/>
      <c r="N54" s="124">
        <f>COUNTIFS('Card Data'!$I:$I,N$2,'Card Data'!$A:$A,$A54)</f>
        <v>0</v>
      </c>
      <c r="O54" s="124">
        <f>COUNTIFS('Card Data'!$I:$I,O$2,'Card Data'!$A:$A,$A54)</f>
        <v>0</v>
      </c>
      <c r="P54" s="124">
        <f>COUNTIFS('Card Data'!$I:$I,P$2,'Card Data'!$A:$A,$A54)</f>
        <v>0</v>
      </c>
      <c r="Q54" s="124">
        <f>COUNTIFS('Card Data'!$I:$I,Q$2,'Card Data'!$A:$A,$A54)</f>
        <v>0</v>
      </c>
      <c r="R54" s="124">
        <f>COUNTIFS('Card Data'!$I:$I,R$2,'Card Data'!$A:$A,$A54)</f>
        <v>7</v>
      </c>
      <c r="S54" s="124">
        <f>COUNTIFS('Card Data'!$I:$I,S$2,'Card Data'!$A:$A,$A54)</f>
        <v>7</v>
      </c>
      <c r="T54" s="124">
        <f>COUNTIFS('Card Data'!$I:$I,T$2,'Card Data'!$A:$A,$A54)</f>
        <v>3</v>
      </c>
      <c r="U54" s="131"/>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31"/>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30" customFormat="1" x14ac:dyDescent="0.2">
      <c r="C55" s="31"/>
    </row>
    <row r="56" spans="1:38" s="30" customFormat="1" x14ac:dyDescent="0.2">
      <c r="C56" s="31"/>
    </row>
    <row r="57" spans="1:38" s="30" customFormat="1" x14ac:dyDescent="0.2">
      <c r="C57" s="31"/>
    </row>
    <row r="58" spans="1:38" s="30" customFormat="1" x14ac:dyDescent="0.2">
      <c r="C58" s="31"/>
    </row>
    <row r="59" spans="1:38" s="30" customFormat="1" x14ac:dyDescent="0.2">
      <c r="C59" s="31"/>
    </row>
    <row r="60" spans="1:38" s="30" customFormat="1" x14ac:dyDescent="0.2">
      <c r="C60" s="31"/>
    </row>
  </sheetData>
  <mergeCells count="4">
    <mergeCell ref="G1:K1"/>
    <mergeCell ref="N1:T1"/>
    <mergeCell ref="V1:Z1"/>
    <mergeCell ref="AB1:AL1"/>
  </mergeCells>
  <conditionalFormatting sqref="V2">
    <cfRule type="cellIs" dxfId="133" priority="29" operator="equal">
      <formula>"Fellowship"</formula>
    </cfRule>
    <cfRule type="cellIs" dxfId="132" priority="30" operator="equal">
      <formula>"Neutral"</formula>
    </cfRule>
    <cfRule type="cellIs" dxfId="131" priority="31" operator="equal">
      <formula>"Baggins"</formula>
    </cfRule>
    <cfRule type="cellIs" dxfId="130" priority="32" operator="equal">
      <formula>"Lore"</formula>
    </cfRule>
    <cfRule type="cellIs" dxfId="129" priority="33" operator="equal">
      <formula>"Spirit"</formula>
    </cfRule>
    <cfRule type="cellIs" dxfId="128" priority="34" operator="equal">
      <formula>"Tactics"</formula>
    </cfRule>
    <cfRule type="cellIs" dxfId="127" priority="35" operator="equal">
      <formula>"Leadership"</formula>
    </cfRule>
  </conditionalFormatting>
  <conditionalFormatting sqref="W2">
    <cfRule type="cellIs" dxfId="126" priority="22" operator="equal">
      <formula>"Fellowship"</formula>
    </cfRule>
    <cfRule type="cellIs" dxfId="125" priority="23" operator="equal">
      <formula>"Neutral"</formula>
    </cfRule>
    <cfRule type="cellIs" dxfId="124" priority="24" operator="equal">
      <formula>"Baggins"</formula>
    </cfRule>
    <cfRule type="cellIs" dxfId="123" priority="25" operator="equal">
      <formula>"Lore"</formula>
    </cfRule>
    <cfRule type="cellIs" dxfId="122" priority="26" operator="equal">
      <formula>"Spirit"</formula>
    </cfRule>
    <cfRule type="cellIs" dxfId="121" priority="27" operator="equal">
      <formula>"Tactics"</formula>
    </cfRule>
    <cfRule type="cellIs" dxfId="120" priority="28" operator="equal">
      <formula>"Leadership"</formula>
    </cfRule>
  </conditionalFormatting>
  <conditionalFormatting sqref="X2">
    <cfRule type="cellIs" dxfId="119" priority="15" operator="equal">
      <formula>"Fellowship"</formula>
    </cfRule>
    <cfRule type="cellIs" dxfId="118" priority="16" operator="equal">
      <formula>"Neutral"</formula>
    </cfRule>
    <cfRule type="cellIs" dxfId="117" priority="17" operator="equal">
      <formula>"Baggins"</formula>
    </cfRule>
    <cfRule type="cellIs" dxfId="116" priority="18" operator="equal">
      <formula>"Lore"</formula>
    </cfRule>
    <cfRule type="cellIs" dxfId="115" priority="19" operator="equal">
      <formula>"Spirit"</formula>
    </cfRule>
    <cfRule type="cellIs" dxfId="114" priority="20" operator="equal">
      <formula>"Tactics"</formula>
    </cfRule>
    <cfRule type="cellIs" dxfId="113" priority="21" operator="equal">
      <formula>"Leadership"</formula>
    </cfRule>
  </conditionalFormatting>
  <conditionalFormatting sqref="Y2">
    <cfRule type="cellIs" dxfId="112" priority="8" operator="equal">
      <formula>"Fellowship"</formula>
    </cfRule>
    <cfRule type="cellIs" dxfId="111" priority="9" operator="equal">
      <formula>"Neutral"</formula>
    </cfRule>
    <cfRule type="cellIs" dxfId="110" priority="10" operator="equal">
      <formula>"Baggins"</formula>
    </cfRule>
    <cfRule type="cellIs" dxfId="109" priority="11" operator="equal">
      <formula>"Lore"</formula>
    </cfRule>
    <cfRule type="cellIs" dxfId="108" priority="12" operator="equal">
      <formula>"Spirit"</formula>
    </cfRule>
    <cfRule type="cellIs" dxfId="107" priority="13" operator="equal">
      <formula>"Tactics"</formula>
    </cfRule>
    <cfRule type="cellIs" dxfId="106" priority="14" operator="equal">
      <formula>"Leadership"</formula>
    </cfRule>
  </conditionalFormatting>
  <conditionalFormatting sqref="Z2">
    <cfRule type="cellIs" dxfId="105" priority="1" operator="equal">
      <formula>"Fellowship"</formula>
    </cfRule>
    <cfRule type="cellIs" dxfId="104" priority="2" operator="equal">
      <formula>"Neutral"</formula>
    </cfRule>
    <cfRule type="cellIs" dxfId="103" priority="3" operator="equal">
      <formula>"Baggins"</formula>
    </cfRule>
    <cfRule type="cellIs" dxfId="102" priority="4" operator="equal">
      <formula>"Lore"</formula>
    </cfRule>
    <cfRule type="cellIs" dxfId="101" priority="5" operator="equal">
      <formula>"Spirit"</formula>
    </cfRule>
    <cfRule type="cellIs" dxfId="100" priority="6" operator="equal">
      <formula>"Tactics"</formula>
    </cfRule>
    <cfRule type="cellIs" dxfId="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9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948"/>
  <sheetViews>
    <sheetView workbookViewId="0">
      <pane xSplit="7" ySplit="1" topLeftCell="L1154" activePane="bottomRight" state="frozen"/>
      <selection activeCell="E1" sqref="E1"/>
      <selection pane="topRight" activeCell="F1" sqref="F1"/>
      <selection pane="bottomLeft" activeCell="E2" sqref="E2"/>
      <selection pane="bottomRight" activeCell="L1159" sqref="L1159"/>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48" x14ac:dyDescent="0.2">
      <c r="A885" s="117" t="s">
        <v>4783</v>
      </c>
      <c r="B885" s="117" t="s">
        <v>4784</v>
      </c>
      <c r="C885" s="117" t="s">
        <v>5713</v>
      </c>
      <c r="D885" s="118">
        <v>1</v>
      </c>
      <c r="E885" s="117">
        <v>1</v>
      </c>
      <c r="F885" s="117" t="s">
        <v>4788</v>
      </c>
      <c r="G885" s="117" t="s">
        <v>3709</v>
      </c>
      <c r="H885" s="1" t="s">
        <v>26</v>
      </c>
      <c r="I885" s="1" t="s">
        <v>94</v>
      </c>
      <c r="K885" s="1" t="s">
        <v>4785</v>
      </c>
      <c r="L885" s="2" t="s">
        <v>4786</v>
      </c>
      <c r="N885" s="54">
        <v>40</v>
      </c>
      <c r="O885" s="55">
        <v>6</v>
      </c>
      <c r="Q885" s="57">
        <v>6</v>
      </c>
      <c r="R885" s="58">
        <v>6</v>
      </c>
      <c r="S885" s="59">
        <v>11</v>
      </c>
      <c r="V885" s="4" t="s">
        <v>4787</v>
      </c>
      <c r="AL885" s="60" t="s">
        <v>30</v>
      </c>
    </row>
    <row r="886" spans="1:48" ht="36" x14ac:dyDescent="0.2">
      <c r="A886" s="1" t="s">
        <v>4783</v>
      </c>
      <c r="B886" s="1" t="s">
        <v>4789</v>
      </c>
      <c r="C886" s="1" t="s">
        <v>5713</v>
      </c>
      <c r="D886" s="49">
        <v>2</v>
      </c>
      <c r="E886" s="1">
        <v>4</v>
      </c>
      <c r="F886" s="1" t="s">
        <v>4788</v>
      </c>
      <c r="G886" s="1" t="s">
        <v>4790</v>
      </c>
      <c r="I886" s="1" t="s">
        <v>94</v>
      </c>
      <c r="K886" s="1" t="s">
        <v>4791</v>
      </c>
      <c r="N886" s="54">
        <v>1</v>
      </c>
      <c r="O886" s="55">
        <v>1</v>
      </c>
      <c r="Q886" s="57">
        <v>1</v>
      </c>
      <c r="R886" s="58">
        <v>0</v>
      </c>
      <c r="S886" s="59">
        <v>2</v>
      </c>
      <c r="V886" s="4" t="s">
        <v>4792</v>
      </c>
      <c r="AL886" s="60" t="s">
        <v>30</v>
      </c>
    </row>
    <row r="887" spans="1:48" ht="24" x14ac:dyDescent="0.2">
      <c r="A887" s="1" t="s">
        <v>4783</v>
      </c>
      <c r="B887" s="1" t="s">
        <v>4793</v>
      </c>
      <c r="C887" s="1" t="s">
        <v>5713</v>
      </c>
      <c r="D887" s="49">
        <v>3</v>
      </c>
      <c r="E887" s="1">
        <v>4</v>
      </c>
      <c r="F887" s="1" t="s">
        <v>4788</v>
      </c>
      <c r="G887" s="1" t="s">
        <v>4794</v>
      </c>
      <c r="I887" s="1" t="s">
        <v>94</v>
      </c>
      <c r="K887" s="1" t="s">
        <v>4795</v>
      </c>
      <c r="N887" s="54">
        <v>27</v>
      </c>
      <c r="O887" s="55">
        <v>1</v>
      </c>
      <c r="Q887" s="57">
        <v>4</v>
      </c>
      <c r="R887" s="58">
        <v>1</v>
      </c>
      <c r="S887" s="59">
        <v>3</v>
      </c>
      <c r="V887" s="4" t="s">
        <v>4796</v>
      </c>
      <c r="W887" s="4" t="s">
        <v>4797</v>
      </c>
      <c r="AL887" s="60" t="s">
        <v>30</v>
      </c>
    </row>
    <row r="888" spans="1:48" ht="24" x14ac:dyDescent="0.2">
      <c r="A888" s="1" t="s">
        <v>4783</v>
      </c>
      <c r="B888" s="1" t="s">
        <v>4798</v>
      </c>
      <c r="C888" s="1" t="s">
        <v>5713</v>
      </c>
      <c r="D888" s="49">
        <v>4</v>
      </c>
      <c r="E888" s="1">
        <v>4</v>
      </c>
      <c r="F888" s="1" t="s">
        <v>4788</v>
      </c>
      <c r="G888" s="1" t="s">
        <v>4799</v>
      </c>
      <c r="I888" s="1" t="s">
        <v>94</v>
      </c>
      <c r="K888" s="1" t="s">
        <v>4800</v>
      </c>
      <c r="N888" s="54">
        <v>35</v>
      </c>
      <c r="O888" s="55">
        <v>2</v>
      </c>
      <c r="Q888" s="57">
        <v>3</v>
      </c>
      <c r="R888" s="58">
        <v>1</v>
      </c>
      <c r="S888" s="59">
        <v>4</v>
      </c>
      <c r="V888" s="4" t="s">
        <v>4801</v>
      </c>
      <c r="AL888" s="60" t="s">
        <v>30</v>
      </c>
    </row>
    <row r="889" spans="1:48" ht="36" x14ac:dyDescent="0.2">
      <c r="A889" s="1" t="s">
        <v>4783</v>
      </c>
      <c r="B889" s="1" t="s">
        <v>4802</v>
      </c>
      <c r="C889" s="1" t="s">
        <v>5713</v>
      </c>
      <c r="D889" s="49">
        <v>5</v>
      </c>
      <c r="E889" s="1">
        <v>3</v>
      </c>
      <c r="F889" s="1" t="s">
        <v>4788</v>
      </c>
      <c r="G889" s="1" t="s">
        <v>4803</v>
      </c>
      <c r="I889" s="1" t="s">
        <v>94</v>
      </c>
      <c r="K889" s="1" t="s">
        <v>4804</v>
      </c>
      <c r="N889" s="54">
        <v>40</v>
      </c>
      <c r="O889" s="55">
        <v>3</v>
      </c>
      <c r="Q889" s="57">
        <v>3</v>
      </c>
      <c r="R889" s="58">
        <v>3</v>
      </c>
      <c r="S889" s="59">
        <v>4</v>
      </c>
      <c r="V889" s="4" t="s">
        <v>4805</v>
      </c>
      <c r="W889" s="4" t="s">
        <v>4806</v>
      </c>
      <c r="AL889" s="60" t="s">
        <v>30</v>
      </c>
    </row>
    <row r="890" spans="1:48" ht="24" x14ac:dyDescent="0.2">
      <c r="A890" s="1" t="s">
        <v>4783</v>
      </c>
      <c r="B890" s="1" t="s">
        <v>4807</v>
      </c>
      <c r="C890" s="1" t="s">
        <v>5713</v>
      </c>
      <c r="D890" s="49">
        <v>6</v>
      </c>
      <c r="E890" s="1">
        <v>3</v>
      </c>
      <c r="F890" s="1" t="s">
        <v>4788</v>
      </c>
      <c r="G890" s="1" t="s">
        <v>4808</v>
      </c>
      <c r="I890" s="1" t="s">
        <v>94</v>
      </c>
      <c r="K890" s="1" t="s">
        <v>2690</v>
      </c>
      <c r="N890" s="54">
        <v>45</v>
      </c>
      <c r="O890" s="55">
        <v>2</v>
      </c>
      <c r="Q890" s="57">
        <v>2</v>
      </c>
      <c r="R890" s="58">
        <v>1</v>
      </c>
      <c r="S890" s="59">
        <v>8</v>
      </c>
      <c r="V890" s="4" t="s">
        <v>4809</v>
      </c>
      <c r="W890" s="4" t="s">
        <v>4810</v>
      </c>
      <c r="AL890" s="60" t="s">
        <v>30</v>
      </c>
    </row>
    <row r="891" spans="1:48" ht="24" x14ac:dyDescent="0.2">
      <c r="A891" s="1" t="s">
        <v>4783</v>
      </c>
      <c r="B891" s="1" t="s">
        <v>4811</v>
      </c>
      <c r="C891" s="1" t="s">
        <v>5713</v>
      </c>
      <c r="D891" s="49">
        <v>7</v>
      </c>
      <c r="E891" s="1">
        <v>3</v>
      </c>
      <c r="F891" s="1" t="s">
        <v>4788</v>
      </c>
      <c r="G891" s="1" t="s">
        <v>4812</v>
      </c>
      <c r="I891" s="1" t="s">
        <v>104</v>
      </c>
      <c r="K891" s="1" t="s">
        <v>4813</v>
      </c>
      <c r="O891" s="55">
        <v>1</v>
      </c>
      <c r="T891" s="60">
        <v>2</v>
      </c>
      <c r="V891" s="4" t="s">
        <v>4814</v>
      </c>
      <c r="W891" s="4" t="s">
        <v>4815</v>
      </c>
      <c r="AL891" s="60" t="s">
        <v>30</v>
      </c>
    </row>
    <row r="892" spans="1:48" ht="24" x14ac:dyDescent="0.2">
      <c r="A892" s="1" t="s">
        <v>4783</v>
      </c>
      <c r="B892" s="1" t="s">
        <v>4816</v>
      </c>
      <c r="C892" s="1" t="s">
        <v>5713</v>
      </c>
      <c r="D892" s="49">
        <v>8</v>
      </c>
      <c r="E892" s="1">
        <v>1</v>
      </c>
      <c r="F892" s="1" t="s">
        <v>4788</v>
      </c>
      <c r="G892" s="1" t="s">
        <v>4817</v>
      </c>
      <c r="I892" s="1" t="s">
        <v>104</v>
      </c>
      <c r="K892" s="1" t="s">
        <v>4818</v>
      </c>
      <c r="O892" s="55">
        <v>2</v>
      </c>
      <c r="T892" s="60">
        <v>5</v>
      </c>
      <c r="V892" s="4" t="s">
        <v>4819</v>
      </c>
      <c r="AL892" s="60" t="s">
        <v>30</v>
      </c>
    </row>
    <row r="893" spans="1:48" ht="36" x14ac:dyDescent="0.2">
      <c r="A893" s="1" t="s">
        <v>4783</v>
      </c>
      <c r="B893" s="1" t="s">
        <v>4820</v>
      </c>
      <c r="C893" s="1" t="s">
        <v>5713</v>
      </c>
      <c r="D893" s="49">
        <v>9</v>
      </c>
      <c r="E893" s="1">
        <v>2</v>
      </c>
      <c r="F893" s="1" t="s">
        <v>4788</v>
      </c>
      <c r="G893" s="1" t="s">
        <v>4821</v>
      </c>
      <c r="I893" s="1" t="s">
        <v>104</v>
      </c>
      <c r="K893" s="1" t="s">
        <v>4822</v>
      </c>
      <c r="O893" s="55">
        <v>1</v>
      </c>
      <c r="T893" s="60">
        <v>3</v>
      </c>
      <c r="V893" s="4" t="s">
        <v>4823</v>
      </c>
      <c r="W893" s="4" t="s">
        <v>4824</v>
      </c>
      <c r="AL893" s="60" t="s">
        <v>30</v>
      </c>
      <c r="AU893" s="1" t="s">
        <v>6217</v>
      </c>
      <c r="AV893" s="1" t="s">
        <v>6218</v>
      </c>
    </row>
    <row r="894" spans="1:48" ht="36" x14ac:dyDescent="0.2">
      <c r="A894" s="1" t="s">
        <v>4783</v>
      </c>
      <c r="B894" s="1" t="s">
        <v>4825</v>
      </c>
      <c r="C894" s="1" t="s">
        <v>5713</v>
      </c>
      <c r="D894" s="49">
        <v>10</v>
      </c>
      <c r="E894" s="1">
        <v>2</v>
      </c>
      <c r="F894" s="1" t="s">
        <v>4788</v>
      </c>
      <c r="G894" s="1" t="s">
        <v>4826</v>
      </c>
      <c r="I894" s="1" t="s">
        <v>104</v>
      </c>
      <c r="K894" s="1" t="s">
        <v>4813</v>
      </c>
      <c r="O894" s="55">
        <v>1</v>
      </c>
      <c r="T894" s="60">
        <v>7</v>
      </c>
      <c r="U894" s="1">
        <v>1</v>
      </c>
      <c r="V894" s="4" t="s">
        <v>4827</v>
      </c>
      <c r="AL894" s="60" t="s">
        <v>30</v>
      </c>
    </row>
    <row r="895" spans="1:48" x14ac:dyDescent="0.2">
      <c r="A895" s="1" t="s">
        <v>4783</v>
      </c>
      <c r="B895" s="1" t="s">
        <v>4828</v>
      </c>
      <c r="C895" s="1" t="s">
        <v>5713</v>
      </c>
      <c r="D895" s="49">
        <v>11</v>
      </c>
      <c r="E895" s="1">
        <v>3</v>
      </c>
      <c r="F895" s="1" t="s">
        <v>4788</v>
      </c>
      <c r="G895" s="1" t="s">
        <v>4829</v>
      </c>
      <c r="I895" s="1" t="s">
        <v>104</v>
      </c>
      <c r="K895" s="1" t="s">
        <v>4830</v>
      </c>
      <c r="O895" s="55">
        <v>1</v>
      </c>
      <c r="T895" s="60">
        <v>2</v>
      </c>
      <c r="V895" s="4" t="s">
        <v>4831</v>
      </c>
      <c r="AL895" s="60" t="s">
        <v>30</v>
      </c>
    </row>
    <row r="896" spans="1:48" ht="36" x14ac:dyDescent="0.2">
      <c r="A896" s="1" t="s">
        <v>4783</v>
      </c>
      <c r="B896" s="1" t="s">
        <v>4832</v>
      </c>
      <c r="C896" s="1" t="s">
        <v>5713</v>
      </c>
      <c r="D896" s="49">
        <v>12</v>
      </c>
      <c r="E896" s="1">
        <v>4</v>
      </c>
      <c r="F896" s="1" t="s">
        <v>4788</v>
      </c>
      <c r="G896" s="1" t="s">
        <v>4833</v>
      </c>
      <c r="I896" s="1" t="s">
        <v>82</v>
      </c>
      <c r="L896" s="2" t="s">
        <v>4834</v>
      </c>
      <c r="V896" s="4" t="s">
        <v>4835</v>
      </c>
      <c r="W896" s="4" t="s">
        <v>4836</v>
      </c>
      <c r="AL896" s="60" t="s">
        <v>30</v>
      </c>
    </row>
    <row r="897" spans="1:40" ht="36" x14ac:dyDescent="0.2">
      <c r="A897" s="1" t="s">
        <v>4783</v>
      </c>
      <c r="B897" s="1" t="s">
        <v>4837</v>
      </c>
      <c r="C897" s="1" t="s">
        <v>5713</v>
      </c>
      <c r="D897" s="49">
        <v>13</v>
      </c>
      <c r="E897" s="1">
        <v>2</v>
      </c>
      <c r="F897" s="1" t="s">
        <v>4788</v>
      </c>
      <c r="G897" s="1" t="s">
        <v>4838</v>
      </c>
      <c r="I897" s="1" t="s">
        <v>82</v>
      </c>
      <c r="V897" s="4" t="s">
        <v>4839</v>
      </c>
      <c r="AL897" s="60" t="s">
        <v>30</v>
      </c>
    </row>
    <row r="898" spans="1:40" ht="36" x14ac:dyDescent="0.2">
      <c r="A898" s="1" t="s">
        <v>4783</v>
      </c>
      <c r="B898" s="1" t="s">
        <v>4840</v>
      </c>
      <c r="C898" s="1" t="s">
        <v>5713</v>
      </c>
      <c r="D898" s="49">
        <v>14</v>
      </c>
      <c r="E898" s="1">
        <v>3</v>
      </c>
      <c r="F898" s="1" t="s">
        <v>4788</v>
      </c>
      <c r="G898" s="1" t="s">
        <v>4841</v>
      </c>
      <c r="I898" s="1" t="s">
        <v>82</v>
      </c>
      <c r="L898" s="2" t="s">
        <v>155</v>
      </c>
      <c r="V898" s="4" t="s">
        <v>4842</v>
      </c>
      <c r="AL898" s="60" t="s">
        <v>30</v>
      </c>
    </row>
    <row r="899" spans="1:40" ht="36" x14ac:dyDescent="0.2">
      <c r="A899" s="1" t="s">
        <v>4783</v>
      </c>
      <c r="B899" s="1" t="s">
        <v>4843</v>
      </c>
      <c r="C899" s="1" t="s">
        <v>5713</v>
      </c>
      <c r="D899" s="49">
        <v>15</v>
      </c>
      <c r="E899" s="1">
        <v>2</v>
      </c>
      <c r="F899" s="1" t="s">
        <v>4788</v>
      </c>
      <c r="G899" s="1" t="s">
        <v>4844</v>
      </c>
      <c r="I899" s="1" t="s">
        <v>88</v>
      </c>
      <c r="K899" s="1" t="s">
        <v>4845</v>
      </c>
      <c r="P899" s="56">
        <v>2</v>
      </c>
      <c r="Q899" s="57">
        <v>2</v>
      </c>
      <c r="R899" s="58">
        <v>1</v>
      </c>
      <c r="S899" s="59">
        <v>2</v>
      </c>
      <c r="V899" s="4" t="s">
        <v>4846</v>
      </c>
      <c r="W899" s="4" t="s">
        <v>4847</v>
      </c>
      <c r="AL899" s="60" t="s">
        <v>30</v>
      </c>
    </row>
    <row r="900" spans="1:40" ht="48" x14ac:dyDescent="0.2">
      <c r="A900" s="1" t="s">
        <v>4783</v>
      </c>
      <c r="B900" s="1" t="s">
        <v>4848</v>
      </c>
      <c r="C900" s="1" t="s">
        <v>5713</v>
      </c>
      <c r="D900" s="49">
        <v>16</v>
      </c>
      <c r="E900" s="1">
        <v>1</v>
      </c>
      <c r="F900" s="1" t="s">
        <v>4788</v>
      </c>
      <c r="G900" s="1" t="s">
        <v>9562</v>
      </c>
      <c r="I900" s="1" t="s">
        <v>125</v>
      </c>
      <c r="M900" s="18">
        <v>1</v>
      </c>
      <c r="N900" s="54" t="s">
        <v>9529</v>
      </c>
      <c r="V900" s="4" t="s">
        <v>4849</v>
      </c>
      <c r="X900" s="1" t="s">
        <v>4850</v>
      </c>
      <c r="Y900" s="1" t="s">
        <v>9562</v>
      </c>
      <c r="AA900" s="1" t="s">
        <v>125</v>
      </c>
      <c r="AE900" s="1">
        <v>1</v>
      </c>
      <c r="AF900" s="54" t="s">
        <v>9530</v>
      </c>
      <c r="AL900" s="60" t="s">
        <v>243</v>
      </c>
      <c r="AN900" s="4" t="s">
        <v>4851</v>
      </c>
    </row>
    <row r="901" spans="1:40" ht="48" x14ac:dyDescent="0.2">
      <c r="A901" s="1" t="s">
        <v>4783</v>
      </c>
      <c r="B901" s="1" t="s">
        <v>4852</v>
      </c>
      <c r="C901" s="1" t="s">
        <v>5713</v>
      </c>
      <c r="D901" s="49">
        <v>17</v>
      </c>
      <c r="E901" s="1">
        <v>1</v>
      </c>
      <c r="F901" s="1" t="s">
        <v>4788</v>
      </c>
      <c r="G901" s="1" t="s">
        <v>9621</v>
      </c>
      <c r="I901" s="1" t="s">
        <v>125</v>
      </c>
      <c r="M901" s="18">
        <v>2</v>
      </c>
      <c r="N901" s="54" t="s">
        <v>9529</v>
      </c>
      <c r="Y901" s="1" t="s">
        <v>9621</v>
      </c>
      <c r="AA901" s="1" t="s">
        <v>125</v>
      </c>
      <c r="AE901" s="1">
        <v>2</v>
      </c>
      <c r="AF901" s="54" t="s">
        <v>9530</v>
      </c>
      <c r="AL901" s="60" t="s">
        <v>46</v>
      </c>
      <c r="AN901" s="4" t="s">
        <v>4853</v>
      </c>
    </row>
    <row r="902" spans="1:40" ht="84" x14ac:dyDescent="0.2">
      <c r="A902" s="1" t="s">
        <v>4783</v>
      </c>
      <c r="B902" s="1" t="s">
        <v>4854</v>
      </c>
      <c r="C902" s="1" t="s">
        <v>5713</v>
      </c>
      <c r="D902" s="49">
        <v>18</v>
      </c>
      <c r="E902" s="1">
        <v>1</v>
      </c>
      <c r="F902" s="1" t="s">
        <v>4788</v>
      </c>
      <c r="G902" s="1" t="s">
        <v>9682</v>
      </c>
      <c r="I902" s="1" t="s">
        <v>125</v>
      </c>
      <c r="M902" s="18">
        <v>3</v>
      </c>
      <c r="N902" s="54" t="s">
        <v>9529</v>
      </c>
      <c r="Y902" s="1" t="s">
        <v>9682</v>
      </c>
      <c r="AA902" s="1" t="s">
        <v>125</v>
      </c>
      <c r="AE902" s="1">
        <v>3</v>
      </c>
      <c r="AF902" s="54" t="s">
        <v>9530</v>
      </c>
      <c r="AL902" s="60" t="s">
        <v>36</v>
      </c>
      <c r="AN902" s="4" t="s">
        <v>4855</v>
      </c>
    </row>
    <row r="903" spans="1:40" ht="48" x14ac:dyDescent="0.2">
      <c r="A903" s="1" t="s">
        <v>4783</v>
      </c>
      <c r="B903" s="1" t="s">
        <v>4856</v>
      </c>
      <c r="C903" s="1" t="s">
        <v>5713</v>
      </c>
      <c r="D903" s="49">
        <v>19</v>
      </c>
      <c r="E903" s="1">
        <v>1</v>
      </c>
      <c r="F903" s="1" t="s">
        <v>4788</v>
      </c>
      <c r="G903" s="1" t="s">
        <v>9711</v>
      </c>
      <c r="I903" s="1" t="s">
        <v>125</v>
      </c>
      <c r="M903" s="18">
        <v>4</v>
      </c>
      <c r="N903" s="54" t="s">
        <v>9529</v>
      </c>
      <c r="Y903" s="1" t="s">
        <v>9711</v>
      </c>
      <c r="AA903" s="1" t="s">
        <v>125</v>
      </c>
      <c r="AE903" s="1">
        <v>4</v>
      </c>
      <c r="AF903" s="54" t="s">
        <v>9530</v>
      </c>
      <c r="AL903" s="60" t="s">
        <v>666</v>
      </c>
      <c r="AN903" s="4" t="s">
        <v>4857</v>
      </c>
    </row>
    <row r="904" spans="1:40" ht="48" x14ac:dyDescent="0.2">
      <c r="A904" s="117" t="s">
        <v>3365</v>
      </c>
      <c r="B904" s="117" t="s">
        <v>3434</v>
      </c>
      <c r="C904" s="117" t="s">
        <v>5714</v>
      </c>
      <c r="D904" s="118">
        <v>1</v>
      </c>
      <c r="E904" s="117">
        <v>1</v>
      </c>
      <c r="F904" s="117" t="s">
        <v>3370</v>
      </c>
      <c r="G904" s="117" t="s">
        <v>9563</v>
      </c>
      <c r="I904" s="1" t="s">
        <v>125</v>
      </c>
      <c r="M904" s="18">
        <v>1</v>
      </c>
      <c r="N904" s="54" t="s">
        <v>9529</v>
      </c>
      <c r="V904" s="4" t="s">
        <v>3435</v>
      </c>
      <c r="X904" s="1" t="s">
        <v>1629</v>
      </c>
      <c r="Y904" s="1" t="s">
        <v>9563</v>
      </c>
      <c r="AA904" s="1" t="s">
        <v>125</v>
      </c>
      <c r="AE904" s="1">
        <v>1</v>
      </c>
      <c r="AF904" s="54" t="s">
        <v>9530</v>
      </c>
      <c r="AL904" s="60" t="s">
        <v>5621</v>
      </c>
      <c r="AN904" s="4" t="s">
        <v>3436</v>
      </c>
    </row>
    <row r="905" spans="1:40" ht="60" x14ac:dyDescent="0.2">
      <c r="A905" s="1" t="s">
        <v>3365</v>
      </c>
      <c r="B905" s="1" t="s">
        <v>3389</v>
      </c>
      <c r="C905" s="1" t="s">
        <v>5714</v>
      </c>
      <c r="D905" s="49">
        <v>2</v>
      </c>
      <c r="E905" s="1">
        <v>1</v>
      </c>
      <c r="F905" s="1" t="s">
        <v>3370</v>
      </c>
      <c r="G905" s="1" t="s">
        <v>9622</v>
      </c>
      <c r="I905" s="1" t="s">
        <v>125</v>
      </c>
      <c r="M905" s="18">
        <v>2</v>
      </c>
      <c r="N905" s="54" t="s">
        <v>9529</v>
      </c>
      <c r="Y905" s="1" t="s">
        <v>9622</v>
      </c>
      <c r="AA905" s="1" t="s">
        <v>125</v>
      </c>
      <c r="AE905" s="1">
        <v>2</v>
      </c>
      <c r="AF905" s="54" t="s">
        <v>9530</v>
      </c>
      <c r="AL905" s="60" t="s">
        <v>275</v>
      </c>
      <c r="AN905" s="4" t="s">
        <v>3390</v>
      </c>
    </row>
    <row r="906" spans="1:40" ht="120" x14ac:dyDescent="0.2">
      <c r="A906" s="1" t="s">
        <v>3365</v>
      </c>
      <c r="B906" s="1" t="s">
        <v>3437</v>
      </c>
      <c r="C906" s="1" t="s">
        <v>5714</v>
      </c>
      <c r="D906" s="49">
        <v>3</v>
      </c>
      <c r="E906" s="1">
        <v>1</v>
      </c>
      <c r="F906" s="1" t="s">
        <v>3370</v>
      </c>
      <c r="G906" s="1" t="s">
        <v>9683</v>
      </c>
      <c r="I906" s="1" t="s">
        <v>125</v>
      </c>
      <c r="M906" s="18">
        <v>3</v>
      </c>
      <c r="N906" s="54" t="s">
        <v>9529</v>
      </c>
      <c r="Y906" s="1" t="s">
        <v>9683</v>
      </c>
      <c r="AA906" s="1" t="s">
        <v>125</v>
      </c>
      <c r="AE906" s="1">
        <v>3</v>
      </c>
      <c r="AF906" s="54" t="s">
        <v>9530</v>
      </c>
      <c r="AL906" s="60" t="s">
        <v>799</v>
      </c>
      <c r="AN906" s="4" t="s">
        <v>3438</v>
      </c>
    </row>
    <row r="907" spans="1:40" ht="24" x14ac:dyDescent="0.2">
      <c r="A907" s="1" t="s">
        <v>3365</v>
      </c>
      <c r="B907" s="1" t="s">
        <v>3424</v>
      </c>
      <c r="C907" s="1" t="s">
        <v>5714</v>
      </c>
      <c r="D907" s="49">
        <v>4</v>
      </c>
      <c r="E907" s="1">
        <v>3</v>
      </c>
      <c r="F907" s="1" t="s">
        <v>3370</v>
      </c>
      <c r="G907" s="1" t="s">
        <v>3425</v>
      </c>
      <c r="H907" s="1" t="s">
        <v>26</v>
      </c>
      <c r="I907" s="1" t="s">
        <v>94</v>
      </c>
      <c r="K907" s="1" t="s">
        <v>1142</v>
      </c>
      <c r="L907" s="2" t="s">
        <v>3426</v>
      </c>
      <c r="N907" s="54">
        <v>40</v>
      </c>
      <c r="O907" s="55">
        <v>7</v>
      </c>
      <c r="Q907" s="57">
        <v>5</v>
      </c>
      <c r="R907" s="58">
        <v>9</v>
      </c>
      <c r="S907" s="59">
        <v>20</v>
      </c>
      <c r="V907" s="4" t="s">
        <v>3427</v>
      </c>
      <c r="AL907" s="60" t="s">
        <v>30</v>
      </c>
    </row>
    <row r="908" spans="1:40" x14ac:dyDescent="0.2">
      <c r="A908" s="1" t="s">
        <v>3365</v>
      </c>
      <c r="B908" s="1" t="s">
        <v>3428</v>
      </c>
      <c r="C908" s="1" t="s">
        <v>5714</v>
      </c>
      <c r="D908" s="49">
        <v>5</v>
      </c>
      <c r="E908" s="1">
        <v>3</v>
      </c>
      <c r="F908" s="1" t="s">
        <v>3370</v>
      </c>
      <c r="G908" s="1" t="s">
        <v>3429</v>
      </c>
      <c r="H908" s="1" t="s">
        <v>26</v>
      </c>
      <c r="I908" s="1" t="s">
        <v>94</v>
      </c>
      <c r="K908" s="1" t="s">
        <v>1142</v>
      </c>
      <c r="L908" s="2" t="s">
        <v>331</v>
      </c>
      <c r="N908" s="54">
        <v>35</v>
      </c>
      <c r="O908" s="55">
        <v>6</v>
      </c>
      <c r="Q908" s="57">
        <v>7</v>
      </c>
      <c r="R908" s="58">
        <v>7</v>
      </c>
      <c r="S908" s="59">
        <v>20</v>
      </c>
      <c r="V908" s="4" t="s">
        <v>3430</v>
      </c>
      <c r="AL908" s="60" t="s">
        <v>30</v>
      </c>
    </row>
    <row r="909" spans="1:40" ht="60" x14ac:dyDescent="0.2">
      <c r="A909" s="1" t="s">
        <v>3365</v>
      </c>
      <c r="B909" s="1" t="s">
        <v>3420</v>
      </c>
      <c r="C909" s="1" t="s">
        <v>5714</v>
      </c>
      <c r="D909" s="49">
        <v>6</v>
      </c>
      <c r="E909" s="1">
        <v>3</v>
      </c>
      <c r="F909" s="1" t="s">
        <v>3370</v>
      </c>
      <c r="G909" s="1" t="s">
        <v>3421</v>
      </c>
      <c r="H909" s="1" t="s">
        <v>26</v>
      </c>
      <c r="I909" s="1" t="s">
        <v>94</v>
      </c>
      <c r="K909" s="1" t="s">
        <v>1142</v>
      </c>
      <c r="L909" s="2" t="s">
        <v>331</v>
      </c>
      <c r="N909" s="54">
        <v>30</v>
      </c>
      <c r="O909" s="55">
        <v>5</v>
      </c>
      <c r="Q909" s="57">
        <v>8</v>
      </c>
      <c r="R909" s="58">
        <v>8</v>
      </c>
      <c r="S909" s="59">
        <v>20</v>
      </c>
      <c r="V909" s="4" t="s">
        <v>3423</v>
      </c>
      <c r="AL909" s="60" t="s">
        <v>30</v>
      </c>
    </row>
    <row r="910" spans="1:40" ht="24" x14ac:dyDescent="0.2">
      <c r="A910" s="1" t="s">
        <v>3365</v>
      </c>
      <c r="B910" s="1" t="s">
        <v>3403</v>
      </c>
      <c r="C910" s="1" t="s">
        <v>5714</v>
      </c>
      <c r="D910" s="49">
        <v>7</v>
      </c>
      <c r="E910" s="1">
        <v>1</v>
      </c>
      <c r="F910" s="1" t="s">
        <v>3370</v>
      </c>
      <c r="G910" s="1" t="s">
        <v>3404</v>
      </c>
      <c r="H910" s="1" t="s">
        <v>26</v>
      </c>
      <c r="I910" s="1" t="s">
        <v>88</v>
      </c>
      <c r="K910" s="1" t="s">
        <v>2428</v>
      </c>
      <c r="V910" s="4" t="s">
        <v>3405</v>
      </c>
      <c r="AL910" s="60" t="s">
        <v>30</v>
      </c>
    </row>
    <row r="911" spans="1:40" ht="60" x14ac:dyDescent="0.2">
      <c r="A911" s="1" t="s">
        <v>3365</v>
      </c>
      <c r="B911" s="1" t="s">
        <v>3443</v>
      </c>
      <c r="C911" s="1" t="s">
        <v>5714</v>
      </c>
      <c r="D911" s="49">
        <v>8</v>
      </c>
      <c r="E911" s="1">
        <v>1</v>
      </c>
      <c r="F911" s="1" t="s">
        <v>3370</v>
      </c>
      <c r="G911" s="1" t="s">
        <v>3444</v>
      </c>
      <c r="H911" s="1" t="s">
        <v>26</v>
      </c>
      <c r="I911" s="1" t="s">
        <v>88</v>
      </c>
      <c r="K911" s="1" t="s">
        <v>95</v>
      </c>
      <c r="L911" s="2" t="s">
        <v>90</v>
      </c>
      <c r="V911" s="4" t="s">
        <v>3445</v>
      </c>
      <c r="AL911" s="60" t="s">
        <v>30</v>
      </c>
    </row>
    <row r="912" spans="1:40" ht="24" x14ac:dyDescent="0.2">
      <c r="A912" s="1" t="s">
        <v>3365</v>
      </c>
      <c r="B912" s="1" t="s">
        <v>3371</v>
      </c>
      <c r="C912" s="1" t="s">
        <v>5714</v>
      </c>
      <c r="D912" s="49">
        <v>9</v>
      </c>
      <c r="E912" s="1">
        <v>3</v>
      </c>
      <c r="F912" s="1" t="s">
        <v>3370</v>
      </c>
      <c r="G912" s="1" t="s">
        <v>3372</v>
      </c>
      <c r="I912" s="1" t="s">
        <v>82</v>
      </c>
      <c r="V912" s="4" t="s">
        <v>3373</v>
      </c>
      <c r="W912" s="4" t="s">
        <v>3374</v>
      </c>
      <c r="AL912" s="60" t="s">
        <v>30</v>
      </c>
    </row>
    <row r="913" spans="1:40" ht="24" x14ac:dyDescent="0.2">
      <c r="A913" s="1" t="s">
        <v>3365</v>
      </c>
      <c r="B913" s="1" t="s">
        <v>3417</v>
      </c>
      <c r="C913" s="1" t="s">
        <v>5714</v>
      </c>
      <c r="D913" s="49">
        <v>10</v>
      </c>
      <c r="E913" s="1">
        <v>3</v>
      </c>
      <c r="F913" s="1" t="s">
        <v>3370</v>
      </c>
      <c r="G913" s="1" t="s">
        <v>3418</v>
      </c>
      <c r="I913" s="1" t="s">
        <v>82</v>
      </c>
      <c r="V913" s="4" t="s">
        <v>3402</v>
      </c>
      <c r="W913" s="4" t="s">
        <v>3419</v>
      </c>
      <c r="AL913" s="60" t="s">
        <v>30</v>
      </c>
    </row>
    <row r="914" spans="1:40" ht="48" x14ac:dyDescent="0.2">
      <c r="A914" s="1" t="s">
        <v>3365</v>
      </c>
      <c r="B914" s="1" t="s">
        <v>3446</v>
      </c>
      <c r="C914" s="1" t="s">
        <v>5714</v>
      </c>
      <c r="D914" s="49">
        <v>11</v>
      </c>
      <c r="E914" s="1">
        <v>3</v>
      </c>
      <c r="F914" s="1" t="s">
        <v>3370</v>
      </c>
      <c r="G914" s="1" t="s">
        <v>3447</v>
      </c>
      <c r="I914" s="1" t="s">
        <v>82</v>
      </c>
      <c r="V914" s="4" t="s">
        <v>3448</v>
      </c>
      <c r="AL914" s="60" t="s">
        <v>30</v>
      </c>
    </row>
    <row r="915" spans="1:40" ht="36" x14ac:dyDescent="0.2">
      <c r="A915" s="1" t="s">
        <v>3365</v>
      </c>
      <c r="B915" s="1" t="s">
        <v>3375</v>
      </c>
      <c r="C915" s="1" t="s">
        <v>5714</v>
      </c>
      <c r="D915" s="49">
        <v>12</v>
      </c>
      <c r="E915" s="1">
        <v>3</v>
      </c>
      <c r="F915" s="1" t="s">
        <v>3370</v>
      </c>
      <c r="G915" s="1" t="s">
        <v>3376</v>
      </c>
      <c r="I915" s="1" t="s">
        <v>82</v>
      </c>
      <c r="V915" s="4" t="s">
        <v>3377</v>
      </c>
      <c r="W915" s="4" t="s">
        <v>3378</v>
      </c>
      <c r="AL915" s="60" t="s">
        <v>30</v>
      </c>
    </row>
    <row r="916" spans="1:40" ht="36" x14ac:dyDescent="0.2">
      <c r="A916" s="1" t="s">
        <v>3365</v>
      </c>
      <c r="B916" s="1" t="s">
        <v>3366</v>
      </c>
      <c r="C916" s="1" t="s">
        <v>5714</v>
      </c>
      <c r="D916" s="49">
        <v>13</v>
      </c>
      <c r="E916" s="1">
        <v>2</v>
      </c>
      <c r="F916" s="1" t="s">
        <v>3370</v>
      </c>
      <c r="G916" s="1" t="s">
        <v>3367</v>
      </c>
      <c r="I916" s="1" t="s">
        <v>82</v>
      </c>
      <c r="V916" s="4" t="s">
        <v>3368</v>
      </c>
      <c r="W916" s="4" t="s">
        <v>3369</v>
      </c>
      <c r="AL916" s="60" t="s">
        <v>30</v>
      </c>
    </row>
    <row r="917" spans="1:40" ht="36" x14ac:dyDescent="0.2">
      <c r="A917" s="1" t="s">
        <v>3365</v>
      </c>
      <c r="B917" s="1" t="s">
        <v>3413</v>
      </c>
      <c r="C917" s="1" t="s">
        <v>5714</v>
      </c>
      <c r="D917" s="49">
        <v>14</v>
      </c>
      <c r="E917" s="1">
        <v>2</v>
      </c>
      <c r="F917" s="1" t="s">
        <v>3370</v>
      </c>
      <c r="G917" s="1" t="s">
        <v>3414</v>
      </c>
      <c r="I917" s="1" t="s">
        <v>82</v>
      </c>
      <c r="V917" s="4" t="s">
        <v>3415</v>
      </c>
      <c r="W917" s="4" t="s">
        <v>3416</v>
      </c>
      <c r="AL917" s="60" t="s">
        <v>30</v>
      </c>
    </row>
    <row r="918" spans="1:40" x14ac:dyDescent="0.2">
      <c r="A918" s="1" t="s">
        <v>3365</v>
      </c>
      <c r="B918" s="1" t="s">
        <v>3449</v>
      </c>
      <c r="C918" s="1" t="s">
        <v>5714</v>
      </c>
      <c r="D918" s="49">
        <v>15</v>
      </c>
      <c r="E918" s="1">
        <v>1</v>
      </c>
      <c r="F918" s="1" t="s">
        <v>3370</v>
      </c>
      <c r="G918" s="1" t="s">
        <v>3450</v>
      </c>
      <c r="I918" s="1" t="s">
        <v>104</v>
      </c>
      <c r="K918" s="1" t="s">
        <v>3381</v>
      </c>
      <c r="O918" s="55">
        <v>2</v>
      </c>
      <c r="T918" s="60">
        <v>2</v>
      </c>
      <c r="U918" s="1">
        <v>2</v>
      </c>
      <c r="V918" s="4" t="s">
        <v>3451</v>
      </c>
      <c r="AL918" s="60" t="s">
        <v>30</v>
      </c>
    </row>
    <row r="919" spans="1:40" ht="24" x14ac:dyDescent="0.2">
      <c r="A919" s="1" t="s">
        <v>3365</v>
      </c>
      <c r="B919" s="1" t="s">
        <v>3439</v>
      </c>
      <c r="C919" s="1" t="s">
        <v>5714</v>
      </c>
      <c r="D919" s="49">
        <v>16</v>
      </c>
      <c r="E919" s="1">
        <v>1</v>
      </c>
      <c r="F919" s="1" t="s">
        <v>3370</v>
      </c>
      <c r="G919" s="1" t="s">
        <v>3440</v>
      </c>
      <c r="I919" s="1" t="s">
        <v>104</v>
      </c>
      <c r="K919" s="1" t="s">
        <v>3386</v>
      </c>
      <c r="L919" s="2" t="s">
        <v>3401</v>
      </c>
      <c r="O919" s="55">
        <v>4</v>
      </c>
      <c r="T919" s="60">
        <v>8</v>
      </c>
      <c r="U919" s="1">
        <v>8</v>
      </c>
      <c r="V919" s="4" t="s">
        <v>3441</v>
      </c>
      <c r="W919" s="4" t="s">
        <v>3442</v>
      </c>
      <c r="AL919" s="60" t="s">
        <v>30</v>
      </c>
    </row>
    <row r="920" spans="1:40" ht="24" x14ac:dyDescent="0.2">
      <c r="A920" s="1" t="s">
        <v>3365</v>
      </c>
      <c r="B920" s="1" t="s">
        <v>3431</v>
      </c>
      <c r="C920" s="1" t="s">
        <v>5714</v>
      </c>
      <c r="D920" s="49">
        <v>17</v>
      </c>
      <c r="E920" s="1">
        <v>1</v>
      </c>
      <c r="F920" s="1" t="s">
        <v>3370</v>
      </c>
      <c r="G920" s="1" t="s">
        <v>3432</v>
      </c>
      <c r="I920" s="1" t="s">
        <v>104</v>
      </c>
      <c r="K920" s="1" t="s">
        <v>3381</v>
      </c>
      <c r="L920" s="2" t="s">
        <v>3397</v>
      </c>
      <c r="O920" s="55">
        <v>1</v>
      </c>
      <c r="T920" s="60">
        <v>4</v>
      </c>
      <c r="U920" s="1">
        <v>4</v>
      </c>
      <c r="V920" s="4" t="s">
        <v>3433</v>
      </c>
      <c r="AL920" s="60" t="s">
        <v>30</v>
      </c>
    </row>
    <row r="921" spans="1:40" x14ac:dyDescent="0.2">
      <c r="A921" s="1" t="s">
        <v>3365</v>
      </c>
      <c r="B921" s="1" t="s">
        <v>3410</v>
      </c>
      <c r="C921" s="1" t="s">
        <v>5714</v>
      </c>
      <c r="D921" s="49">
        <v>18</v>
      </c>
      <c r="E921" s="1">
        <v>1</v>
      </c>
      <c r="F921" s="1" t="s">
        <v>3370</v>
      </c>
      <c r="G921" s="1" t="s">
        <v>3411</v>
      </c>
      <c r="I921" s="1" t="s">
        <v>104</v>
      </c>
      <c r="K921" s="1" t="s">
        <v>3381</v>
      </c>
      <c r="L921" s="2" t="s">
        <v>3397</v>
      </c>
      <c r="O921" s="55">
        <v>2</v>
      </c>
      <c r="T921" s="60">
        <v>2</v>
      </c>
      <c r="U921" s="1">
        <v>2</v>
      </c>
      <c r="V921" s="4" t="s">
        <v>3412</v>
      </c>
      <c r="AL921" s="60" t="s">
        <v>30</v>
      </c>
    </row>
    <row r="922" spans="1:40" ht="24" x14ac:dyDescent="0.2">
      <c r="A922" s="1" t="s">
        <v>3365</v>
      </c>
      <c r="B922" s="1" t="s">
        <v>3406</v>
      </c>
      <c r="C922" s="1" t="s">
        <v>5714</v>
      </c>
      <c r="D922" s="49">
        <v>19</v>
      </c>
      <c r="E922" s="1">
        <v>4</v>
      </c>
      <c r="F922" s="1" t="s">
        <v>3370</v>
      </c>
      <c r="G922" s="1" t="s">
        <v>3407</v>
      </c>
      <c r="I922" s="1" t="s">
        <v>104</v>
      </c>
      <c r="K922" s="1" t="s">
        <v>3386</v>
      </c>
      <c r="L922" s="2" t="s">
        <v>3382</v>
      </c>
      <c r="O922" s="55">
        <v>4</v>
      </c>
      <c r="T922" s="60">
        <v>3</v>
      </c>
      <c r="U922" s="1">
        <v>3</v>
      </c>
      <c r="V922" s="4" t="s">
        <v>3408</v>
      </c>
      <c r="W922" s="4" t="s">
        <v>3409</v>
      </c>
      <c r="AL922" s="60" t="s">
        <v>30</v>
      </c>
    </row>
    <row r="923" spans="1:40" x14ac:dyDescent="0.2">
      <c r="A923" s="1" t="s">
        <v>3365</v>
      </c>
      <c r="B923" s="1" t="s">
        <v>3379</v>
      </c>
      <c r="C923" s="1" t="s">
        <v>5714</v>
      </c>
      <c r="D923" s="49">
        <v>20</v>
      </c>
      <c r="E923" s="1">
        <v>1</v>
      </c>
      <c r="F923" s="1" t="s">
        <v>3370</v>
      </c>
      <c r="G923" s="1" t="s">
        <v>3380</v>
      </c>
      <c r="I923" s="1" t="s">
        <v>104</v>
      </c>
      <c r="K923" s="1" t="s">
        <v>3381</v>
      </c>
      <c r="L923" s="2" t="s">
        <v>3382</v>
      </c>
      <c r="O923" s="55">
        <v>2</v>
      </c>
      <c r="T923" s="60">
        <v>2</v>
      </c>
      <c r="U923" s="1">
        <v>2</v>
      </c>
      <c r="V923" s="4" t="s">
        <v>3383</v>
      </c>
      <c r="AL923" s="60" t="s">
        <v>30</v>
      </c>
    </row>
    <row r="924" spans="1:40" x14ac:dyDescent="0.2">
      <c r="A924" s="1" t="s">
        <v>3365</v>
      </c>
      <c r="B924" s="1" t="s">
        <v>3399</v>
      </c>
      <c r="C924" s="1" t="s">
        <v>5714</v>
      </c>
      <c r="D924" s="49">
        <v>21</v>
      </c>
      <c r="E924" s="1">
        <v>1</v>
      </c>
      <c r="F924" s="1" t="s">
        <v>3370</v>
      </c>
      <c r="G924" s="1" t="s">
        <v>3400</v>
      </c>
      <c r="I924" s="1" t="s">
        <v>104</v>
      </c>
      <c r="K924" s="1" t="s">
        <v>3386</v>
      </c>
      <c r="L924" s="2" t="s">
        <v>3401</v>
      </c>
      <c r="O924" s="55">
        <v>6</v>
      </c>
      <c r="T924" s="60">
        <v>6</v>
      </c>
      <c r="U924" s="1">
        <v>6</v>
      </c>
      <c r="V924" s="4" t="s">
        <v>3402</v>
      </c>
      <c r="AL924" s="60" t="s">
        <v>30</v>
      </c>
    </row>
    <row r="925" spans="1:40" ht="36" x14ac:dyDescent="0.2">
      <c r="A925" s="1" t="s">
        <v>3365</v>
      </c>
      <c r="B925" s="1" t="s">
        <v>3395</v>
      </c>
      <c r="C925" s="1" t="s">
        <v>5714</v>
      </c>
      <c r="D925" s="49">
        <v>22</v>
      </c>
      <c r="E925" s="1">
        <v>1</v>
      </c>
      <c r="F925" s="1" t="s">
        <v>3370</v>
      </c>
      <c r="G925" s="1" t="s">
        <v>3396</v>
      </c>
      <c r="I925" s="1" t="s">
        <v>104</v>
      </c>
      <c r="K925" s="1" t="s">
        <v>3386</v>
      </c>
      <c r="L925" s="2" t="s">
        <v>3397</v>
      </c>
      <c r="O925" s="55">
        <v>3</v>
      </c>
      <c r="T925" s="60">
        <v>4</v>
      </c>
      <c r="U925" s="1">
        <v>4</v>
      </c>
      <c r="V925" s="4" t="s">
        <v>3398</v>
      </c>
      <c r="AL925" s="60" t="s">
        <v>30</v>
      </c>
    </row>
    <row r="926" spans="1:40" ht="24" x14ac:dyDescent="0.2">
      <c r="A926" s="1" t="s">
        <v>3365</v>
      </c>
      <c r="B926" s="1" t="s">
        <v>3391</v>
      </c>
      <c r="C926" s="1" t="s">
        <v>5714</v>
      </c>
      <c r="D926" s="49">
        <v>23</v>
      </c>
      <c r="E926" s="1">
        <v>4</v>
      </c>
      <c r="F926" s="1" t="s">
        <v>3370</v>
      </c>
      <c r="G926" s="1" t="s">
        <v>3392</v>
      </c>
      <c r="I926" s="1" t="s">
        <v>104</v>
      </c>
      <c r="K926" s="1" t="s">
        <v>3386</v>
      </c>
      <c r="L926" s="2" t="s">
        <v>3382</v>
      </c>
      <c r="O926" s="55">
        <v>2</v>
      </c>
      <c r="T926" s="60">
        <v>2</v>
      </c>
      <c r="U926" s="1">
        <v>2</v>
      </c>
      <c r="V926" s="4" t="s">
        <v>3393</v>
      </c>
      <c r="W926" s="4" t="s">
        <v>3394</v>
      </c>
      <c r="AL926" s="60" t="s">
        <v>30</v>
      </c>
    </row>
    <row r="927" spans="1:40" ht="24" x14ac:dyDescent="0.2">
      <c r="A927" s="1" t="s">
        <v>3365</v>
      </c>
      <c r="B927" s="1" t="s">
        <v>3384</v>
      </c>
      <c r="C927" s="1" t="s">
        <v>5714</v>
      </c>
      <c r="D927" s="49">
        <v>24</v>
      </c>
      <c r="E927" s="1">
        <v>4</v>
      </c>
      <c r="F927" s="1" t="s">
        <v>3370</v>
      </c>
      <c r="G927" s="1" t="s">
        <v>3385</v>
      </c>
      <c r="I927" s="1" t="s">
        <v>104</v>
      </c>
      <c r="K927" s="1" t="s">
        <v>3386</v>
      </c>
      <c r="L927" s="2" t="s">
        <v>3382</v>
      </c>
      <c r="O927" s="55">
        <v>3</v>
      </c>
      <c r="T927" s="60">
        <v>4</v>
      </c>
      <c r="U927" s="1">
        <v>4</v>
      </c>
      <c r="V927" s="4" t="s">
        <v>3387</v>
      </c>
      <c r="W927" s="4" t="s">
        <v>3388</v>
      </c>
      <c r="AL927" s="60" t="s">
        <v>30</v>
      </c>
    </row>
    <row r="928" spans="1:40" ht="48" x14ac:dyDescent="0.2">
      <c r="A928" s="117" t="s">
        <v>5144</v>
      </c>
      <c r="B928" s="117" t="s">
        <v>5216</v>
      </c>
      <c r="C928" s="117" t="s">
        <v>5715</v>
      </c>
      <c r="D928" s="118">
        <v>1</v>
      </c>
      <c r="E928" s="117">
        <v>1</v>
      </c>
      <c r="F928" s="117" t="s">
        <v>5149</v>
      </c>
      <c r="G928" s="117" t="s">
        <v>9564</v>
      </c>
      <c r="I928" s="1" t="s">
        <v>125</v>
      </c>
      <c r="M928" s="18">
        <v>1</v>
      </c>
      <c r="N928" s="54" t="s">
        <v>9529</v>
      </c>
      <c r="V928" s="4" t="s">
        <v>5217</v>
      </c>
      <c r="X928" s="1" t="s">
        <v>5218</v>
      </c>
      <c r="Y928" s="1" t="s">
        <v>9564</v>
      </c>
      <c r="AA928" s="1" t="s">
        <v>125</v>
      </c>
      <c r="AE928" s="1">
        <v>1</v>
      </c>
      <c r="AF928" s="54" t="s">
        <v>9530</v>
      </c>
      <c r="AL928" s="60" t="s">
        <v>166</v>
      </c>
      <c r="AN928" s="4" t="s">
        <v>5219</v>
      </c>
    </row>
    <row r="929" spans="1:40" ht="36" x14ac:dyDescent="0.2">
      <c r="A929" s="1" t="s">
        <v>5144</v>
      </c>
      <c r="B929" s="1" t="s">
        <v>5220</v>
      </c>
      <c r="C929" s="1" t="s">
        <v>5715</v>
      </c>
      <c r="D929" s="49">
        <v>2</v>
      </c>
      <c r="E929" s="1">
        <v>1</v>
      </c>
      <c r="F929" s="1" t="s">
        <v>5149</v>
      </c>
      <c r="G929" s="1" t="s">
        <v>9623</v>
      </c>
      <c r="I929" s="1" t="s">
        <v>125</v>
      </c>
      <c r="M929" s="18">
        <v>2</v>
      </c>
      <c r="N929" s="54" t="s">
        <v>9529</v>
      </c>
      <c r="V929" s="4" t="s">
        <v>5221</v>
      </c>
      <c r="Y929" s="1" t="s">
        <v>9623</v>
      </c>
      <c r="AA929" s="1" t="s">
        <v>125</v>
      </c>
      <c r="AE929" s="1">
        <v>2</v>
      </c>
      <c r="AF929" s="54" t="s">
        <v>9530</v>
      </c>
      <c r="AL929" s="60" t="s">
        <v>341</v>
      </c>
      <c r="AN929" s="4" t="s">
        <v>5222</v>
      </c>
    </row>
    <row r="930" spans="1:40" ht="48" x14ac:dyDescent="0.2">
      <c r="A930" s="1" t="s">
        <v>5144</v>
      </c>
      <c r="B930" s="1" t="s">
        <v>5223</v>
      </c>
      <c r="C930" s="1" t="s">
        <v>5715</v>
      </c>
      <c r="D930" s="49">
        <v>3</v>
      </c>
      <c r="E930" s="1">
        <v>1</v>
      </c>
      <c r="F930" s="1" t="s">
        <v>5149</v>
      </c>
      <c r="G930" s="1" t="s">
        <v>9684</v>
      </c>
      <c r="I930" s="1" t="s">
        <v>125</v>
      </c>
      <c r="M930" s="18">
        <v>3</v>
      </c>
      <c r="N930" s="54" t="s">
        <v>9529</v>
      </c>
      <c r="V930" s="4" t="s">
        <v>5224</v>
      </c>
      <c r="Y930" s="1" t="s">
        <v>9684</v>
      </c>
      <c r="AA930" s="1" t="s">
        <v>125</v>
      </c>
      <c r="AE930" s="1">
        <v>3</v>
      </c>
      <c r="AF930" s="54" t="s">
        <v>9530</v>
      </c>
      <c r="AL930" s="60" t="s">
        <v>5621</v>
      </c>
      <c r="AN930" s="4" t="s">
        <v>5225</v>
      </c>
    </row>
    <row r="931" spans="1:40" ht="96" x14ac:dyDescent="0.2">
      <c r="A931" s="1" t="s">
        <v>5144</v>
      </c>
      <c r="B931" s="1" t="s">
        <v>5230</v>
      </c>
      <c r="C931" s="1" t="s">
        <v>5715</v>
      </c>
      <c r="D931" s="49">
        <v>4</v>
      </c>
      <c r="E931" s="1">
        <v>1</v>
      </c>
      <c r="F931" s="1" t="s">
        <v>5149</v>
      </c>
      <c r="G931" s="1" t="s">
        <v>5231</v>
      </c>
      <c r="H931" s="1" t="s">
        <v>26</v>
      </c>
      <c r="I931" s="1" t="s">
        <v>88</v>
      </c>
      <c r="K931" s="1" t="s">
        <v>205</v>
      </c>
      <c r="P931" s="56">
        <v>3</v>
      </c>
      <c r="Q931" s="57">
        <v>1</v>
      </c>
      <c r="R931" s="58">
        <v>1</v>
      </c>
      <c r="S931" s="59">
        <v>2</v>
      </c>
      <c r="V931" s="4" t="s">
        <v>5232</v>
      </c>
      <c r="AL931" s="60" t="s">
        <v>30</v>
      </c>
    </row>
    <row r="932" spans="1:40" ht="36" x14ac:dyDescent="0.2">
      <c r="A932" s="1" t="s">
        <v>5144</v>
      </c>
      <c r="B932" s="1" t="s">
        <v>5183</v>
      </c>
      <c r="C932" s="1" t="s">
        <v>5715</v>
      </c>
      <c r="D932" s="49">
        <v>5</v>
      </c>
      <c r="E932" s="1">
        <v>1</v>
      </c>
      <c r="F932" s="1" t="s">
        <v>5149</v>
      </c>
      <c r="G932" s="1" t="s">
        <v>5184</v>
      </c>
      <c r="H932" s="1" t="s">
        <v>26</v>
      </c>
      <c r="I932" s="1" t="s">
        <v>94</v>
      </c>
      <c r="K932" s="1" t="s">
        <v>5164</v>
      </c>
      <c r="L932" s="2" t="s">
        <v>5185</v>
      </c>
      <c r="N932" s="54">
        <v>30</v>
      </c>
      <c r="O932" s="55">
        <v>5</v>
      </c>
      <c r="Q932" s="57">
        <v>6</v>
      </c>
      <c r="R932" s="58">
        <v>3</v>
      </c>
      <c r="S932" s="59">
        <v>9</v>
      </c>
      <c r="V932" s="4" t="s">
        <v>5186</v>
      </c>
      <c r="AL932" s="60" t="s">
        <v>30</v>
      </c>
    </row>
    <row r="933" spans="1:40" ht="48" x14ac:dyDescent="0.2">
      <c r="A933" s="1" t="s">
        <v>5144</v>
      </c>
      <c r="B933" s="1" t="s">
        <v>5187</v>
      </c>
      <c r="C933" s="1" t="s">
        <v>5715</v>
      </c>
      <c r="D933" s="49">
        <v>6</v>
      </c>
      <c r="E933" s="1">
        <v>1</v>
      </c>
      <c r="F933" s="1" t="s">
        <v>5149</v>
      </c>
      <c r="G933" s="1" t="s">
        <v>5149</v>
      </c>
      <c r="H933" s="1" t="s">
        <v>26</v>
      </c>
      <c r="I933" s="1" t="s">
        <v>104</v>
      </c>
      <c r="K933" s="1" t="s">
        <v>5178</v>
      </c>
      <c r="L933" s="2" t="s">
        <v>5188</v>
      </c>
      <c r="O933" s="55" t="s">
        <v>113</v>
      </c>
      <c r="T933" s="60">
        <v>6</v>
      </c>
      <c r="U933" s="1">
        <v>5</v>
      </c>
      <c r="V933" s="4" t="s">
        <v>5189</v>
      </c>
      <c r="AL933" s="60" t="s">
        <v>30</v>
      </c>
    </row>
    <row r="934" spans="1:40" ht="48" x14ac:dyDescent="0.2">
      <c r="A934" s="1" t="s">
        <v>5144</v>
      </c>
      <c r="B934" s="1" t="s">
        <v>5190</v>
      </c>
      <c r="C934" s="1" t="s">
        <v>5715</v>
      </c>
      <c r="D934" s="49">
        <v>7</v>
      </c>
      <c r="E934" s="1">
        <v>1</v>
      </c>
      <c r="F934" s="1" t="s">
        <v>5149</v>
      </c>
      <c r="G934" s="1" t="s">
        <v>5191</v>
      </c>
      <c r="H934" s="1" t="s">
        <v>26</v>
      </c>
      <c r="I934" s="1" t="s">
        <v>104</v>
      </c>
      <c r="K934" s="1" t="s">
        <v>5192</v>
      </c>
      <c r="O934" s="55">
        <v>3</v>
      </c>
      <c r="T934" s="60">
        <v>6</v>
      </c>
      <c r="U934" s="1">
        <v>1</v>
      </c>
      <c r="V934" s="4" t="s">
        <v>5193</v>
      </c>
      <c r="AL934" s="60" t="s">
        <v>30</v>
      </c>
    </row>
    <row r="935" spans="1:40" ht="48" x14ac:dyDescent="0.2">
      <c r="A935" s="1" t="s">
        <v>5144</v>
      </c>
      <c r="B935" s="1" t="s">
        <v>5159</v>
      </c>
      <c r="C935" s="1" t="s">
        <v>5715</v>
      </c>
      <c r="D935" s="49">
        <v>8</v>
      </c>
      <c r="E935" s="1">
        <v>1</v>
      </c>
      <c r="F935" s="1" t="s">
        <v>5149</v>
      </c>
      <c r="G935" s="1" t="s">
        <v>5160</v>
      </c>
      <c r="I935" s="1" t="s">
        <v>88</v>
      </c>
      <c r="K935" s="1" t="s">
        <v>5152</v>
      </c>
      <c r="V935" s="4" t="s">
        <v>5161</v>
      </c>
      <c r="AL935" s="60" t="s">
        <v>30</v>
      </c>
    </row>
    <row r="936" spans="1:40" ht="48" x14ac:dyDescent="0.2">
      <c r="A936" s="1" t="s">
        <v>5144</v>
      </c>
      <c r="B936" s="1" t="s">
        <v>5213</v>
      </c>
      <c r="C936" s="1" t="s">
        <v>5715</v>
      </c>
      <c r="D936" s="49">
        <v>9</v>
      </c>
      <c r="E936" s="1">
        <v>1</v>
      </c>
      <c r="F936" s="1" t="s">
        <v>5149</v>
      </c>
      <c r="G936" s="1" t="s">
        <v>5214</v>
      </c>
      <c r="I936" s="1" t="s">
        <v>88</v>
      </c>
      <c r="K936" s="1" t="s">
        <v>5152</v>
      </c>
      <c r="V936" s="4" t="s">
        <v>5215</v>
      </c>
      <c r="AL936" s="60" t="s">
        <v>30</v>
      </c>
    </row>
    <row r="937" spans="1:40" ht="24" x14ac:dyDescent="0.2">
      <c r="A937" s="1" t="s">
        <v>5144</v>
      </c>
      <c r="B937" s="1" t="s">
        <v>5150</v>
      </c>
      <c r="C937" s="1" t="s">
        <v>5715</v>
      </c>
      <c r="D937" s="49">
        <v>10</v>
      </c>
      <c r="E937" s="1">
        <v>1</v>
      </c>
      <c r="F937" s="1" t="s">
        <v>5149</v>
      </c>
      <c r="G937" s="1" t="s">
        <v>5151</v>
      </c>
      <c r="I937" s="1" t="s">
        <v>88</v>
      </c>
      <c r="K937" s="1" t="s">
        <v>5152</v>
      </c>
      <c r="V937" s="4" t="s">
        <v>5153</v>
      </c>
      <c r="AL937" s="60" t="s">
        <v>30</v>
      </c>
    </row>
    <row r="938" spans="1:40" ht="48" x14ac:dyDescent="0.2">
      <c r="A938" s="1" t="s">
        <v>5144</v>
      </c>
      <c r="B938" s="1" t="s">
        <v>5180</v>
      </c>
      <c r="C938" s="1" t="s">
        <v>5715</v>
      </c>
      <c r="D938" s="49">
        <v>11</v>
      </c>
      <c r="E938" s="1">
        <v>1</v>
      </c>
      <c r="F938" s="1" t="s">
        <v>5149</v>
      </c>
      <c r="G938" s="1" t="s">
        <v>5181</v>
      </c>
      <c r="I938" s="1" t="s">
        <v>88</v>
      </c>
      <c r="K938" s="1" t="s">
        <v>474</v>
      </c>
      <c r="V938" s="4" t="s">
        <v>5182</v>
      </c>
      <c r="AL938" s="60" t="s">
        <v>30</v>
      </c>
    </row>
    <row r="939" spans="1:40" ht="24" x14ac:dyDescent="0.2">
      <c r="A939" s="1" t="s">
        <v>5144</v>
      </c>
      <c r="B939" s="1" t="s">
        <v>5194</v>
      </c>
      <c r="C939" s="1" t="s">
        <v>5715</v>
      </c>
      <c r="D939" s="49">
        <v>12</v>
      </c>
      <c r="E939" s="1">
        <v>2</v>
      </c>
      <c r="F939" s="1" t="s">
        <v>5149</v>
      </c>
      <c r="G939" s="1" t="s">
        <v>5195</v>
      </c>
      <c r="I939" s="1" t="s">
        <v>94</v>
      </c>
      <c r="K939" s="1" t="s">
        <v>5164</v>
      </c>
      <c r="L939" s="2" t="s">
        <v>5165</v>
      </c>
      <c r="N939" s="54">
        <v>27</v>
      </c>
      <c r="O939" s="55">
        <v>2</v>
      </c>
      <c r="Q939" s="57">
        <v>4</v>
      </c>
      <c r="R939" s="58">
        <v>1</v>
      </c>
      <c r="S939" s="59">
        <v>5</v>
      </c>
      <c r="V939" s="4" t="s">
        <v>5196</v>
      </c>
      <c r="W939" s="4" t="s">
        <v>5197</v>
      </c>
      <c r="AL939" s="60" t="s">
        <v>30</v>
      </c>
    </row>
    <row r="940" spans="1:40" ht="24" x14ac:dyDescent="0.2">
      <c r="A940" s="1" t="s">
        <v>5144</v>
      </c>
      <c r="B940" s="1" t="s">
        <v>5170</v>
      </c>
      <c r="C940" s="1" t="s">
        <v>5715</v>
      </c>
      <c r="D940" s="49">
        <v>13</v>
      </c>
      <c r="E940" s="1">
        <v>4</v>
      </c>
      <c r="F940" s="1" t="s">
        <v>5149</v>
      </c>
      <c r="G940" s="1" t="s">
        <v>5171</v>
      </c>
      <c r="I940" s="1" t="s">
        <v>94</v>
      </c>
      <c r="K940" s="1" t="s">
        <v>5164</v>
      </c>
      <c r="L940" s="2" t="s">
        <v>5165</v>
      </c>
      <c r="N940" s="54">
        <v>12</v>
      </c>
      <c r="O940" s="55">
        <v>2</v>
      </c>
      <c r="Q940" s="57">
        <v>3</v>
      </c>
      <c r="R940" s="58">
        <v>0</v>
      </c>
      <c r="S940" s="59">
        <v>2</v>
      </c>
      <c r="V940" s="4" t="s">
        <v>5172</v>
      </c>
      <c r="AL940" s="60" t="s">
        <v>30</v>
      </c>
    </row>
    <row r="941" spans="1:40" ht="36" x14ac:dyDescent="0.2">
      <c r="A941" s="1" t="s">
        <v>5144</v>
      </c>
      <c r="B941" s="1" t="s">
        <v>5162</v>
      </c>
      <c r="C941" s="1" t="s">
        <v>5715</v>
      </c>
      <c r="D941" s="49">
        <v>14</v>
      </c>
      <c r="E941" s="1">
        <v>3</v>
      </c>
      <c r="F941" s="1" t="s">
        <v>5149</v>
      </c>
      <c r="G941" s="1" t="s">
        <v>5163</v>
      </c>
      <c r="I941" s="1" t="s">
        <v>94</v>
      </c>
      <c r="K941" s="1" t="s">
        <v>5164</v>
      </c>
      <c r="L941" s="2" t="s">
        <v>5165</v>
      </c>
      <c r="N941" s="54">
        <v>35</v>
      </c>
      <c r="O941" s="55">
        <v>2</v>
      </c>
      <c r="Q941" s="57">
        <v>2</v>
      </c>
      <c r="R941" s="58">
        <v>2</v>
      </c>
      <c r="S941" s="59">
        <v>4</v>
      </c>
      <c r="V941" s="4" t="s">
        <v>5166</v>
      </c>
      <c r="AL941" s="60" t="s">
        <v>30</v>
      </c>
    </row>
    <row r="942" spans="1:40" ht="36" x14ac:dyDescent="0.2">
      <c r="A942" s="1" t="s">
        <v>5144</v>
      </c>
      <c r="B942" s="1" t="s">
        <v>5198</v>
      </c>
      <c r="C942" s="1" t="s">
        <v>5715</v>
      </c>
      <c r="D942" s="49">
        <v>15</v>
      </c>
      <c r="E942" s="1">
        <v>2</v>
      </c>
      <c r="F942" s="1" t="s">
        <v>5149</v>
      </c>
      <c r="G942" s="1" t="s">
        <v>5199</v>
      </c>
      <c r="I942" s="1" t="s">
        <v>94</v>
      </c>
      <c r="K942" s="1" t="s">
        <v>5164</v>
      </c>
      <c r="L942" s="2" t="s">
        <v>5165</v>
      </c>
      <c r="N942" s="54">
        <v>42</v>
      </c>
      <c r="O942" s="55">
        <v>3</v>
      </c>
      <c r="Q942" s="57">
        <v>4</v>
      </c>
      <c r="R942" s="58">
        <v>1</v>
      </c>
      <c r="S942" s="59">
        <v>6</v>
      </c>
      <c r="V942" s="4" t="s">
        <v>5200</v>
      </c>
      <c r="AL942" s="60" t="s">
        <v>30</v>
      </c>
    </row>
    <row r="943" spans="1:40" ht="36" x14ac:dyDescent="0.2">
      <c r="A943" s="1" t="s">
        <v>5144</v>
      </c>
      <c r="B943" s="1" t="s">
        <v>5226</v>
      </c>
      <c r="C943" s="1" t="s">
        <v>5715</v>
      </c>
      <c r="D943" s="49">
        <v>16</v>
      </c>
      <c r="E943" s="1">
        <v>3</v>
      </c>
      <c r="F943" s="1" t="s">
        <v>5149</v>
      </c>
      <c r="G943" s="1" t="s">
        <v>5227</v>
      </c>
      <c r="I943" s="1" t="s">
        <v>94</v>
      </c>
      <c r="K943" s="1" t="s">
        <v>5164</v>
      </c>
      <c r="L943" s="2" t="s">
        <v>5228</v>
      </c>
      <c r="N943" s="54">
        <v>23</v>
      </c>
      <c r="O943" s="55">
        <v>1</v>
      </c>
      <c r="Q943" s="57">
        <v>2</v>
      </c>
      <c r="R943" s="58">
        <v>1</v>
      </c>
      <c r="S943" s="59">
        <v>3</v>
      </c>
      <c r="W943" s="4" t="s">
        <v>5229</v>
      </c>
      <c r="AL943" s="60" t="s">
        <v>30</v>
      </c>
    </row>
    <row r="944" spans="1:40" ht="24" x14ac:dyDescent="0.2">
      <c r="A944" s="1" t="s">
        <v>5144</v>
      </c>
      <c r="B944" s="1" t="s">
        <v>5154</v>
      </c>
      <c r="C944" s="1" t="s">
        <v>5715</v>
      </c>
      <c r="D944" s="49">
        <v>17</v>
      </c>
      <c r="E944" s="1">
        <v>2</v>
      </c>
      <c r="F944" s="1" t="s">
        <v>5149</v>
      </c>
      <c r="G944" s="1" t="s">
        <v>5155</v>
      </c>
      <c r="I944" s="1" t="s">
        <v>104</v>
      </c>
      <c r="K944" s="1" t="s">
        <v>5156</v>
      </c>
      <c r="O944" s="55">
        <v>2</v>
      </c>
      <c r="T944" s="60">
        <v>7</v>
      </c>
      <c r="V944" s="4" t="s">
        <v>5157</v>
      </c>
      <c r="W944" s="4" t="s">
        <v>5158</v>
      </c>
      <c r="AL944" s="60" t="s">
        <v>30</v>
      </c>
    </row>
    <row r="945" spans="1:40" ht="72" x14ac:dyDescent="0.2">
      <c r="A945" s="1" t="s">
        <v>5144</v>
      </c>
      <c r="B945" s="1" t="s">
        <v>5204</v>
      </c>
      <c r="C945" s="1" t="s">
        <v>5715</v>
      </c>
      <c r="D945" s="49">
        <v>18</v>
      </c>
      <c r="E945" s="1">
        <v>2</v>
      </c>
      <c r="F945" s="1" t="s">
        <v>5149</v>
      </c>
      <c r="G945" s="1" t="s">
        <v>5205</v>
      </c>
      <c r="I945" s="1" t="s">
        <v>104</v>
      </c>
      <c r="K945" s="1" t="s">
        <v>5178</v>
      </c>
      <c r="O945" s="55">
        <v>1</v>
      </c>
      <c r="T945" s="60">
        <v>3</v>
      </c>
      <c r="V945" s="4" t="s">
        <v>5206</v>
      </c>
      <c r="AL945" s="60" t="s">
        <v>30</v>
      </c>
    </row>
    <row r="946" spans="1:40" ht="36" x14ac:dyDescent="0.2">
      <c r="A946" s="1" t="s">
        <v>5144</v>
      </c>
      <c r="B946" s="1" t="s">
        <v>5237</v>
      </c>
      <c r="C946" s="1" t="s">
        <v>5715</v>
      </c>
      <c r="D946" s="49">
        <v>19</v>
      </c>
      <c r="E946" s="1">
        <v>3</v>
      </c>
      <c r="F946" s="1" t="s">
        <v>5149</v>
      </c>
      <c r="G946" s="1" t="s">
        <v>5238</v>
      </c>
      <c r="I946" s="1" t="s">
        <v>104</v>
      </c>
      <c r="K946" s="1" t="s">
        <v>5178</v>
      </c>
      <c r="O946" s="55">
        <v>4</v>
      </c>
      <c r="T946" s="60">
        <v>1</v>
      </c>
      <c r="V946" s="4" t="s">
        <v>5239</v>
      </c>
      <c r="W946" s="4" t="s">
        <v>5240</v>
      </c>
      <c r="AL946" s="60" t="s">
        <v>30</v>
      </c>
    </row>
    <row r="947" spans="1:40" ht="36" x14ac:dyDescent="0.2">
      <c r="A947" s="1" t="s">
        <v>5144</v>
      </c>
      <c r="B947" s="1" t="s">
        <v>5145</v>
      </c>
      <c r="C947" s="1" t="s">
        <v>5715</v>
      </c>
      <c r="D947" s="49">
        <v>20</v>
      </c>
      <c r="E947" s="1">
        <v>2</v>
      </c>
      <c r="F947" s="1" t="s">
        <v>5149</v>
      </c>
      <c r="G947" s="1" t="s">
        <v>5146</v>
      </c>
      <c r="I947" s="1" t="s">
        <v>104</v>
      </c>
      <c r="K947" s="1" t="s">
        <v>5147</v>
      </c>
      <c r="O947" s="55">
        <v>1</v>
      </c>
      <c r="T947" s="60">
        <v>4</v>
      </c>
      <c r="V947" s="4" t="s">
        <v>5148</v>
      </c>
      <c r="AL947" s="60" t="s">
        <v>30</v>
      </c>
    </row>
    <row r="948" spans="1:40" ht="48" x14ac:dyDescent="0.2">
      <c r="A948" s="1" t="s">
        <v>5144</v>
      </c>
      <c r="B948" s="1" t="s">
        <v>5176</v>
      </c>
      <c r="C948" s="1" t="s">
        <v>5715</v>
      </c>
      <c r="D948" s="49">
        <v>21</v>
      </c>
      <c r="E948" s="1">
        <v>2</v>
      </c>
      <c r="F948" s="1" t="s">
        <v>5149</v>
      </c>
      <c r="G948" s="1" t="s">
        <v>5177</v>
      </c>
      <c r="I948" s="1" t="s">
        <v>104</v>
      </c>
      <c r="K948" s="1" t="s">
        <v>5178</v>
      </c>
      <c r="O948" s="55">
        <v>2</v>
      </c>
      <c r="T948" s="60">
        <v>3</v>
      </c>
      <c r="V948" s="4" t="s">
        <v>5179</v>
      </c>
      <c r="AL948" s="60" t="s">
        <v>30</v>
      </c>
    </row>
    <row r="949" spans="1:40" ht="60" x14ac:dyDescent="0.2">
      <c r="A949" s="1" t="s">
        <v>5144</v>
      </c>
      <c r="B949" s="1" t="s">
        <v>5201</v>
      </c>
      <c r="C949" s="1" t="s">
        <v>5715</v>
      </c>
      <c r="D949" s="49">
        <v>22</v>
      </c>
      <c r="E949" s="1">
        <v>2</v>
      </c>
      <c r="F949" s="1" t="s">
        <v>5149</v>
      </c>
      <c r="G949" s="1" t="s">
        <v>5202</v>
      </c>
      <c r="I949" s="1" t="s">
        <v>82</v>
      </c>
      <c r="V949" s="4" t="s">
        <v>5203</v>
      </c>
      <c r="W949" s="4" t="s">
        <v>5197</v>
      </c>
      <c r="AL949" s="60" t="s">
        <v>30</v>
      </c>
    </row>
    <row r="950" spans="1:40" ht="36" x14ac:dyDescent="0.2">
      <c r="A950" s="1" t="s">
        <v>5144</v>
      </c>
      <c r="B950" s="1" t="s">
        <v>5233</v>
      </c>
      <c r="C950" s="1" t="s">
        <v>5715</v>
      </c>
      <c r="D950" s="49">
        <v>23</v>
      </c>
      <c r="E950" s="1">
        <v>2</v>
      </c>
      <c r="F950" s="1" t="s">
        <v>5149</v>
      </c>
      <c r="G950" s="1" t="s">
        <v>5234</v>
      </c>
      <c r="I950" s="1" t="s">
        <v>82</v>
      </c>
      <c r="V950" s="4" t="s">
        <v>5235</v>
      </c>
      <c r="W950" s="4" t="s">
        <v>5236</v>
      </c>
      <c r="AL950" s="60" t="s">
        <v>30</v>
      </c>
    </row>
    <row r="951" spans="1:40" ht="60" x14ac:dyDescent="0.2">
      <c r="A951" s="1" t="s">
        <v>5144</v>
      </c>
      <c r="B951" s="1" t="s">
        <v>5173</v>
      </c>
      <c r="C951" s="1" t="s">
        <v>5715</v>
      </c>
      <c r="D951" s="49">
        <v>24</v>
      </c>
      <c r="E951" s="1">
        <v>2</v>
      </c>
      <c r="F951" s="1" t="s">
        <v>5149</v>
      </c>
      <c r="G951" s="1" t="s">
        <v>5174</v>
      </c>
      <c r="I951" s="1" t="s">
        <v>82</v>
      </c>
      <c r="V951" s="4" t="s">
        <v>5175</v>
      </c>
      <c r="AL951" s="60" t="s">
        <v>30</v>
      </c>
    </row>
    <row r="952" spans="1:40" ht="48" x14ac:dyDescent="0.2">
      <c r="A952" s="1" t="s">
        <v>5144</v>
      </c>
      <c r="B952" s="1" t="s">
        <v>5207</v>
      </c>
      <c r="C952" s="1" t="s">
        <v>5715</v>
      </c>
      <c r="D952" s="49">
        <v>25</v>
      </c>
      <c r="E952" s="1">
        <v>2</v>
      </c>
      <c r="F952" s="1" t="s">
        <v>5149</v>
      </c>
      <c r="G952" s="1" t="s">
        <v>5208</v>
      </c>
      <c r="I952" s="1" t="s">
        <v>82</v>
      </c>
      <c r="V952" s="4" t="s">
        <v>5209</v>
      </c>
      <c r="AL952" s="60" t="s">
        <v>30</v>
      </c>
    </row>
    <row r="953" spans="1:40" ht="24" x14ac:dyDescent="0.2">
      <c r="A953" s="1" t="s">
        <v>5144</v>
      </c>
      <c r="B953" s="1" t="s">
        <v>5167</v>
      </c>
      <c r="C953" s="1" t="s">
        <v>5715</v>
      </c>
      <c r="D953" s="49">
        <v>26</v>
      </c>
      <c r="E953" s="1">
        <v>2</v>
      </c>
      <c r="F953" s="1" t="s">
        <v>5149</v>
      </c>
      <c r="G953" s="1" t="s">
        <v>5168</v>
      </c>
      <c r="I953" s="1" t="s">
        <v>82</v>
      </c>
      <c r="V953" s="4" t="s">
        <v>5169</v>
      </c>
      <c r="AL953" s="60" t="s">
        <v>30</v>
      </c>
    </row>
    <row r="954" spans="1:40" x14ac:dyDescent="0.2">
      <c r="A954" s="1" t="s">
        <v>5144</v>
      </c>
      <c r="B954" s="1" t="s">
        <v>5210</v>
      </c>
      <c r="C954" s="1" t="s">
        <v>5715</v>
      </c>
      <c r="D954" s="49">
        <v>27</v>
      </c>
      <c r="E954" s="1">
        <v>2</v>
      </c>
      <c r="F954" s="1" t="s">
        <v>5149</v>
      </c>
      <c r="G954" s="1" t="s">
        <v>5211</v>
      </c>
      <c r="I954" s="1" t="s">
        <v>82</v>
      </c>
      <c r="L954" s="2" t="s">
        <v>3261</v>
      </c>
      <c r="V954" s="4" t="s">
        <v>5212</v>
      </c>
      <c r="AL954" s="60" t="s">
        <v>30</v>
      </c>
    </row>
    <row r="955" spans="1:40" ht="48" x14ac:dyDescent="0.2">
      <c r="A955" s="119" t="s">
        <v>766</v>
      </c>
      <c r="B955" s="119" t="s">
        <v>767</v>
      </c>
      <c r="C955" s="119" t="s">
        <v>5717</v>
      </c>
      <c r="D955" s="120">
        <v>1</v>
      </c>
      <c r="E955" s="119">
        <v>1</v>
      </c>
      <c r="F955" s="119" t="s">
        <v>770</v>
      </c>
      <c r="G955" s="119" t="s">
        <v>661</v>
      </c>
      <c r="I955" s="1" t="s">
        <v>768</v>
      </c>
      <c r="L955" s="2" t="s">
        <v>21</v>
      </c>
      <c r="N955" s="54" t="s">
        <v>9529</v>
      </c>
      <c r="V955" s="4" t="s">
        <v>769</v>
      </c>
      <c r="X955" s="1" t="s">
        <v>127</v>
      </c>
      <c r="Y955" s="1" t="s">
        <v>661</v>
      </c>
      <c r="AA955" s="1" t="s">
        <v>768</v>
      </c>
      <c r="AF955" s="54" t="s">
        <v>9530</v>
      </c>
      <c r="AL955" s="60" t="s">
        <v>30</v>
      </c>
      <c r="AN955" s="4" t="s">
        <v>771</v>
      </c>
    </row>
    <row r="956" spans="1:40" ht="24" x14ac:dyDescent="0.2">
      <c r="A956" s="1" t="s">
        <v>766</v>
      </c>
      <c r="B956" s="1" t="s">
        <v>871</v>
      </c>
      <c r="C956" s="1" t="s">
        <v>5717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5717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5717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5717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5717</v>
      </c>
      <c r="D960" s="48">
        <v>6</v>
      </c>
      <c r="E960" s="1">
        <v>3</v>
      </c>
      <c r="F960" s="1" t="s">
        <v>770</v>
      </c>
      <c r="G960" s="1" t="s">
        <v>855</v>
      </c>
      <c r="I960" s="1" t="s">
        <v>82</v>
      </c>
      <c r="V960" s="4" t="s">
        <v>856</v>
      </c>
      <c r="AL960" s="60" t="s">
        <v>30</v>
      </c>
    </row>
    <row r="961" spans="1:40" ht="24" x14ac:dyDescent="0.2">
      <c r="A961" s="1" t="s">
        <v>766</v>
      </c>
      <c r="B961" s="1" t="s">
        <v>791</v>
      </c>
      <c r="C961" s="1" t="s">
        <v>5717</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5717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5717</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5718</v>
      </c>
      <c r="D964" s="48">
        <v>1</v>
      </c>
      <c r="E964" s="1">
        <v>1</v>
      </c>
      <c r="F964" s="1" t="s">
        <v>774</v>
      </c>
      <c r="G964" s="1" t="s">
        <v>773</v>
      </c>
      <c r="I964" s="1" t="s">
        <v>768</v>
      </c>
      <c r="L964" s="2" t="s">
        <v>21</v>
      </c>
      <c r="N964" s="54" t="s">
        <v>9529</v>
      </c>
      <c r="V964" s="4" t="s">
        <v>769</v>
      </c>
      <c r="Y964" s="1" t="s">
        <v>773</v>
      </c>
      <c r="AA964" s="1" t="s">
        <v>768</v>
      </c>
      <c r="AF964" s="54" t="s">
        <v>9530</v>
      </c>
      <c r="AL964" s="60" t="s">
        <v>30</v>
      </c>
      <c r="AN964" s="4" t="s">
        <v>775</v>
      </c>
    </row>
    <row r="965" spans="1:40" ht="36" x14ac:dyDescent="0.2">
      <c r="A965" s="1" t="s">
        <v>766</v>
      </c>
      <c r="B965" s="1" t="s">
        <v>831</v>
      </c>
      <c r="C965" s="1" t="s">
        <v>5718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5718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5718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5718</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5718</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5718</v>
      </c>
      <c r="D970" s="48">
        <v>7</v>
      </c>
      <c r="E970" s="1">
        <v>2</v>
      </c>
      <c r="F970" s="1" t="s">
        <v>774</v>
      </c>
      <c r="G970" s="1" t="s">
        <v>836</v>
      </c>
      <c r="I970" s="1" t="s">
        <v>82</v>
      </c>
      <c r="V970" s="4" t="s">
        <v>837</v>
      </c>
      <c r="AL970" s="60" t="s">
        <v>30</v>
      </c>
    </row>
    <row r="971" spans="1:40" ht="36" x14ac:dyDescent="0.2">
      <c r="A971" s="1" t="s">
        <v>766</v>
      </c>
      <c r="B971" s="1" t="s">
        <v>863</v>
      </c>
      <c r="C971" s="1" t="s">
        <v>5718</v>
      </c>
      <c r="D971" s="48">
        <v>8</v>
      </c>
      <c r="E971" s="1">
        <v>2</v>
      </c>
      <c r="F971" s="1" t="s">
        <v>774</v>
      </c>
      <c r="G971" s="1" t="s">
        <v>864</v>
      </c>
      <c r="I971" s="1" t="s">
        <v>82</v>
      </c>
      <c r="V971" s="4" t="s">
        <v>865</v>
      </c>
      <c r="W971" s="4" t="s">
        <v>866</v>
      </c>
      <c r="AL971" s="60" t="s">
        <v>30</v>
      </c>
    </row>
    <row r="972" spans="1:40" ht="48" x14ac:dyDescent="0.2">
      <c r="A972" s="1" t="s">
        <v>766</v>
      </c>
      <c r="B972" s="1" t="s">
        <v>841</v>
      </c>
      <c r="C972" s="1" t="s">
        <v>5718</v>
      </c>
      <c r="D972" s="48">
        <v>9</v>
      </c>
      <c r="E972" s="1">
        <v>2</v>
      </c>
      <c r="F972" s="1" t="s">
        <v>774</v>
      </c>
      <c r="G972" s="1" t="s">
        <v>842</v>
      </c>
      <c r="I972" s="1" t="s">
        <v>82</v>
      </c>
      <c r="V972" s="4" t="s">
        <v>843</v>
      </c>
      <c r="W972" s="4" t="s">
        <v>844</v>
      </c>
      <c r="AL972" s="60" t="s">
        <v>30</v>
      </c>
    </row>
    <row r="973" spans="1:40" ht="96" x14ac:dyDescent="0.2">
      <c r="A973" s="1" t="s">
        <v>766</v>
      </c>
      <c r="B973" s="1" t="s">
        <v>776</v>
      </c>
      <c r="C973" s="1" t="s">
        <v>5735</v>
      </c>
      <c r="D973" s="48">
        <v>1</v>
      </c>
      <c r="E973" s="1">
        <v>1</v>
      </c>
      <c r="F973" s="1" t="s">
        <v>777</v>
      </c>
      <c r="G973" s="1" t="s">
        <v>677</v>
      </c>
      <c r="I973" s="1" t="s">
        <v>768</v>
      </c>
      <c r="L973" s="2" t="s">
        <v>21</v>
      </c>
      <c r="N973" s="54" t="s">
        <v>9529</v>
      </c>
      <c r="V973" s="4" t="s">
        <v>769</v>
      </c>
      <c r="X973" s="1" t="s">
        <v>753</v>
      </c>
      <c r="Y973" s="1" t="s">
        <v>677</v>
      </c>
      <c r="AA973" s="1" t="s">
        <v>768</v>
      </c>
      <c r="AF973" s="54" t="s">
        <v>9530</v>
      </c>
      <c r="AL973" s="60" t="s">
        <v>30</v>
      </c>
      <c r="AN973" s="4" t="s">
        <v>778</v>
      </c>
    </row>
    <row r="974" spans="1:40" ht="36" x14ac:dyDescent="0.2">
      <c r="A974" s="1" t="s">
        <v>766</v>
      </c>
      <c r="B974" s="1" t="s">
        <v>860</v>
      </c>
      <c r="C974" s="1" t="s">
        <v>5735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5735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5735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5735</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5735</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5735</v>
      </c>
      <c r="D979" s="48">
        <v>7</v>
      </c>
      <c r="E979" s="1">
        <v>2</v>
      </c>
      <c r="F979" s="1" t="s">
        <v>777</v>
      </c>
      <c r="G979" s="1" t="s">
        <v>839</v>
      </c>
      <c r="I979" s="1" t="s">
        <v>82</v>
      </c>
      <c r="V979" s="4" t="s">
        <v>840</v>
      </c>
      <c r="AL979" s="60" t="s">
        <v>30</v>
      </c>
    </row>
    <row r="980" spans="1:40" ht="48" x14ac:dyDescent="0.2">
      <c r="A980" s="1" t="s">
        <v>766</v>
      </c>
      <c r="B980" s="1" t="s">
        <v>802</v>
      </c>
      <c r="C980" s="1" t="s">
        <v>5735</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5735</v>
      </c>
      <c r="D981" s="48">
        <v>9</v>
      </c>
      <c r="E981" s="1">
        <v>2</v>
      </c>
      <c r="F981" s="1" t="s">
        <v>777</v>
      </c>
      <c r="G981" s="1" t="s">
        <v>813</v>
      </c>
      <c r="I981" s="1" t="s">
        <v>82</v>
      </c>
      <c r="V981" s="4" t="s">
        <v>814</v>
      </c>
      <c r="W981" s="4" t="s">
        <v>815</v>
      </c>
      <c r="AL981" s="60" t="s">
        <v>30</v>
      </c>
    </row>
    <row r="982" spans="1:40" ht="108" x14ac:dyDescent="0.2">
      <c r="A982" s="119" t="s">
        <v>3165</v>
      </c>
      <c r="B982" s="119" t="s">
        <v>3271</v>
      </c>
      <c r="C982" s="119" t="s">
        <v>5739</v>
      </c>
      <c r="D982" s="120">
        <v>1</v>
      </c>
      <c r="E982" s="119">
        <v>1</v>
      </c>
      <c r="F982" s="119" t="s">
        <v>3272</v>
      </c>
      <c r="G982" s="119" t="s">
        <v>3169</v>
      </c>
      <c r="I982" s="1" t="s">
        <v>768</v>
      </c>
      <c r="N982" s="54" t="s">
        <v>9529</v>
      </c>
      <c r="V982" s="4" t="s">
        <v>769</v>
      </c>
      <c r="Y982" s="1" t="s">
        <v>3169</v>
      </c>
      <c r="AA982" s="1" t="s">
        <v>768</v>
      </c>
      <c r="AF982" s="54" t="s">
        <v>9530</v>
      </c>
      <c r="AL982" s="60" t="s">
        <v>30</v>
      </c>
      <c r="AN982" s="4" t="s">
        <v>3273</v>
      </c>
    </row>
    <row r="983" spans="1:40" ht="48" x14ac:dyDescent="0.2">
      <c r="A983" s="1" t="s">
        <v>3165</v>
      </c>
      <c r="B983" s="1" t="s">
        <v>3285</v>
      </c>
      <c r="C983" s="1" t="s">
        <v>5739</v>
      </c>
      <c r="D983" s="48">
        <v>2</v>
      </c>
      <c r="E983" s="1">
        <v>3</v>
      </c>
      <c r="F983" s="1" t="s">
        <v>3272</v>
      </c>
      <c r="G983" s="1" t="s">
        <v>3286</v>
      </c>
      <c r="I983" s="1" t="s">
        <v>94</v>
      </c>
      <c r="K983" s="1" t="s">
        <v>95</v>
      </c>
      <c r="N983" s="54">
        <v>42</v>
      </c>
      <c r="O983" s="55">
        <v>2</v>
      </c>
      <c r="Q983" s="57">
        <v>3</v>
      </c>
      <c r="R983" s="58">
        <v>3</v>
      </c>
      <c r="S983" s="59">
        <v>3</v>
      </c>
      <c r="V983" s="4" t="s">
        <v>3287</v>
      </c>
      <c r="AL983" s="60" t="s">
        <v>30</v>
      </c>
    </row>
    <row r="984" spans="1:40" ht="48" x14ac:dyDescent="0.2">
      <c r="A984" s="1" t="s">
        <v>3165</v>
      </c>
      <c r="B984" s="1" t="s">
        <v>3288</v>
      </c>
      <c r="C984" s="1" t="s">
        <v>5739</v>
      </c>
      <c r="D984" s="48">
        <v>3</v>
      </c>
      <c r="E984" s="1">
        <v>2</v>
      </c>
      <c r="F984" s="1" t="s">
        <v>3272</v>
      </c>
      <c r="G984" s="1" t="s">
        <v>3289</v>
      </c>
      <c r="I984" s="1" t="s">
        <v>94</v>
      </c>
      <c r="K984" s="1" t="s">
        <v>3290</v>
      </c>
      <c r="N984" s="54">
        <v>15</v>
      </c>
      <c r="O984" s="55">
        <v>1</v>
      </c>
      <c r="Q984" s="57">
        <v>3</v>
      </c>
      <c r="R984" s="58">
        <v>2</v>
      </c>
      <c r="S984" s="59">
        <v>3</v>
      </c>
      <c r="V984" s="4" t="s">
        <v>3291</v>
      </c>
      <c r="AL984" s="60" t="s">
        <v>30</v>
      </c>
    </row>
    <row r="985" spans="1:40" ht="24" x14ac:dyDescent="0.2">
      <c r="A985" s="1" t="s">
        <v>3165</v>
      </c>
      <c r="B985" s="1" t="s">
        <v>3292</v>
      </c>
      <c r="C985" s="1" t="s">
        <v>5739</v>
      </c>
      <c r="D985" s="48">
        <v>4</v>
      </c>
      <c r="E985" s="1">
        <v>2</v>
      </c>
      <c r="F985" s="1" t="s">
        <v>3272</v>
      </c>
      <c r="G985" s="1" t="s">
        <v>3293</v>
      </c>
      <c r="I985" s="1" t="s">
        <v>104</v>
      </c>
      <c r="K985" s="1" t="s">
        <v>2506</v>
      </c>
      <c r="O985" s="55">
        <v>3</v>
      </c>
      <c r="T985" s="60">
        <v>4</v>
      </c>
      <c r="V985" s="4" t="s">
        <v>3294</v>
      </c>
      <c r="W985" s="4" t="s">
        <v>3295</v>
      </c>
      <c r="AL985" s="60" t="s">
        <v>30</v>
      </c>
    </row>
    <row r="986" spans="1:40" ht="24" x14ac:dyDescent="0.2">
      <c r="A986" s="1" t="s">
        <v>3165</v>
      </c>
      <c r="B986" s="1" t="s">
        <v>3296</v>
      </c>
      <c r="C986" s="1" t="s">
        <v>5739</v>
      </c>
      <c r="D986" s="48">
        <v>5</v>
      </c>
      <c r="E986" s="1">
        <v>2</v>
      </c>
      <c r="F986" s="1" t="s">
        <v>3272</v>
      </c>
      <c r="G986" s="1" t="s">
        <v>3297</v>
      </c>
      <c r="I986" s="1" t="s">
        <v>104</v>
      </c>
      <c r="K986" s="1" t="s">
        <v>306</v>
      </c>
      <c r="O986" s="55">
        <v>2</v>
      </c>
      <c r="T986" s="60">
        <v>6</v>
      </c>
      <c r="V986" s="4" t="s">
        <v>3298</v>
      </c>
      <c r="W986" s="4" t="s">
        <v>3299</v>
      </c>
      <c r="AL986" s="60" t="s">
        <v>30</v>
      </c>
    </row>
    <row r="987" spans="1:40" ht="72" x14ac:dyDescent="0.2">
      <c r="A987" s="1" t="s">
        <v>3165</v>
      </c>
      <c r="B987" s="1" t="s">
        <v>3300</v>
      </c>
      <c r="C987" s="1" t="s">
        <v>5739</v>
      </c>
      <c r="D987" s="48">
        <v>6</v>
      </c>
      <c r="E987" s="1">
        <v>3</v>
      </c>
      <c r="F987" s="1" t="s">
        <v>3272</v>
      </c>
      <c r="G987" s="1" t="s">
        <v>3301</v>
      </c>
      <c r="I987" s="1" t="s">
        <v>104</v>
      </c>
      <c r="K987" s="1" t="s">
        <v>726</v>
      </c>
      <c r="O987" s="55">
        <v>3</v>
      </c>
      <c r="T987" s="60">
        <v>2</v>
      </c>
      <c r="V987" s="4" t="s">
        <v>3302</v>
      </c>
      <c r="AL987" s="60" t="s">
        <v>30</v>
      </c>
    </row>
    <row r="988" spans="1:40" ht="36" x14ac:dyDescent="0.2">
      <c r="A988" s="1" t="s">
        <v>3165</v>
      </c>
      <c r="B988" s="1" t="s">
        <v>3274</v>
      </c>
      <c r="C988" s="1" t="s">
        <v>5739</v>
      </c>
      <c r="D988" s="48">
        <v>7</v>
      </c>
      <c r="E988" s="1">
        <v>2</v>
      </c>
      <c r="F988" s="1" t="s">
        <v>3272</v>
      </c>
      <c r="G988" s="1" t="s">
        <v>3275</v>
      </c>
      <c r="I988" s="1" t="s">
        <v>82</v>
      </c>
      <c r="V988" s="4" t="s">
        <v>3276</v>
      </c>
      <c r="W988" s="4" t="s">
        <v>3277</v>
      </c>
      <c r="AL988" s="60" t="s">
        <v>30</v>
      </c>
    </row>
    <row r="989" spans="1:40" ht="24" x14ac:dyDescent="0.2">
      <c r="A989" s="1" t="s">
        <v>3165</v>
      </c>
      <c r="B989" s="1" t="s">
        <v>3278</v>
      </c>
      <c r="C989" s="1" t="s">
        <v>5739</v>
      </c>
      <c r="D989" s="48">
        <v>8</v>
      </c>
      <c r="E989" s="1">
        <v>3</v>
      </c>
      <c r="F989" s="1" t="s">
        <v>3272</v>
      </c>
      <c r="G989" s="1" t="s">
        <v>3279</v>
      </c>
      <c r="I989" s="1" t="s">
        <v>82</v>
      </c>
      <c r="L989" s="2" t="s">
        <v>155</v>
      </c>
      <c r="V989" s="4" t="s">
        <v>3280</v>
      </c>
      <c r="W989" s="4" t="s">
        <v>3281</v>
      </c>
      <c r="AL989" s="60" t="s">
        <v>30</v>
      </c>
    </row>
    <row r="990" spans="1:40" ht="84" x14ac:dyDescent="0.2">
      <c r="A990" s="1" t="s">
        <v>3165</v>
      </c>
      <c r="B990" s="1" t="s">
        <v>3282</v>
      </c>
      <c r="C990" s="1" t="s">
        <v>5739</v>
      </c>
      <c r="D990" s="48">
        <v>9</v>
      </c>
      <c r="E990" s="1">
        <v>2</v>
      </c>
      <c r="F990" s="1" t="s">
        <v>3272</v>
      </c>
      <c r="G990" s="1" t="s">
        <v>3283</v>
      </c>
      <c r="I990" s="1" t="s">
        <v>82</v>
      </c>
      <c r="V990" s="4" t="s">
        <v>3284</v>
      </c>
      <c r="AL990" s="60" t="s">
        <v>30</v>
      </c>
    </row>
    <row r="991" spans="1:40" ht="156" x14ac:dyDescent="0.2">
      <c r="A991" s="1" t="s">
        <v>3165</v>
      </c>
      <c r="B991" s="1" t="s">
        <v>3332</v>
      </c>
      <c r="C991" s="1" t="s">
        <v>5741</v>
      </c>
      <c r="D991" s="48">
        <v>1</v>
      </c>
      <c r="E991" s="1">
        <v>1</v>
      </c>
      <c r="F991" s="1" t="s">
        <v>3333</v>
      </c>
      <c r="G991" s="1" t="s">
        <v>248</v>
      </c>
      <c r="I991" s="1" t="s">
        <v>768</v>
      </c>
      <c r="N991" s="54" t="s">
        <v>9529</v>
      </c>
      <c r="V991" s="4" t="s">
        <v>769</v>
      </c>
      <c r="X991" s="1" t="s">
        <v>3334</v>
      </c>
      <c r="Y991" s="1" t="s">
        <v>248</v>
      </c>
      <c r="AA991" s="1" t="s">
        <v>768</v>
      </c>
      <c r="AF991" s="54" t="s">
        <v>9530</v>
      </c>
      <c r="AL991" s="60" t="s">
        <v>30</v>
      </c>
      <c r="AN991" s="4" t="s">
        <v>3335</v>
      </c>
    </row>
    <row r="992" spans="1:40" ht="24" x14ac:dyDescent="0.2">
      <c r="A992" s="1" t="s">
        <v>3165</v>
      </c>
      <c r="B992" s="1" t="s">
        <v>3339</v>
      </c>
      <c r="C992" s="1" t="s">
        <v>5741</v>
      </c>
      <c r="D992" s="48">
        <v>2</v>
      </c>
      <c r="E992" s="1">
        <v>4</v>
      </c>
      <c r="F992" s="1" t="s">
        <v>3333</v>
      </c>
      <c r="G992" s="1" t="s">
        <v>3340</v>
      </c>
      <c r="I992" s="1" t="s">
        <v>94</v>
      </c>
      <c r="K992" s="1" t="s">
        <v>287</v>
      </c>
      <c r="N992" s="54">
        <v>21</v>
      </c>
      <c r="O992" s="55">
        <v>1</v>
      </c>
      <c r="Q992" s="57">
        <v>3</v>
      </c>
      <c r="R992" s="58">
        <v>2</v>
      </c>
      <c r="S992" s="59">
        <v>6</v>
      </c>
      <c r="U992" s="1">
        <v>1</v>
      </c>
      <c r="V992" s="4" t="s">
        <v>3341</v>
      </c>
      <c r="W992" s="4" t="s">
        <v>3342</v>
      </c>
      <c r="AL992" s="60" t="s">
        <v>30</v>
      </c>
    </row>
    <row r="993" spans="1:40" ht="36" x14ac:dyDescent="0.2">
      <c r="A993" s="1" t="s">
        <v>3165</v>
      </c>
      <c r="B993" s="1" t="s">
        <v>3343</v>
      </c>
      <c r="C993" s="1" t="s">
        <v>5741</v>
      </c>
      <c r="D993" s="48">
        <v>3</v>
      </c>
      <c r="E993" s="1">
        <v>1</v>
      </c>
      <c r="F993" s="1" t="s">
        <v>3333</v>
      </c>
      <c r="G993" s="1" t="s">
        <v>3344</v>
      </c>
      <c r="H993" s="1" t="s">
        <v>26</v>
      </c>
      <c r="I993" s="1" t="s">
        <v>94</v>
      </c>
      <c r="K993" s="1" t="s">
        <v>287</v>
      </c>
      <c r="N993" s="54">
        <v>34</v>
      </c>
      <c r="O993" s="55">
        <v>4</v>
      </c>
      <c r="Q993" s="57">
        <v>5</v>
      </c>
      <c r="R993" s="58">
        <v>4</v>
      </c>
      <c r="S993" s="59">
        <v>10</v>
      </c>
      <c r="V993" s="4" t="s">
        <v>3345</v>
      </c>
      <c r="AL993" s="60" t="s">
        <v>30</v>
      </c>
    </row>
    <row r="994" spans="1:40" ht="72" x14ac:dyDescent="0.2">
      <c r="A994" s="1" t="s">
        <v>3165</v>
      </c>
      <c r="B994" s="1" t="s">
        <v>3346</v>
      </c>
      <c r="C994" s="1" t="s">
        <v>5741</v>
      </c>
      <c r="D994" s="48">
        <v>4</v>
      </c>
      <c r="E994" s="1">
        <v>1</v>
      </c>
      <c r="F994" s="1" t="s">
        <v>3333</v>
      </c>
      <c r="G994" s="1" t="s">
        <v>286</v>
      </c>
      <c r="H994" s="1" t="s">
        <v>26</v>
      </c>
      <c r="I994" s="1" t="s">
        <v>94</v>
      </c>
      <c r="K994" s="1" t="s">
        <v>287</v>
      </c>
      <c r="N994" s="54">
        <v>34</v>
      </c>
      <c r="O994" s="55">
        <v>4</v>
      </c>
      <c r="Q994" s="57">
        <v>4</v>
      </c>
      <c r="R994" s="58">
        <v>2</v>
      </c>
      <c r="S994" s="59">
        <v>10</v>
      </c>
      <c r="U994" s="1">
        <v>2</v>
      </c>
      <c r="V994" s="4" t="s">
        <v>3347</v>
      </c>
      <c r="AL994" s="60" t="s">
        <v>30</v>
      </c>
    </row>
    <row r="995" spans="1:40" ht="48" x14ac:dyDescent="0.2">
      <c r="A995" s="1" t="s">
        <v>3165</v>
      </c>
      <c r="B995" s="1" t="s">
        <v>3348</v>
      </c>
      <c r="C995" s="1" t="s">
        <v>5741</v>
      </c>
      <c r="D995" s="48">
        <v>5</v>
      </c>
      <c r="E995" s="1">
        <v>1</v>
      </c>
      <c r="F995" s="1" t="s">
        <v>3333</v>
      </c>
      <c r="G995" s="1" t="s">
        <v>290</v>
      </c>
      <c r="H995" s="1" t="s">
        <v>26</v>
      </c>
      <c r="I995" s="1" t="s">
        <v>94</v>
      </c>
      <c r="K995" s="1" t="s">
        <v>287</v>
      </c>
      <c r="N995" s="54">
        <v>34</v>
      </c>
      <c r="O995" s="55">
        <v>3</v>
      </c>
      <c r="Q995" s="57">
        <v>5</v>
      </c>
      <c r="R995" s="58">
        <v>2</v>
      </c>
      <c r="S995" s="59">
        <v>10</v>
      </c>
      <c r="U995" s="1">
        <v>2</v>
      </c>
      <c r="V995" s="4" t="s">
        <v>3349</v>
      </c>
      <c r="AL995" s="60" t="s">
        <v>30</v>
      </c>
    </row>
    <row r="996" spans="1:40" ht="48" x14ac:dyDescent="0.2">
      <c r="A996" s="1" t="s">
        <v>3165</v>
      </c>
      <c r="B996" s="1" t="s">
        <v>3350</v>
      </c>
      <c r="C996" s="1" t="s">
        <v>5741</v>
      </c>
      <c r="D996" s="48">
        <v>6</v>
      </c>
      <c r="E996" s="1">
        <v>1</v>
      </c>
      <c r="F996" s="1" t="s">
        <v>3333</v>
      </c>
      <c r="G996" s="1" t="s">
        <v>313</v>
      </c>
      <c r="H996" s="1" t="s">
        <v>26</v>
      </c>
      <c r="I996" s="1" t="s">
        <v>94</v>
      </c>
      <c r="K996" s="1" t="s">
        <v>287</v>
      </c>
      <c r="N996" s="54">
        <v>34</v>
      </c>
      <c r="O996" s="55">
        <v>2</v>
      </c>
      <c r="Q996" s="57">
        <v>5</v>
      </c>
      <c r="R996" s="58">
        <v>3</v>
      </c>
      <c r="S996" s="59">
        <v>10</v>
      </c>
      <c r="U996" s="1">
        <v>2</v>
      </c>
      <c r="V996" s="4" t="s">
        <v>3351</v>
      </c>
      <c r="AL996" s="60" t="s">
        <v>30</v>
      </c>
    </row>
    <row r="997" spans="1:40" ht="48" x14ac:dyDescent="0.2">
      <c r="A997" s="1" t="s">
        <v>3165</v>
      </c>
      <c r="B997" s="1" t="s">
        <v>3352</v>
      </c>
      <c r="C997" s="1" t="s">
        <v>5741</v>
      </c>
      <c r="D997" s="48">
        <v>7</v>
      </c>
      <c r="E997" s="1">
        <v>1</v>
      </c>
      <c r="F997" s="1" t="s">
        <v>3333</v>
      </c>
      <c r="G997" s="1" t="s">
        <v>327</v>
      </c>
      <c r="H997" s="1" t="s">
        <v>26</v>
      </c>
      <c r="I997" s="1" t="s">
        <v>94</v>
      </c>
      <c r="K997" s="1" t="s">
        <v>287</v>
      </c>
      <c r="N997" s="54">
        <v>34</v>
      </c>
      <c r="O997" s="55">
        <v>2</v>
      </c>
      <c r="Q997" s="57">
        <v>4</v>
      </c>
      <c r="R997" s="58">
        <v>4</v>
      </c>
      <c r="S997" s="59">
        <v>10</v>
      </c>
      <c r="U997" s="1">
        <v>2</v>
      </c>
      <c r="V997" s="4" t="s">
        <v>3353</v>
      </c>
      <c r="AL997" s="60" t="s">
        <v>30</v>
      </c>
    </row>
    <row r="998" spans="1:40" ht="24" x14ac:dyDescent="0.2">
      <c r="A998" s="1" t="s">
        <v>3165</v>
      </c>
      <c r="B998" s="1" t="s">
        <v>3357</v>
      </c>
      <c r="C998" s="1" t="s">
        <v>5741</v>
      </c>
      <c r="D998" s="48">
        <v>8</v>
      </c>
      <c r="E998" s="1">
        <v>3</v>
      </c>
      <c r="F998" s="1" t="s">
        <v>3333</v>
      </c>
      <c r="G998" s="1" t="s">
        <v>3358</v>
      </c>
      <c r="I998" s="1" t="s">
        <v>104</v>
      </c>
      <c r="K998" s="1" t="s">
        <v>105</v>
      </c>
      <c r="O998" s="55">
        <v>2</v>
      </c>
      <c r="T998" s="60">
        <v>5</v>
      </c>
      <c r="V998" s="4" t="s">
        <v>3359</v>
      </c>
      <c r="W998" s="4" t="s">
        <v>3360</v>
      </c>
      <c r="AL998" s="60" t="s">
        <v>30</v>
      </c>
    </row>
    <row r="999" spans="1:40" ht="24" x14ac:dyDescent="0.2">
      <c r="A999" s="1" t="s">
        <v>3165</v>
      </c>
      <c r="B999" s="1" t="s">
        <v>3361</v>
      </c>
      <c r="C999" s="1" t="s">
        <v>5741</v>
      </c>
      <c r="D999" s="48">
        <v>9</v>
      </c>
      <c r="E999" s="1">
        <v>3</v>
      </c>
      <c r="F999" s="1" t="s">
        <v>3333</v>
      </c>
      <c r="G999" s="1" t="s">
        <v>3362</v>
      </c>
      <c r="I999" s="1" t="s">
        <v>104</v>
      </c>
      <c r="K999" s="1" t="s">
        <v>253</v>
      </c>
      <c r="O999" s="55">
        <v>3</v>
      </c>
      <c r="T999" s="60">
        <v>3</v>
      </c>
      <c r="V999" s="4" t="s">
        <v>3363</v>
      </c>
      <c r="W999" s="4" t="s">
        <v>3364</v>
      </c>
      <c r="AL999" s="60" t="s">
        <v>30</v>
      </c>
    </row>
    <row r="1000" spans="1:40" ht="60" x14ac:dyDescent="0.2">
      <c r="A1000" s="1" t="s">
        <v>3165</v>
      </c>
      <c r="B1000" s="1" t="s">
        <v>3354</v>
      </c>
      <c r="C1000" s="1" t="s">
        <v>5741</v>
      </c>
      <c r="D1000" s="48">
        <v>10</v>
      </c>
      <c r="E1000" s="1">
        <v>3</v>
      </c>
      <c r="F1000" s="1" t="s">
        <v>3333</v>
      </c>
      <c r="G1000" s="1" t="s">
        <v>3355</v>
      </c>
      <c r="I1000" s="1" t="s">
        <v>82</v>
      </c>
      <c r="V1000" s="4" t="s">
        <v>3356</v>
      </c>
      <c r="AL1000" s="60" t="s">
        <v>30</v>
      </c>
    </row>
    <row r="1001" spans="1:40" ht="48" x14ac:dyDescent="0.2">
      <c r="A1001" s="1" t="s">
        <v>3165</v>
      </c>
      <c r="B1001" s="1" t="s">
        <v>3336</v>
      </c>
      <c r="C1001" s="1" t="s">
        <v>5741</v>
      </c>
      <c r="D1001" s="48">
        <v>11</v>
      </c>
      <c r="E1001" s="1">
        <v>1</v>
      </c>
      <c r="F1001" s="1" t="s">
        <v>3333</v>
      </c>
      <c r="G1001" s="1" t="s">
        <v>9685</v>
      </c>
      <c r="I1001" s="1" t="s">
        <v>125</v>
      </c>
      <c r="M1001" s="18">
        <v>3</v>
      </c>
      <c r="N1001" s="54" t="s">
        <v>9529</v>
      </c>
      <c r="V1001" s="4" t="s">
        <v>3337</v>
      </c>
      <c r="Y1001" s="1" t="s">
        <v>9685</v>
      </c>
      <c r="AA1001" s="1" t="s">
        <v>125</v>
      </c>
      <c r="AE1001" s="1">
        <v>3</v>
      </c>
      <c r="AF1001" s="54" t="s">
        <v>9530</v>
      </c>
      <c r="AL1001" s="60" t="s">
        <v>30</v>
      </c>
      <c r="AN1001" s="4" t="s">
        <v>3338</v>
      </c>
    </row>
    <row r="1002" spans="1:40" ht="108" x14ac:dyDescent="0.2">
      <c r="A1002" s="1" t="s">
        <v>3165</v>
      </c>
      <c r="B1002" s="1" t="s">
        <v>3303</v>
      </c>
      <c r="C1002" s="1" t="s">
        <v>5737</v>
      </c>
      <c r="D1002" s="48">
        <v>1</v>
      </c>
      <c r="E1002" s="1">
        <v>1</v>
      </c>
      <c r="F1002" s="1" t="s">
        <v>3304</v>
      </c>
      <c r="G1002" s="1" t="s">
        <v>85</v>
      </c>
      <c r="I1002" s="1" t="s">
        <v>768</v>
      </c>
      <c r="N1002" s="54" t="s">
        <v>9529</v>
      </c>
      <c r="V1002" s="4" t="s">
        <v>769</v>
      </c>
      <c r="X1002" s="1" t="s">
        <v>2486</v>
      </c>
      <c r="Y1002" s="1" t="s">
        <v>85</v>
      </c>
      <c r="AA1002" s="1" t="s">
        <v>768</v>
      </c>
      <c r="AF1002" s="54" t="s">
        <v>9530</v>
      </c>
      <c r="AL1002" s="60" t="s">
        <v>30</v>
      </c>
      <c r="AN1002" s="4" t="s">
        <v>3305</v>
      </c>
    </row>
    <row r="1003" spans="1:40" ht="36" x14ac:dyDescent="0.2">
      <c r="A1003" s="1" t="s">
        <v>3165</v>
      </c>
      <c r="B1003" s="1" t="s">
        <v>3306</v>
      </c>
      <c r="C1003" s="1" t="s">
        <v>5737</v>
      </c>
      <c r="D1003" s="48">
        <v>2</v>
      </c>
      <c r="E1003" s="1">
        <v>3</v>
      </c>
      <c r="F1003" s="1" t="s">
        <v>3304</v>
      </c>
      <c r="G1003" s="1" t="s">
        <v>3307</v>
      </c>
      <c r="I1003" s="1" t="s">
        <v>94</v>
      </c>
      <c r="K1003" s="1" t="s">
        <v>604</v>
      </c>
      <c r="N1003" s="54">
        <v>48</v>
      </c>
      <c r="O1003" s="55">
        <v>2</v>
      </c>
      <c r="Q1003" s="57">
        <v>5</v>
      </c>
      <c r="R1003" s="58">
        <v>3</v>
      </c>
      <c r="S1003" s="59">
        <v>4</v>
      </c>
      <c r="V1003" s="4" t="s">
        <v>3308</v>
      </c>
      <c r="W1003" s="4" t="s">
        <v>3309</v>
      </c>
      <c r="AL1003" s="60" t="s">
        <v>30</v>
      </c>
    </row>
    <row r="1004" spans="1:40" ht="60" x14ac:dyDescent="0.2">
      <c r="A1004" s="1" t="s">
        <v>3165</v>
      </c>
      <c r="B1004" s="1" t="s">
        <v>3329</v>
      </c>
      <c r="C1004" s="1" t="s">
        <v>5737</v>
      </c>
      <c r="D1004" s="48">
        <v>3</v>
      </c>
      <c r="E1004" s="1">
        <v>2</v>
      </c>
      <c r="F1004" s="1" t="s">
        <v>3304</v>
      </c>
      <c r="G1004" s="1" t="s">
        <v>3330</v>
      </c>
      <c r="I1004" s="1" t="s">
        <v>94</v>
      </c>
      <c r="K1004" s="1" t="s">
        <v>576</v>
      </c>
      <c r="N1004" s="54">
        <v>11</v>
      </c>
      <c r="O1004" s="55">
        <v>2</v>
      </c>
      <c r="Q1004" s="57">
        <v>4</v>
      </c>
      <c r="R1004" s="58">
        <v>3</v>
      </c>
      <c r="S1004" s="59">
        <v>5</v>
      </c>
      <c r="V1004" s="4" t="s">
        <v>3331</v>
      </c>
      <c r="AL1004" s="60" t="s">
        <v>30</v>
      </c>
    </row>
    <row r="1005" spans="1:40" ht="24" x14ac:dyDescent="0.2">
      <c r="A1005" s="1" t="s">
        <v>3165</v>
      </c>
      <c r="B1005" s="1" t="s">
        <v>3314</v>
      </c>
      <c r="C1005" s="1" t="s">
        <v>5737</v>
      </c>
      <c r="D1005" s="48">
        <v>4</v>
      </c>
      <c r="E1005" s="1">
        <v>3</v>
      </c>
      <c r="F1005" s="1" t="s">
        <v>3304</v>
      </c>
      <c r="G1005" s="1" t="s">
        <v>3315</v>
      </c>
      <c r="I1005" s="1" t="s">
        <v>104</v>
      </c>
      <c r="K1005" s="1" t="s">
        <v>105</v>
      </c>
      <c r="O1005" s="55">
        <v>3</v>
      </c>
      <c r="T1005" s="60">
        <v>4</v>
      </c>
      <c r="V1005" s="4" t="s">
        <v>3316</v>
      </c>
      <c r="W1005" s="4" t="s">
        <v>3317</v>
      </c>
      <c r="AL1005" s="60" t="s">
        <v>30</v>
      </c>
    </row>
    <row r="1006" spans="1:40" ht="24" x14ac:dyDescent="0.2">
      <c r="A1006" s="1" t="s">
        <v>3165</v>
      </c>
      <c r="B1006" s="1" t="s">
        <v>3321</v>
      </c>
      <c r="C1006" s="1" t="s">
        <v>5737</v>
      </c>
      <c r="D1006" s="48">
        <v>5</v>
      </c>
      <c r="E1006" s="1">
        <v>3</v>
      </c>
      <c r="F1006" s="1" t="s">
        <v>3304</v>
      </c>
      <c r="G1006" s="1" t="s">
        <v>3322</v>
      </c>
      <c r="I1006" s="1" t="s">
        <v>104</v>
      </c>
      <c r="K1006" s="1" t="s">
        <v>105</v>
      </c>
      <c r="O1006" s="55">
        <v>2</v>
      </c>
      <c r="T1006" s="60">
        <v>5</v>
      </c>
      <c r="V1006" s="4" t="s">
        <v>3323</v>
      </c>
      <c r="W1006" s="4" t="s">
        <v>3324</v>
      </c>
      <c r="AL1006" s="60" t="s">
        <v>30</v>
      </c>
    </row>
    <row r="1007" spans="1:40" ht="24" x14ac:dyDescent="0.2">
      <c r="A1007" s="1" t="s">
        <v>3165</v>
      </c>
      <c r="B1007" s="1" t="s">
        <v>3325</v>
      </c>
      <c r="C1007" s="1" t="s">
        <v>5737</v>
      </c>
      <c r="D1007" s="48">
        <v>6</v>
      </c>
      <c r="E1007" s="1">
        <v>2</v>
      </c>
      <c r="F1007" s="1" t="s">
        <v>3304</v>
      </c>
      <c r="G1007" s="1" t="s">
        <v>3326</v>
      </c>
      <c r="I1007" s="1" t="s">
        <v>104</v>
      </c>
      <c r="K1007" s="1" t="s">
        <v>105</v>
      </c>
      <c r="O1007" s="55">
        <v>4</v>
      </c>
      <c r="T1007" s="60">
        <v>2</v>
      </c>
      <c r="V1007" s="4" t="s">
        <v>3327</v>
      </c>
      <c r="W1007" s="4" t="s">
        <v>3328</v>
      </c>
      <c r="AL1007" s="60" t="s">
        <v>30</v>
      </c>
    </row>
    <row r="1008" spans="1:40" ht="36" x14ac:dyDescent="0.2">
      <c r="A1008" s="1" t="s">
        <v>3165</v>
      </c>
      <c r="B1008" s="1" t="s">
        <v>3310</v>
      </c>
      <c r="C1008" s="1" t="s">
        <v>5737</v>
      </c>
      <c r="D1008" s="48">
        <v>7</v>
      </c>
      <c r="E1008" s="1">
        <v>3</v>
      </c>
      <c r="F1008" s="1" t="s">
        <v>3304</v>
      </c>
      <c r="G1008" s="1" t="s">
        <v>3311</v>
      </c>
      <c r="I1008" s="1" t="s">
        <v>82</v>
      </c>
      <c r="L1008" s="2" t="s">
        <v>155</v>
      </c>
      <c r="V1008" s="4" t="s">
        <v>3312</v>
      </c>
      <c r="W1008" s="4" t="s">
        <v>3313</v>
      </c>
      <c r="AL1008" s="60" t="s">
        <v>30</v>
      </c>
    </row>
    <row r="1009" spans="1:43" ht="48" x14ac:dyDescent="0.2">
      <c r="A1009" s="1" t="s">
        <v>3165</v>
      </c>
      <c r="B1009" s="1" t="s">
        <v>3318</v>
      </c>
      <c r="C1009" s="1" t="s">
        <v>5737</v>
      </c>
      <c r="D1009" s="48">
        <v>8</v>
      </c>
      <c r="E1009" s="1">
        <v>3</v>
      </c>
      <c r="F1009" s="1" t="s">
        <v>3304</v>
      </c>
      <c r="G1009" s="1" t="s">
        <v>3319</v>
      </c>
      <c r="I1009" s="1" t="s">
        <v>82</v>
      </c>
      <c r="L1009" s="2" t="s">
        <v>155</v>
      </c>
      <c r="V1009" s="4" t="s">
        <v>3320</v>
      </c>
      <c r="AL1009" s="60" t="s">
        <v>30</v>
      </c>
      <c r="AQ1009" s="5"/>
    </row>
    <row r="1010" spans="1:43" ht="48" x14ac:dyDescent="0.2">
      <c r="A1010" s="1" t="s">
        <v>3165</v>
      </c>
      <c r="B1010" s="1" t="s">
        <v>3166</v>
      </c>
      <c r="C1010" s="1" t="s">
        <v>5742</v>
      </c>
      <c r="D1010" s="48">
        <v>1</v>
      </c>
      <c r="E1010" s="1">
        <v>1</v>
      </c>
      <c r="F1010" s="1" t="s">
        <v>3168</v>
      </c>
      <c r="G1010" s="1" t="s">
        <v>3167</v>
      </c>
      <c r="I1010" s="1" t="s">
        <v>768</v>
      </c>
      <c r="N1010" s="54" t="s">
        <v>9529</v>
      </c>
      <c r="V1010" s="4" t="s">
        <v>769</v>
      </c>
      <c r="X1010" s="1" t="s">
        <v>127</v>
      </c>
      <c r="Y1010" s="1" t="s">
        <v>3169</v>
      </c>
      <c r="AA1010" s="1" t="s">
        <v>768</v>
      </c>
      <c r="AF1010" s="54" t="s">
        <v>9530</v>
      </c>
      <c r="AL1010" s="60" t="s">
        <v>30</v>
      </c>
      <c r="AN1010" s="4" t="s">
        <v>3170</v>
      </c>
      <c r="AQ1010" s="5"/>
    </row>
    <row r="1011" spans="1:43" ht="60" x14ac:dyDescent="0.2">
      <c r="A1011" s="1" t="s">
        <v>3165</v>
      </c>
      <c r="B1011" s="1" t="s">
        <v>3171</v>
      </c>
      <c r="C1011" s="1" t="s">
        <v>5742</v>
      </c>
      <c r="D1011" s="48">
        <v>2</v>
      </c>
      <c r="E1011" s="1">
        <v>3</v>
      </c>
      <c r="F1011" s="1" t="s">
        <v>3168</v>
      </c>
      <c r="G1011" s="1" t="s">
        <v>3172</v>
      </c>
      <c r="I1011" s="1" t="s">
        <v>94</v>
      </c>
      <c r="K1011" s="1" t="s">
        <v>2338</v>
      </c>
      <c r="N1011" s="54">
        <v>50</v>
      </c>
      <c r="O1011" s="55">
        <v>4</v>
      </c>
      <c r="Q1011" s="57">
        <v>6</v>
      </c>
      <c r="R1011" s="58">
        <v>4</v>
      </c>
      <c r="S1011" s="59">
        <v>10</v>
      </c>
      <c r="V1011" s="4" t="s">
        <v>3173</v>
      </c>
      <c r="AL1011" s="60" t="s">
        <v>30</v>
      </c>
      <c r="AQ1011" s="5"/>
    </row>
    <row r="1012" spans="1:43" ht="48" x14ac:dyDescent="0.2">
      <c r="A1012" s="1" t="s">
        <v>3165</v>
      </c>
      <c r="B1012" s="1" t="s">
        <v>3174</v>
      </c>
      <c r="C1012" s="1" t="s">
        <v>5742</v>
      </c>
      <c r="D1012" s="48">
        <v>3</v>
      </c>
      <c r="E1012" s="1">
        <v>2</v>
      </c>
      <c r="F1012" s="1" t="s">
        <v>3168</v>
      </c>
      <c r="G1012" s="1" t="s">
        <v>3175</v>
      </c>
      <c r="I1012" s="1" t="s">
        <v>94</v>
      </c>
      <c r="K1012" s="1" t="s">
        <v>2558</v>
      </c>
      <c r="N1012" s="54">
        <v>39</v>
      </c>
      <c r="O1012" s="55">
        <v>2</v>
      </c>
      <c r="Q1012" s="57">
        <v>2</v>
      </c>
      <c r="R1012" s="58">
        <v>3</v>
      </c>
      <c r="S1012" s="59">
        <v>5</v>
      </c>
      <c r="V1012" s="4" t="s">
        <v>3176</v>
      </c>
      <c r="AL1012" s="60" t="s">
        <v>30</v>
      </c>
      <c r="AQ1012" s="5"/>
    </row>
    <row r="1013" spans="1:43" ht="36" x14ac:dyDescent="0.2">
      <c r="A1013" s="1" t="s">
        <v>3165</v>
      </c>
      <c r="B1013" s="1" t="s">
        <v>3177</v>
      </c>
      <c r="C1013" s="1" t="s">
        <v>5742</v>
      </c>
      <c r="D1013" s="48">
        <v>4</v>
      </c>
      <c r="E1013" s="1">
        <v>3</v>
      </c>
      <c r="F1013" s="1" t="s">
        <v>3168</v>
      </c>
      <c r="G1013" s="1" t="s">
        <v>3178</v>
      </c>
      <c r="I1013" s="1" t="s">
        <v>104</v>
      </c>
      <c r="K1013" s="1" t="s">
        <v>3179</v>
      </c>
      <c r="O1013" s="55">
        <v>3</v>
      </c>
      <c r="T1013" s="60">
        <v>5</v>
      </c>
      <c r="U1013" s="1">
        <v>3</v>
      </c>
      <c r="V1013" s="4" t="s">
        <v>3180</v>
      </c>
      <c r="AL1013" s="60" t="s">
        <v>30</v>
      </c>
      <c r="AQ1013" s="5"/>
    </row>
    <row r="1014" spans="1:43" ht="24" x14ac:dyDescent="0.2">
      <c r="A1014" s="1" t="s">
        <v>3165</v>
      </c>
      <c r="B1014" s="1" t="s">
        <v>3181</v>
      </c>
      <c r="C1014" s="1" t="s">
        <v>5742</v>
      </c>
      <c r="D1014" s="48">
        <v>5</v>
      </c>
      <c r="E1014" s="1">
        <v>2</v>
      </c>
      <c r="F1014" s="1" t="s">
        <v>3168</v>
      </c>
      <c r="G1014" s="1" t="s">
        <v>3182</v>
      </c>
      <c r="I1014" s="1" t="s">
        <v>104</v>
      </c>
      <c r="K1014" s="1" t="s">
        <v>3179</v>
      </c>
      <c r="O1014" s="55">
        <v>5</v>
      </c>
      <c r="T1014" s="60">
        <v>5</v>
      </c>
      <c r="U1014" s="1">
        <v>2</v>
      </c>
      <c r="V1014" s="4" t="s">
        <v>3183</v>
      </c>
      <c r="AL1014" s="60" t="s">
        <v>30</v>
      </c>
      <c r="AQ1014" s="5"/>
    </row>
    <row r="1015" spans="1:43" ht="36" x14ac:dyDescent="0.2">
      <c r="A1015" s="1" t="s">
        <v>3165</v>
      </c>
      <c r="B1015" s="1" t="s">
        <v>3184</v>
      </c>
      <c r="C1015" s="1" t="s">
        <v>5742</v>
      </c>
      <c r="D1015" s="48">
        <v>6</v>
      </c>
      <c r="E1015" s="1">
        <v>2</v>
      </c>
      <c r="F1015" s="1" t="s">
        <v>3168</v>
      </c>
      <c r="G1015" s="1" t="s">
        <v>3185</v>
      </c>
      <c r="I1015" s="1" t="s">
        <v>82</v>
      </c>
      <c r="K1015" s="1" t="s">
        <v>2713</v>
      </c>
      <c r="V1015" s="4" t="s">
        <v>3186</v>
      </c>
      <c r="W1015" s="4" t="s">
        <v>3187</v>
      </c>
      <c r="AL1015" s="60" t="s">
        <v>30</v>
      </c>
    </row>
    <row r="1016" spans="1:43" ht="36" x14ac:dyDescent="0.2">
      <c r="A1016" s="1" t="s">
        <v>3165</v>
      </c>
      <c r="B1016" s="1" t="s">
        <v>3188</v>
      </c>
      <c r="C1016" s="1" t="s">
        <v>5742</v>
      </c>
      <c r="D1016" s="48">
        <v>7</v>
      </c>
      <c r="E1016" s="1">
        <v>3</v>
      </c>
      <c r="F1016" s="1" t="s">
        <v>3168</v>
      </c>
      <c r="G1016" s="1" t="s">
        <v>3189</v>
      </c>
      <c r="I1016" s="1" t="s">
        <v>82</v>
      </c>
      <c r="K1016" s="1" t="s">
        <v>2713</v>
      </c>
      <c r="L1016" s="2" t="s">
        <v>1233</v>
      </c>
      <c r="V1016" s="4" t="s">
        <v>3190</v>
      </c>
      <c r="W1016" s="4" t="s">
        <v>3191</v>
      </c>
      <c r="AL1016" s="60" t="s">
        <v>30</v>
      </c>
      <c r="AQ1016" s="5"/>
    </row>
    <row r="1017" spans="1:43" ht="36" x14ac:dyDescent="0.2">
      <c r="A1017" s="1" t="s">
        <v>3165</v>
      </c>
      <c r="B1017" s="1" t="s">
        <v>3192</v>
      </c>
      <c r="C1017" s="1" t="s">
        <v>5742</v>
      </c>
      <c r="D1017" s="48">
        <v>8</v>
      </c>
      <c r="E1017" s="1">
        <v>2</v>
      </c>
      <c r="F1017" s="1" t="s">
        <v>3168</v>
      </c>
      <c r="G1017" s="1" t="s">
        <v>3193</v>
      </c>
      <c r="I1017" s="1" t="s">
        <v>82</v>
      </c>
      <c r="L1017" s="2" t="s">
        <v>3194</v>
      </c>
      <c r="V1017" s="4" t="s">
        <v>3195</v>
      </c>
      <c r="W1017" s="4" t="s">
        <v>3196</v>
      </c>
      <c r="AL1017" s="60" t="s">
        <v>30</v>
      </c>
      <c r="AQ1017" s="5"/>
    </row>
    <row r="1018" spans="1:43" ht="24" x14ac:dyDescent="0.2">
      <c r="A1018" s="1" t="s">
        <v>3165</v>
      </c>
      <c r="B1018" s="1" t="s">
        <v>3197</v>
      </c>
      <c r="C1018" s="1" t="s">
        <v>5742</v>
      </c>
      <c r="D1018" s="48">
        <v>9</v>
      </c>
      <c r="E1018" s="1">
        <v>2</v>
      </c>
      <c r="F1018" s="1" t="s">
        <v>3168</v>
      </c>
      <c r="G1018" s="1" t="s">
        <v>3198</v>
      </c>
      <c r="I1018" s="1" t="s">
        <v>82</v>
      </c>
      <c r="L1018" s="2" t="s">
        <v>155</v>
      </c>
      <c r="V1018" s="4" t="s">
        <v>3199</v>
      </c>
      <c r="AL1018" s="60" t="s">
        <v>30</v>
      </c>
      <c r="AQ1018" s="5"/>
    </row>
    <row r="1019" spans="1:43" ht="108" x14ac:dyDescent="0.2">
      <c r="A1019" s="1" t="s">
        <v>3165</v>
      </c>
      <c r="B1019" s="1" t="s">
        <v>3200</v>
      </c>
      <c r="C1019" s="1" t="s">
        <v>5740</v>
      </c>
      <c r="D1019" s="48">
        <v>1</v>
      </c>
      <c r="E1019" s="1">
        <v>1</v>
      </c>
      <c r="F1019" s="1" t="s">
        <v>3202</v>
      </c>
      <c r="G1019" s="1" t="s">
        <v>3201</v>
      </c>
      <c r="I1019" s="1" t="s">
        <v>768</v>
      </c>
      <c r="N1019" s="54" t="s">
        <v>9529</v>
      </c>
      <c r="V1019" s="4" t="s">
        <v>769</v>
      </c>
      <c r="X1019" s="1" t="s">
        <v>127</v>
      </c>
      <c r="Y1019" s="1" t="s">
        <v>3201</v>
      </c>
      <c r="AA1019" s="1" t="s">
        <v>768</v>
      </c>
      <c r="AF1019" s="54" t="s">
        <v>9530</v>
      </c>
      <c r="AL1019" s="60" t="s">
        <v>30</v>
      </c>
      <c r="AN1019" s="4" t="s">
        <v>3203</v>
      </c>
      <c r="AQ1019" s="5"/>
    </row>
    <row r="1020" spans="1:43" ht="108" x14ac:dyDescent="0.2">
      <c r="A1020" s="1" t="s">
        <v>3165</v>
      </c>
      <c r="B1020" s="1" t="s">
        <v>3204</v>
      </c>
      <c r="C1020" s="1" t="s">
        <v>5740</v>
      </c>
      <c r="D1020" s="48">
        <v>2</v>
      </c>
      <c r="E1020" s="1">
        <v>1</v>
      </c>
      <c r="F1020" s="1" t="s">
        <v>3202</v>
      </c>
      <c r="G1020" s="1" t="s">
        <v>3205</v>
      </c>
      <c r="H1020" s="1" t="s">
        <v>26</v>
      </c>
      <c r="I1020" s="1" t="s">
        <v>104</v>
      </c>
      <c r="K1020" s="1" t="s">
        <v>3206</v>
      </c>
      <c r="O1020" s="55" t="s">
        <v>113</v>
      </c>
      <c r="T1020" s="60" t="s">
        <v>799</v>
      </c>
      <c r="V1020" s="4" t="s">
        <v>3207</v>
      </c>
      <c r="AL1020" s="60" t="s">
        <v>30</v>
      </c>
      <c r="AQ1020" s="5"/>
    </row>
    <row r="1021" spans="1:43" ht="48" x14ac:dyDescent="0.2">
      <c r="A1021" s="1" t="s">
        <v>3165</v>
      </c>
      <c r="B1021" s="1" t="s">
        <v>3208</v>
      </c>
      <c r="C1021" s="1" t="s">
        <v>5740</v>
      </c>
      <c r="D1021" s="48">
        <v>3</v>
      </c>
      <c r="E1021" s="1">
        <v>3</v>
      </c>
      <c r="F1021" s="1" t="s">
        <v>3202</v>
      </c>
      <c r="G1021" s="1" t="s">
        <v>3209</v>
      </c>
      <c r="I1021" s="1" t="s">
        <v>104</v>
      </c>
      <c r="K1021" s="1" t="s">
        <v>3206</v>
      </c>
      <c r="O1021" s="55">
        <v>3</v>
      </c>
      <c r="T1021" s="60">
        <v>5</v>
      </c>
      <c r="V1021" s="4" t="s">
        <v>3210</v>
      </c>
      <c r="W1021" s="4" t="s">
        <v>3211</v>
      </c>
      <c r="AL1021" s="60" t="s">
        <v>30</v>
      </c>
      <c r="AQ1021" s="5"/>
    </row>
    <row r="1022" spans="1:43" ht="24" x14ac:dyDescent="0.2">
      <c r="A1022" s="1" t="s">
        <v>3165</v>
      </c>
      <c r="B1022" s="1" t="s">
        <v>3212</v>
      </c>
      <c r="C1022" s="1" t="s">
        <v>5740</v>
      </c>
      <c r="D1022" s="48">
        <v>4</v>
      </c>
      <c r="E1022" s="1">
        <v>3</v>
      </c>
      <c r="F1022" s="1" t="s">
        <v>3202</v>
      </c>
      <c r="G1022" s="1" t="s">
        <v>3213</v>
      </c>
      <c r="I1022" s="1" t="s">
        <v>94</v>
      </c>
      <c r="K1022" s="1" t="s">
        <v>684</v>
      </c>
      <c r="N1022" s="54">
        <v>50</v>
      </c>
      <c r="O1022" s="55">
        <v>3</v>
      </c>
      <c r="Q1022" s="57">
        <v>4</v>
      </c>
      <c r="R1022" s="58">
        <v>2</v>
      </c>
      <c r="S1022" s="59">
        <v>8</v>
      </c>
      <c r="V1022" s="4" t="s">
        <v>3214</v>
      </c>
      <c r="W1022" s="4" t="s">
        <v>3215</v>
      </c>
      <c r="AL1022" s="60" t="s">
        <v>30</v>
      </c>
      <c r="AQ1022" s="5"/>
    </row>
    <row r="1023" spans="1:43" ht="48" x14ac:dyDescent="0.2">
      <c r="A1023" s="1" t="s">
        <v>3165</v>
      </c>
      <c r="B1023" s="1" t="s">
        <v>3216</v>
      </c>
      <c r="C1023" s="1" t="s">
        <v>5740</v>
      </c>
      <c r="D1023" s="48">
        <v>5</v>
      </c>
      <c r="E1023" s="1">
        <v>2</v>
      </c>
      <c r="F1023" s="1" t="s">
        <v>3202</v>
      </c>
      <c r="G1023" s="1" t="s">
        <v>3217</v>
      </c>
      <c r="I1023" s="1" t="s">
        <v>94</v>
      </c>
      <c r="K1023" s="1" t="s">
        <v>2117</v>
      </c>
      <c r="N1023" s="54">
        <v>40</v>
      </c>
      <c r="O1023" s="55">
        <v>4</v>
      </c>
      <c r="Q1023" s="57">
        <v>3</v>
      </c>
      <c r="R1023" s="58">
        <v>2</v>
      </c>
      <c r="S1023" s="59">
        <v>5</v>
      </c>
      <c r="V1023" s="4" t="s">
        <v>3218</v>
      </c>
      <c r="AL1023" s="60" t="s">
        <v>30</v>
      </c>
      <c r="AQ1023" s="5"/>
    </row>
    <row r="1024" spans="1:43" ht="36" x14ac:dyDescent="0.2">
      <c r="A1024" s="1" t="s">
        <v>3165</v>
      </c>
      <c r="B1024" s="1" t="s">
        <v>3219</v>
      </c>
      <c r="C1024" s="1" t="s">
        <v>5740</v>
      </c>
      <c r="D1024" s="48">
        <v>6</v>
      </c>
      <c r="E1024" s="1">
        <v>3</v>
      </c>
      <c r="F1024" s="1" t="s">
        <v>3202</v>
      </c>
      <c r="G1024" s="1" t="s">
        <v>3220</v>
      </c>
      <c r="I1024" s="1" t="s">
        <v>94</v>
      </c>
      <c r="K1024" s="1" t="s">
        <v>3221</v>
      </c>
      <c r="N1024" s="54">
        <v>30</v>
      </c>
      <c r="O1024" s="55">
        <v>1</v>
      </c>
      <c r="Q1024" s="57">
        <v>5</v>
      </c>
      <c r="R1024" s="58">
        <v>2</v>
      </c>
      <c r="S1024" s="59">
        <v>3</v>
      </c>
      <c r="V1024" s="4" t="s">
        <v>3222</v>
      </c>
      <c r="AL1024" s="60" t="s">
        <v>30</v>
      </c>
      <c r="AQ1024" s="5"/>
    </row>
    <row r="1025" spans="1:43" ht="24" x14ac:dyDescent="0.2">
      <c r="A1025" s="1" t="s">
        <v>3165</v>
      </c>
      <c r="B1025" s="1" t="s">
        <v>3223</v>
      </c>
      <c r="C1025" s="1" t="s">
        <v>5740</v>
      </c>
      <c r="D1025" s="48">
        <v>7</v>
      </c>
      <c r="E1025" s="1">
        <v>3</v>
      </c>
      <c r="F1025" s="1" t="s">
        <v>3202</v>
      </c>
      <c r="G1025" s="1" t="s">
        <v>3224</v>
      </c>
      <c r="I1025" s="1" t="s">
        <v>94</v>
      </c>
      <c r="K1025" s="1" t="s">
        <v>3221</v>
      </c>
      <c r="N1025" s="54">
        <v>18</v>
      </c>
      <c r="O1025" s="55">
        <v>2</v>
      </c>
      <c r="Q1025" s="57">
        <v>2</v>
      </c>
      <c r="R1025" s="58">
        <v>3</v>
      </c>
      <c r="S1025" s="59">
        <v>7</v>
      </c>
      <c r="V1025" s="4" t="s">
        <v>3225</v>
      </c>
      <c r="W1025" s="4" t="s">
        <v>3226</v>
      </c>
      <c r="AL1025" s="60" t="s">
        <v>30</v>
      </c>
    </row>
    <row r="1026" spans="1:43" ht="60" x14ac:dyDescent="0.2">
      <c r="A1026" s="1" t="s">
        <v>3165</v>
      </c>
      <c r="B1026" s="1" t="s">
        <v>3227</v>
      </c>
      <c r="C1026" s="1" t="s">
        <v>5740</v>
      </c>
      <c r="D1026" s="48">
        <v>8</v>
      </c>
      <c r="E1026" s="1">
        <v>1</v>
      </c>
      <c r="F1026" s="1" t="s">
        <v>3202</v>
      </c>
      <c r="G1026" s="1" t="s">
        <v>3228</v>
      </c>
      <c r="I1026" s="1" t="s">
        <v>82</v>
      </c>
      <c r="K1026" s="1" t="s">
        <v>3229</v>
      </c>
      <c r="V1026" s="4" t="s">
        <v>3230</v>
      </c>
      <c r="AL1026" s="60" t="s">
        <v>30</v>
      </c>
    </row>
    <row r="1027" spans="1:43" ht="72" x14ac:dyDescent="0.2">
      <c r="A1027" s="1" t="s">
        <v>3165</v>
      </c>
      <c r="B1027" s="1" t="s">
        <v>3231</v>
      </c>
      <c r="C1027" s="1" t="s">
        <v>5740</v>
      </c>
      <c r="D1027" s="48">
        <v>9</v>
      </c>
      <c r="E1027" s="1">
        <v>2</v>
      </c>
      <c r="F1027" s="1" t="s">
        <v>3202</v>
      </c>
      <c r="G1027" s="1" t="s">
        <v>3232</v>
      </c>
      <c r="I1027" s="1" t="s">
        <v>82</v>
      </c>
      <c r="K1027" s="1" t="s">
        <v>3229</v>
      </c>
      <c r="V1027" s="4" t="s">
        <v>3233</v>
      </c>
      <c r="AL1027" s="60" t="s">
        <v>30</v>
      </c>
    </row>
    <row r="1028" spans="1:43" ht="72" x14ac:dyDescent="0.2">
      <c r="A1028" s="1" t="s">
        <v>3165</v>
      </c>
      <c r="B1028" s="1" t="s">
        <v>3234</v>
      </c>
      <c r="C1028" s="1" t="s">
        <v>5740</v>
      </c>
      <c r="D1028" s="48">
        <v>10</v>
      </c>
      <c r="E1028" s="1">
        <v>1</v>
      </c>
      <c r="F1028" s="1" t="s">
        <v>3202</v>
      </c>
      <c r="G1028" s="1" t="s">
        <v>3235</v>
      </c>
      <c r="I1028" s="1" t="s">
        <v>82</v>
      </c>
      <c r="K1028" s="1" t="s">
        <v>3236</v>
      </c>
      <c r="V1028" s="4" t="s">
        <v>3237</v>
      </c>
      <c r="AL1028" s="60" t="s">
        <v>30</v>
      </c>
    </row>
    <row r="1029" spans="1:43" ht="108" x14ac:dyDescent="0.2">
      <c r="A1029" s="1" t="s">
        <v>3165</v>
      </c>
      <c r="B1029" s="1" t="s">
        <v>3238</v>
      </c>
      <c r="C1029" s="1" t="s">
        <v>5736</v>
      </c>
      <c r="D1029" s="48">
        <v>1</v>
      </c>
      <c r="E1029" s="1">
        <v>1</v>
      </c>
      <c r="F1029" s="1" t="s">
        <v>3239</v>
      </c>
      <c r="G1029" s="1" t="s">
        <v>2923</v>
      </c>
      <c r="I1029" s="1" t="s">
        <v>768</v>
      </c>
      <c r="N1029" s="54" t="s">
        <v>9529</v>
      </c>
      <c r="V1029" s="4" t="s">
        <v>769</v>
      </c>
      <c r="X1029" s="1" t="s">
        <v>1629</v>
      </c>
      <c r="Y1029" s="1" t="s">
        <v>2923</v>
      </c>
      <c r="AA1029" s="1" t="s">
        <v>768</v>
      </c>
      <c r="AF1029" s="54" t="s">
        <v>9530</v>
      </c>
      <c r="AL1029" s="60" t="s">
        <v>30</v>
      </c>
      <c r="AN1029" s="4" t="s">
        <v>3240</v>
      </c>
      <c r="AQ1029" s="5"/>
    </row>
    <row r="1030" spans="1:43" ht="24" x14ac:dyDescent="0.2">
      <c r="A1030" s="1" t="s">
        <v>3165</v>
      </c>
      <c r="B1030" s="1" t="s">
        <v>3241</v>
      </c>
      <c r="C1030" s="1" t="s">
        <v>5736</v>
      </c>
      <c r="D1030" s="48">
        <v>2</v>
      </c>
      <c r="E1030" s="1">
        <v>3</v>
      </c>
      <c r="F1030" s="1" t="s">
        <v>3239</v>
      </c>
      <c r="G1030" s="1" t="s">
        <v>3242</v>
      </c>
      <c r="I1030" s="1" t="s">
        <v>94</v>
      </c>
      <c r="K1030" s="1" t="s">
        <v>2558</v>
      </c>
      <c r="N1030" s="54">
        <v>28</v>
      </c>
      <c r="O1030" s="55">
        <v>2</v>
      </c>
      <c r="Q1030" s="57">
        <v>4</v>
      </c>
      <c r="R1030" s="58">
        <v>3</v>
      </c>
      <c r="S1030" s="59">
        <v>7</v>
      </c>
      <c r="V1030" s="4" t="s">
        <v>3243</v>
      </c>
      <c r="AL1030" s="60" t="s">
        <v>30</v>
      </c>
    </row>
    <row r="1031" spans="1:43" ht="36" x14ac:dyDescent="0.2">
      <c r="A1031" s="1" t="s">
        <v>3165</v>
      </c>
      <c r="B1031" s="1" t="s">
        <v>3244</v>
      </c>
      <c r="C1031" s="1" t="s">
        <v>5736</v>
      </c>
      <c r="D1031" s="48">
        <v>3</v>
      </c>
      <c r="E1031" s="1">
        <v>2</v>
      </c>
      <c r="F1031" s="1" t="s">
        <v>3239</v>
      </c>
      <c r="G1031" s="1" t="s">
        <v>3245</v>
      </c>
      <c r="I1031" s="1" t="s">
        <v>94</v>
      </c>
      <c r="K1031" s="1" t="s">
        <v>604</v>
      </c>
      <c r="L1031" s="2" t="s">
        <v>3246</v>
      </c>
      <c r="N1031" s="54">
        <v>48</v>
      </c>
      <c r="O1031" s="55">
        <v>3</v>
      </c>
      <c r="Q1031" s="57">
        <v>4</v>
      </c>
      <c r="R1031" s="58">
        <v>2</v>
      </c>
      <c r="S1031" s="59">
        <v>4</v>
      </c>
      <c r="V1031" s="4" t="s">
        <v>3247</v>
      </c>
      <c r="AL1031" s="60" t="s">
        <v>30</v>
      </c>
    </row>
    <row r="1032" spans="1:43" ht="24" x14ac:dyDescent="0.2">
      <c r="A1032" s="1" t="s">
        <v>3165</v>
      </c>
      <c r="B1032" s="1" t="s">
        <v>3248</v>
      </c>
      <c r="C1032" s="1" t="s">
        <v>5736</v>
      </c>
      <c r="D1032" s="48">
        <v>4</v>
      </c>
      <c r="E1032" s="1">
        <v>3</v>
      </c>
      <c r="F1032" s="1" t="s">
        <v>3239</v>
      </c>
      <c r="G1032" s="1" t="s">
        <v>3249</v>
      </c>
      <c r="I1032" s="1" t="s">
        <v>94</v>
      </c>
      <c r="K1032" s="1" t="s">
        <v>576</v>
      </c>
      <c r="N1032" s="54">
        <v>33</v>
      </c>
      <c r="O1032" s="55">
        <v>3</v>
      </c>
      <c r="Q1032" s="57">
        <v>3</v>
      </c>
      <c r="R1032" s="58">
        <v>2</v>
      </c>
      <c r="S1032" s="59">
        <v>5</v>
      </c>
      <c r="V1032" s="4" t="s">
        <v>3250</v>
      </c>
      <c r="W1032" s="4" t="s">
        <v>3251</v>
      </c>
      <c r="AL1032" s="60" t="s">
        <v>30</v>
      </c>
    </row>
    <row r="1033" spans="1:43" ht="84" x14ac:dyDescent="0.2">
      <c r="A1033" s="1" t="s">
        <v>3165</v>
      </c>
      <c r="B1033" s="1" t="s">
        <v>3252</v>
      </c>
      <c r="C1033" s="1" t="s">
        <v>5736</v>
      </c>
      <c r="D1033" s="48">
        <v>5</v>
      </c>
      <c r="E1033" s="1">
        <v>2</v>
      </c>
      <c r="F1033" s="1" t="s">
        <v>3239</v>
      </c>
      <c r="G1033" s="1" t="s">
        <v>3253</v>
      </c>
      <c r="I1033" s="1" t="s">
        <v>104</v>
      </c>
      <c r="K1033" s="1" t="s">
        <v>105</v>
      </c>
      <c r="O1033" s="55">
        <v>4</v>
      </c>
      <c r="T1033" s="60">
        <v>1</v>
      </c>
      <c r="V1033" s="4" t="s">
        <v>3254</v>
      </c>
      <c r="AL1033" s="60" t="s">
        <v>30</v>
      </c>
    </row>
    <row r="1034" spans="1:43" ht="24" x14ac:dyDescent="0.2">
      <c r="A1034" s="1" t="s">
        <v>3165</v>
      </c>
      <c r="B1034" s="1" t="s">
        <v>3255</v>
      </c>
      <c r="C1034" s="1" t="s">
        <v>5736</v>
      </c>
      <c r="D1034" s="48">
        <v>6</v>
      </c>
      <c r="E1034" s="1">
        <v>3</v>
      </c>
      <c r="F1034" s="1" t="s">
        <v>3239</v>
      </c>
      <c r="G1034" s="1" t="s">
        <v>3256</v>
      </c>
      <c r="I1034" s="1" t="s">
        <v>104</v>
      </c>
      <c r="K1034" s="1" t="s">
        <v>105</v>
      </c>
      <c r="O1034" s="55">
        <v>3</v>
      </c>
      <c r="T1034" s="60">
        <v>6</v>
      </c>
      <c r="V1034" s="4" t="s">
        <v>3257</v>
      </c>
      <c r="W1034" s="4" t="s">
        <v>3258</v>
      </c>
      <c r="AL1034" s="60" t="s">
        <v>30</v>
      </c>
    </row>
    <row r="1035" spans="1:43" ht="48" x14ac:dyDescent="0.2">
      <c r="A1035" s="1" t="s">
        <v>3165</v>
      </c>
      <c r="B1035" s="1" t="s">
        <v>3259</v>
      </c>
      <c r="C1035" s="1" t="s">
        <v>5736</v>
      </c>
      <c r="D1035" s="48">
        <v>7</v>
      </c>
      <c r="E1035" s="1">
        <v>2</v>
      </c>
      <c r="F1035" s="1" t="s">
        <v>3239</v>
      </c>
      <c r="G1035" s="1" t="s">
        <v>3260</v>
      </c>
      <c r="I1035" s="1" t="s">
        <v>82</v>
      </c>
      <c r="L1035" s="2" t="s">
        <v>3261</v>
      </c>
      <c r="V1035" s="4" t="s">
        <v>3262</v>
      </c>
      <c r="AL1035" s="60" t="s">
        <v>30</v>
      </c>
    </row>
    <row r="1036" spans="1:43" ht="48" x14ac:dyDescent="0.2">
      <c r="A1036" s="1" t="s">
        <v>3165</v>
      </c>
      <c r="B1036" s="1" t="s">
        <v>3263</v>
      </c>
      <c r="C1036" s="1" t="s">
        <v>5736</v>
      </c>
      <c r="D1036" s="48">
        <v>8</v>
      </c>
      <c r="E1036" s="1">
        <v>2</v>
      </c>
      <c r="F1036" s="1" t="s">
        <v>3239</v>
      </c>
      <c r="G1036" s="1" t="s">
        <v>3264</v>
      </c>
      <c r="I1036" s="1" t="s">
        <v>82</v>
      </c>
      <c r="K1036" s="1" t="s">
        <v>2951</v>
      </c>
      <c r="V1036" s="4" t="s">
        <v>3265</v>
      </c>
      <c r="W1036" s="4" t="s">
        <v>3266</v>
      </c>
      <c r="AL1036" s="60" t="s">
        <v>30</v>
      </c>
    </row>
    <row r="1037" spans="1:43" ht="36" x14ac:dyDescent="0.2">
      <c r="A1037" s="1" t="s">
        <v>3165</v>
      </c>
      <c r="B1037" s="1" t="s">
        <v>3267</v>
      </c>
      <c r="C1037" s="1" t="s">
        <v>5736</v>
      </c>
      <c r="D1037" s="48">
        <v>9</v>
      </c>
      <c r="E1037" s="1">
        <v>2</v>
      </c>
      <c r="F1037" s="1" t="s">
        <v>3239</v>
      </c>
      <c r="G1037" s="1" t="s">
        <v>3268</v>
      </c>
      <c r="I1037" s="1" t="s">
        <v>82</v>
      </c>
      <c r="K1037" s="1" t="s">
        <v>2951</v>
      </c>
      <c r="V1037" s="4" t="s">
        <v>3269</v>
      </c>
      <c r="W1037" s="4" t="s">
        <v>3270</v>
      </c>
      <c r="AL1037" s="60" t="s">
        <v>30</v>
      </c>
    </row>
    <row r="1038" spans="1:43" ht="60" x14ac:dyDescent="0.2">
      <c r="A1038" s="119" t="s">
        <v>5801</v>
      </c>
      <c r="B1038" s="119" t="s">
        <v>5802</v>
      </c>
      <c r="C1038" s="119" t="s">
        <v>5747</v>
      </c>
      <c r="D1038" s="120">
        <v>1</v>
      </c>
      <c r="E1038" s="119">
        <v>1</v>
      </c>
      <c r="F1038" s="119" t="s">
        <v>7747</v>
      </c>
      <c r="G1038" s="119" t="s">
        <v>2671</v>
      </c>
      <c r="I1038" s="1" t="s">
        <v>768</v>
      </c>
      <c r="K1038" s="3"/>
      <c r="L1038" s="4"/>
      <c r="M1038" s="20"/>
      <c r="N1038" s="54" t="s">
        <v>9529</v>
      </c>
      <c r="T1038" s="67"/>
      <c r="V1038" s="4" t="s">
        <v>769</v>
      </c>
      <c r="Y1038" s="1" t="s">
        <v>2671</v>
      </c>
      <c r="AA1038" s="1" t="s">
        <v>768</v>
      </c>
      <c r="AF1038" s="54" t="s">
        <v>9530</v>
      </c>
      <c r="AL1038" s="67" t="s">
        <v>30</v>
      </c>
      <c r="AN1038" s="4" t="s">
        <v>5799</v>
      </c>
    </row>
    <row r="1039" spans="1:43" ht="48" x14ac:dyDescent="0.2">
      <c r="A1039" s="1" t="s">
        <v>5801</v>
      </c>
      <c r="B1039" s="1" t="s">
        <v>5803</v>
      </c>
      <c r="C1039" s="1" t="s">
        <v>5747</v>
      </c>
      <c r="D1039" s="48">
        <v>2</v>
      </c>
      <c r="E1039" s="1">
        <v>1</v>
      </c>
      <c r="F1039" s="1" t="s">
        <v>7747</v>
      </c>
      <c r="G1039" s="1" t="s">
        <v>9624</v>
      </c>
      <c r="I1039" s="1" t="s">
        <v>125</v>
      </c>
      <c r="K1039" s="3"/>
      <c r="L1039" s="4"/>
      <c r="M1039" s="20">
        <v>2</v>
      </c>
      <c r="N1039" s="54" t="s">
        <v>9529</v>
      </c>
      <c r="T1039" s="67"/>
      <c r="V1039" s="4" t="s">
        <v>5794</v>
      </c>
      <c r="Y1039" s="1" t="s">
        <v>9624</v>
      </c>
      <c r="AA1039" s="1" t="s">
        <v>125</v>
      </c>
      <c r="AE1039" s="1">
        <v>2</v>
      </c>
      <c r="AF1039" s="54" t="s">
        <v>9530</v>
      </c>
      <c r="AL1039" s="67" t="s">
        <v>113</v>
      </c>
      <c r="AN1039" s="4" t="s">
        <v>5793</v>
      </c>
    </row>
    <row r="1040" spans="1:43" ht="24" x14ac:dyDescent="0.2">
      <c r="A1040" s="1" t="s">
        <v>5801</v>
      </c>
      <c r="B1040" s="1" t="s">
        <v>5804</v>
      </c>
      <c r="C1040" s="1" t="s">
        <v>5747</v>
      </c>
      <c r="D1040" s="48">
        <v>3</v>
      </c>
      <c r="E1040" s="1">
        <v>4</v>
      </c>
      <c r="F1040" s="1" t="s">
        <v>7747</v>
      </c>
      <c r="G1040" s="1" t="s">
        <v>5786</v>
      </c>
      <c r="I1040" s="1" t="s">
        <v>94</v>
      </c>
      <c r="K1040" s="3" t="s">
        <v>604</v>
      </c>
      <c r="L1040" s="4"/>
      <c r="M1040" s="20"/>
      <c r="N1040" s="54">
        <v>20</v>
      </c>
      <c r="O1040" s="55">
        <v>1</v>
      </c>
      <c r="Q1040" s="57">
        <v>4</v>
      </c>
      <c r="R1040" s="58">
        <v>3</v>
      </c>
      <c r="S1040" s="59">
        <v>5</v>
      </c>
      <c r="T1040" s="67"/>
      <c r="V1040" s="4" t="s">
        <v>5788</v>
      </c>
      <c r="W1040" s="4" t="s">
        <v>5790</v>
      </c>
      <c r="AL1040" s="67" t="s">
        <v>30</v>
      </c>
      <c r="AN1040" s="5"/>
      <c r="AO1040" s="5"/>
      <c r="AP1040" s="5"/>
    </row>
    <row r="1041" spans="1:42" ht="36" x14ac:dyDescent="0.2">
      <c r="A1041" s="1" t="s">
        <v>5801</v>
      </c>
      <c r="B1041" s="1" t="s">
        <v>5805</v>
      </c>
      <c r="C1041" s="1" t="s">
        <v>5747</v>
      </c>
      <c r="D1041" s="48">
        <v>4</v>
      </c>
      <c r="E1041" s="1">
        <v>3</v>
      </c>
      <c r="F1041" s="1" t="s">
        <v>7747</v>
      </c>
      <c r="G1041" s="1" t="s">
        <v>5748</v>
      </c>
      <c r="I1041" s="1" t="s">
        <v>94</v>
      </c>
      <c r="K1041" s="3" t="s">
        <v>604</v>
      </c>
      <c r="L1041" s="4"/>
      <c r="M1041" s="20"/>
      <c r="N1041" s="54">
        <v>50</v>
      </c>
      <c r="O1041" s="55">
        <v>3</v>
      </c>
      <c r="Q1041" s="57">
        <v>2</v>
      </c>
      <c r="R1041" s="58">
        <v>2</v>
      </c>
      <c r="S1041" s="59">
        <v>4</v>
      </c>
      <c r="T1041" s="67"/>
      <c r="V1041" s="4" t="s">
        <v>5830</v>
      </c>
      <c r="W1041" s="4" t="s">
        <v>5838</v>
      </c>
      <c r="AL1041" s="67" t="s">
        <v>30</v>
      </c>
      <c r="AN1041" s="5"/>
      <c r="AO1041" s="5"/>
      <c r="AP1041" s="5"/>
    </row>
    <row r="1042" spans="1:42" ht="24" x14ac:dyDescent="0.2">
      <c r="A1042" s="1" t="s">
        <v>5801</v>
      </c>
      <c r="B1042" s="1" t="s">
        <v>5806</v>
      </c>
      <c r="C1042" s="1" t="s">
        <v>5747</v>
      </c>
      <c r="D1042" s="48">
        <v>5</v>
      </c>
      <c r="E1042" s="1">
        <v>2</v>
      </c>
      <c r="F1042" s="1" t="s">
        <v>7747</v>
      </c>
      <c r="G1042" s="1" t="s">
        <v>5749</v>
      </c>
      <c r="I1042" s="1" t="s">
        <v>94</v>
      </c>
      <c r="K1042" s="3" t="s">
        <v>95</v>
      </c>
      <c r="L1042" s="4" t="s">
        <v>155</v>
      </c>
      <c r="M1042" s="20"/>
      <c r="N1042" s="54">
        <v>0</v>
      </c>
      <c r="O1042" s="55">
        <v>1</v>
      </c>
      <c r="Q1042" s="57">
        <v>7</v>
      </c>
      <c r="R1042" s="58">
        <v>7</v>
      </c>
      <c r="S1042" s="59">
        <v>8</v>
      </c>
      <c r="T1042" s="67"/>
      <c r="V1042" s="4" t="s">
        <v>5750</v>
      </c>
      <c r="W1042" s="4" t="s">
        <v>5751</v>
      </c>
      <c r="AL1042" s="67" t="s">
        <v>30</v>
      </c>
      <c r="AN1042" s="5"/>
      <c r="AO1042" s="5"/>
      <c r="AP1042" s="5"/>
    </row>
    <row r="1043" spans="1:42" ht="36" x14ac:dyDescent="0.2">
      <c r="A1043" s="1" t="s">
        <v>5801</v>
      </c>
      <c r="B1043" s="1" t="s">
        <v>5807</v>
      </c>
      <c r="C1043" s="1" t="s">
        <v>5747</v>
      </c>
      <c r="D1043" s="48">
        <v>6</v>
      </c>
      <c r="E1043" s="1">
        <v>3</v>
      </c>
      <c r="F1043" s="1" t="s">
        <v>7747</v>
      </c>
      <c r="G1043" s="1" t="s">
        <v>5752</v>
      </c>
      <c r="I1043" s="1" t="s">
        <v>104</v>
      </c>
      <c r="K1043" s="3" t="s">
        <v>1592</v>
      </c>
      <c r="L1043" s="4"/>
      <c r="M1043" s="20"/>
      <c r="O1043" s="55" t="s">
        <v>113</v>
      </c>
      <c r="T1043" s="67" t="s">
        <v>113</v>
      </c>
      <c r="V1043" s="4" t="s">
        <v>5753</v>
      </c>
      <c r="W1043" s="4" t="s">
        <v>5839</v>
      </c>
      <c r="AL1043" s="67" t="s">
        <v>30</v>
      </c>
      <c r="AN1043" s="5"/>
      <c r="AO1043" s="5"/>
      <c r="AP1043" s="5"/>
    </row>
    <row r="1044" spans="1:42" ht="36" x14ac:dyDescent="0.2">
      <c r="A1044" s="1" t="s">
        <v>5801</v>
      </c>
      <c r="B1044" s="1" t="s">
        <v>5808</v>
      </c>
      <c r="C1044" s="1" t="s">
        <v>5747</v>
      </c>
      <c r="D1044" s="48">
        <v>7</v>
      </c>
      <c r="E1044" s="1">
        <v>3</v>
      </c>
      <c r="F1044" s="1" t="s">
        <v>7747</v>
      </c>
      <c r="G1044" s="1" t="s">
        <v>5754</v>
      </c>
      <c r="I1044" s="1" t="s">
        <v>104</v>
      </c>
      <c r="K1044" s="3" t="s">
        <v>2742</v>
      </c>
      <c r="L1044" s="4" t="s">
        <v>685</v>
      </c>
      <c r="M1044" s="20"/>
      <c r="O1044" s="55">
        <v>3</v>
      </c>
      <c r="T1044" s="67">
        <v>1</v>
      </c>
      <c r="V1044" s="4" t="s">
        <v>5755</v>
      </c>
      <c r="AL1044" s="67" t="s">
        <v>30</v>
      </c>
      <c r="AN1044" s="5"/>
      <c r="AO1044" s="5"/>
      <c r="AP1044" s="5"/>
    </row>
    <row r="1045" spans="1:42" ht="36" x14ac:dyDescent="0.2">
      <c r="A1045" s="1" t="s">
        <v>5801</v>
      </c>
      <c r="B1045" s="1" t="s">
        <v>5809</v>
      </c>
      <c r="C1045" s="1" t="s">
        <v>5747</v>
      </c>
      <c r="D1045" s="48">
        <v>8</v>
      </c>
      <c r="E1045" s="1">
        <v>3</v>
      </c>
      <c r="F1045" s="1" t="s">
        <v>7747</v>
      </c>
      <c r="G1045" s="1" t="s">
        <v>5756</v>
      </c>
      <c r="I1045" s="1" t="s">
        <v>82</v>
      </c>
      <c r="K1045" s="3"/>
      <c r="L1045" s="4" t="s">
        <v>155</v>
      </c>
      <c r="M1045" s="20"/>
      <c r="T1045" s="67"/>
      <c r="V1045" s="4" t="s">
        <v>5757</v>
      </c>
      <c r="W1045" s="4" t="s">
        <v>5837</v>
      </c>
      <c r="AL1045" s="67" t="s">
        <v>30</v>
      </c>
      <c r="AN1045" s="5"/>
      <c r="AO1045" s="5"/>
      <c r="AP1045" s="5"/>
    </row>
    <row r="1046" spans="1:42" ht="84" x14ac:dyDescent="0.2">
      <c r="A1046" s="111" t="s">
        <v>5801</v>
      </c>
      <c r="B1046" s="111" t="s">
        <v>5810</v>
      </c>
      <c r="C1046" s="111" t="s">
        <v>5758</v>
      </c>
      <c r="D1046" s="112">
        <v>1</v>
      </c>
      <c r="E1046" s="111">
        <v>1</v>
      </c>
      <c r="F1046" s="111" t="s">
        <v>7748</v>
      </c>
      <c r="G1046" s="111" t="s">
        <v>2696</v>
      </c>
      <c r="I1046" s="1" t="s">
        <v>768</v>
      </c>
      <c r="K1046" s="3"/>
      <c r="L1046" s="4"/>
      <c r="M1046" s="20"/>
      <c r="N1046" s="54" t="s">
        <v>9529</v>
      </c>
      <c r="T1046" s="67"/>
      <c r="V1046" s="4" t="s">
        <v>769</v>
      </c>
      <c r="X1046" s="1" t="s">
        <v>1672</v>
      </c>
      <c r="Y1046" s="1" t="s">
        <v>2696</v>
      </c>
      <c r="AA1046" s="1" t="s">
        <v>768</v>
      </c>
      <c r="AF1046" s="54" t="s">
        <v>9530</v>
      </c>
      <c r="AL1046" s="67" t="s">
        <v>30</v>
      </c>
      <c r="AN1046" s="4" t="s">
        <v>5800</v>
      </c>
    </row>
    <row r="1047" spans="1:42" ht="48" x14ac:dyDescent="0.2">
      <c r="A1047" s="1" t="s">
        <v>5801</v>
      </c>
      <c r="B1047" s="1" t="s">
        <v>5811</v>
      </c>
      <c r="C1047" s="1" t="s">
        <v>5758</v>
      </c>
      <c r="D1047" s="48">
        <v>2</v>
      </c>
      <c r="E1047" s="1">
        <v>1</v>
      </c>
      <c r="F1047" s="1" t="s">
        <v>7748</v>
      </c>
      <c r="G1047" s="1" t="s">
        <v>5759</v>
      </c>
      <c r="H1047" s="1" t="s">
        <v>26</v>
      </c>
      <c r="I1047" s="1" t="s">
        <v>94</v>
      </c>
      <c r="K1047" s="3" t="s">
        <v>2558</v>
      </c>
      <c r="L1047" s="4"/>
      <c r="M1047" s="20"/>
      <c r="N1047" s="54">
        <v>20</v>
      </c>
      <c r="O1047" s="55">
        <v>3</v>
      </c>
      <c r="Q1047" s="57">
        <v>3</v>
      </c>
      <c r="R1047" s="58">
        <v>3</v>
      </c>
      <c r="S1047" s="59">
        <v>12</v>
      </c>
      <c r="T1047" s="67"/>
      <c r="U1047" s="1">
        <v>5</v>
      </c>
      <c r="V1047" s="4" t="s">
        <v>5831</v>
      </c>
      <c r="AL1047" s="67" t="s">
        <v>30</v>
      </c>
      <c r="AN1047" s="5"/>
      <c r="AO1047" s="5"/>
      <c r="AP1047" s="5"/>
    </row>
    <row r="1048" spans="1:42" ht="60" x14ac:dyDescent="0.2">
      <c r="A1048" s="1" t="s">
        <v>5801</v>
      </c>
      <c r="B1048" s="1" t="s">
        <v>5812</v>
      </c>
      <c r="C1048" s="1" t="s">
        <v>5758</v>
      </c>
      <c r="D1048" s="48">
        <v>3</v>
      </c>
      <c r="E1048" s="1">
        <v>1</v>
      </c>
      <c r="F1048" s="1" t="s">
        <v>7748</v>
      </c>
      <c r="G1048" s="1" t="s">
        <v>5760</v>
      </c>
      <c r="H1048" s="1" t="s">
        <v>26</v>
      </c>
      <c r="I1048" s="1" t="s">
        <v>104</v>
      </c>
      <c r="K1048" s="3" t="s">
        <v>1112</v>
      </c>
      <c r="L1048" s="4"/>
      <c r="M1048" s="20"/>
      <c r="O1048" s="55">
        <v>5</v>
      </c>
      <c r="T1048" s="67">
        <v>8</v>
      </c>
      <c r="U1048" s="1">
        <v>5</v>
      </c>
      <c r="V1048" s="4" t="s">
        <v>5761</v>
      </c>
      <c r="AL1048" s="67" t="s">
        <v>30</v>
      </c>
      <c r="AN1048" s="5"/>
      <c r="AO1048" s="5"/>
      <c r="AP1048" s="5"/>
    </row>
    <row r="1049" spans="1:42" ht="48" x14ac:dyDescent="0.2">
      <c r="A1049" s="1" t="s">
        <v>5801</v>
      </c>
      <c r="B1049" s="1" t="s">
        <v>5813</v>
      </c>
      <c r="C1049" s="1" t="s">
        <v>5758</v>
      </c>
      <c r="D1049" s="48">
        <v>4</v>
      </c>
      <c r="E1049" s="1">
        <v>2</v>
      </c>
      <c r="F1049" s="1" t="s">
        <v>7748</v>
      </c>
      <c r="G1049" s="1" t="s">
        <v>5762</v>
      </c>
      <c r="I1049" s="1" t="s">
        <v>94</v>
      </c>
      <c r="K1049" s="3" t="s">
        <v>2558</v>
      </c>
      <c r="L1049" s="4"/>
      <c r="M1049" s="20"/>
      <c r="N1049" s="54">
        <v>44</v>
      </c>
      <c r="O1049" s="55">
        <v>1</v>
      </c>
      <c r="Q1049" s="57">
        <v>4</v>
      </c>
      <c r="R1049" s="58">
        <v>4</v>
      </c>
      <c r="S1049" s="59">
        <v>6</v>
      </c>
      <c r="T1049" s="67"/>
      <c r="V1049" s="4" t="s">
        <v>5763</v>
      </c>
      <c r="AL1049" s="67" t="s">
        <v>30</v>
      </c>
      <c r="AN1049" s="5"/>
      <c r="AO1049" s="5"/>
      <c r="AP1049" s="5"/>
    </row>
    <row r="1050" spans="1:42" ht="24" x14ac:dyDescent="0.2">
      <c r="A1050" s="1" t="s">
        <v>5801</v>
      </c>
      <c r="B1050" s="1" t="s">
        <v>5814</v>
      </c>
      <c r="C1050" s="1" t="s">
        <v>5758</v>
      </c>
      <c r="D1050" s="48">
        <v>5</v>
      </c>
      <c r="E1050" s="1">
        <v>3</v>
      </c>
      <c r="F1050" s="1" t="s">
        <v>7748</v>
      </c>
      <c r="G1050" s="1" t="s">
        <v>5764</v>
      </c>
      <c r="I1050" s="1" t="s">
        <v>94</v>
      </c>
      <c r="K1050" s="3" t="s">
        <v>604</v>
      </c>
      <c r="L1050" s="4"/>
      <c r="M1050" s="20"/>
      <c r="N1050" s="54">
        <v>15</v>
      </c>
      <c r="O1050" s="55">
        <v>2</v>
      </c>
      <c r="Q1050" s="57">
        <v>4</v>
      </c>
      <c r="R1050" s="58">
        <v>2</v>
      </c>
      <c r="S1050" s="59">
        <v>3</v>
      </c>
      <c r="T1050" s="67"/>
      <c r="V1050" s="4" t="s">
        <v>5832</v>
      </c>
      <c r="W1050" s="4" t="s">
        <v>5765</v>
      </c>
      <c r="AL1050" s="67" t="s">
        <v>30</v>
      </c>
      <c r="AN1050" s="5"/>
      <c r="AO1050" s="5"/>
      <c r="AP1050" s="5"/>
    </row>
    <row r="1051" spans="1:42" x14ac:dyDescent="0.2">
      <c r="A1051" s="1" t="s">
        <v>5801</v>
      </c>
      <c r="B1051" s="1" t="s">
        <v>5815</v>
      </c>
      <c r="C1051" s="1" t="s">
        <v>5758</v>
      </c>
      <c r="D1051" s="48">
        <v>6</v>
      </c>
      <c r="E1051" s="1">
        <v>2</v>
      </c>
      <c r="F1051" s="1" t="s">
        <v>7748</v>
      </c>
      <c r="G1051" s="1" t="s">
        <v>5766</v>
      </c>
      <c r="I1051" s="1" t="s">
        <v>94</v>
      </c>
      <c r="K1051" s="3" t="s">
        <v>604</v>
      </c>
      <c r="L1051" s="4"/>
      <c r="M1051" s="20"/>
      <c r="N1051" s="54">
        <v>36</v>
      </c>
      <c r="O1051" s="55">
        <v>3</v>
      </c>
      <c r="Q1051" s="57">
        <v>2</v>
      </c>
      <c r="R1051" s="58">
        <v>1</v>
      </c>
      <c r="S1051" s="59">
        <v>4</v>
      </c>
      <c r="T1051" s="67"/>
      <c r="V1051" s="4" t="s">
        <v>5767</v>
      </c>
      <c r="W1051" s="4" t="s">
        <v>5768</v>
      </c>
      <c r="AL1051" s="67" t="s">
        <v>30</v>
      </c>
      <c r="AN1051" s="5"/>
      <c r="AO1051" s="5"/>
      <c r="AP1051" s="5"/>
    </row>
    <row r="1052" spans="1:42" ht="24" x14ac:dyDescent="0.2">
      <c r="A1052" s="1" t="s">
        <v>5801</v>
      </c>
      <c r="B1052" s="1" t="s">
        <v>5816</v>
      </c>
      <c r="C1052" s="1" t="s">
        <v>5758</v>
      </c>
      <c r="D1052" s="48">
        <v>7</v>
      </c>
      <c r="E1052" s="1">
        <v>3</v>
      </c>
      <c r="F1052" s="1" t="s">
        <v>7748</v>
      </c>
      <c r="G1052" s="1" t="s">
        <v>5769</v>
      </c>
      <c r="I1052" s="1" t="s">
        <v>104</v>
      </c>
      <c r="K1052" s="3" t="s">
        <v>1112</v>
      </c>
      <c r="L1052" s="4"/>
      <c r="M1052" s="20"/>
      <c r="O1052" s="55">
        <v>2</v>
      </c>
      <c r="T1052" s="67">
        <v>6</v>
      </c>
      <c r="V1052" s="4" t="s">
        <v>5770</v>
      </c>
      <c r="W1052" s="4" t="s">
        <v>5836</v>
      </c>
      <c r="AL1052" s="67" t="s">
        <v>30</v>
      </c>
      <c r="AN1052" s="5"/>
      <c r="AO1052" s="5"/>
      <c r="AP1052" s="5"/>
    </row>
    <row r="1053" spans="1:42" ht="36" x14ac:dyDescent="0.2">
      <c r="A1053" s="1" t="s">
        <v>5801</v>
      </c>
      <c r="B1053" s="1" t="s">
        <v>5817</v>
      </c>
      <c r="C1053" s="1" t="s">
        <v>5758</v>
      </c>
      <c r="D1053" s="48">
        <v>8</v>
      </c>
      <c r="E1053" s="1">
        <v>2</v>
      </c>
      <c r="F1053" s="1" t="s">
        <v>7748</v>
      </c>
      <c r="G1053" s="1" t="s">
        <v>5771</v>
      </c>
      <c r="I1053" s="1" t="s">
        <v>104</v>
      </c>
      <c r="K1053" s="3" t="s">
        <v>1112</v>
      </c>
      <c r="L1053" s="4"/>
      <c r="M1053" s="20"/>
      <c r="O1053" s="55">
        <v>4</v>
      </c>
      <c r="T1053" s="67">
        <v>4</v>
      </c>
      <c r="V1053" s="4" t="s">
        <v>7743</v>
      </c>
      <c r="AL1053" s="67" t="s">
        <v>30</v>
      </c>
      <c r="AN1053" s="5"/>
      <c r="AO1053" s="5"/>
      <c r="AP1053" s="5"/>
    </row>
    <row r="1054" spans="1:42" x14ac:dyDescent="0.2">
      <c r="A1054" s="1" t="s">
        <v>5801</v>
      </c>
      <c r="B1054" s="1" t="s">
        <v>5818</v>
      </c>
      <c r="C1054" s="1" t="s">
        <v>5758</v>
      </c>
      <c r="D1054" s="48">
        <v>9</v>
      </c>
      <c r="E1054" s="1">
        <v>3</v>
      </c>
      <c r="F1054" s="1" t="s">
        <v>7748</v>
      </c>
      <c r="G1054" s="1" t="s">
        <v>5772</v>
      </c>
      <c r="I1054" s="1" t="s">
        <v>82</v>
      </c>
      <c r="K1054" s="3"/>
      <c r="L1054" s="4" t="s">
        <v>5774</v>
      </c>
      <c r="M1054" s="20"/>
      <c r="T1054" s="67"/>
      <c r="V1054" s="4" t="s">
        <v>5773</v>
      </c>
      <c r="W1054" s="4" t="s">
        <v>5768</v>
      </c>
      <c r="AL1054" s="67" t="s">
        <v>30</v>
      </c>
      <c r="AN1054" s="5"/>
      <c r="AO1054" s="5"/>
      <c r="AP1054" s="5"/>
    </row>
    <row r="1055" spans="1:42" ht="48" x14ac:dyDescent="0.2">
      <c r="A1055" s="1" t="s">
        <v>5801</v>
      </c>
      <c r="B1055" s="1" t="s">
        <v>5819</v>
      </c>
      <c r="C1055" s="1" t="s">
        <v>5758</v>
      </c>
      <c r="D1055" s="48">
        <v>10</v>
      </c>
      <c r="E1055" s="1">
        <v>2</v>
      </c>
      <c r="F1055" s="1" t="s">
        <v>7748</v>
      </c>
      <c r="G1055" s="1" t="s">
        <v>5775</v>
      </c>
      <c r="I1055" s="1" t="s">
        <v>82</v>
      </c>
      <c r="K1055" s="3"/>
      <c r="L1055" s="4"/>
      <c r="M1055" s="20"/>
      <c r="T1055" s="67"/>
      <c r="V1055" s="4" t="s">
        <v>5776</v>
      </c>
      <c r="AL1055" s="67" t="s">
        <v>30</v>
      </c>
      <c r="AN1055" s="5"/>
      <c r="AO1055" s="5"/>
      <c r="AP1055" s="5"/>
    </row>
    <row r="1056" spans="1:42" ht="72" x14ac:dyDescent="0.2">
      <c r="A1056" s="111" t="s">
        <v>5801</v>
      </c>
      <c r="B1056" s="111" t="s">
        <v>5820</v>
      </c>
      <c r="C1056" s="111" t="s">
        <v>5777</v>
      </c>
      <c r="D1056" s="112">
        <v>1</v>
      </c>
      <c r="E1056" s="111">
        <v>1</v>
      </c>
      <c r="F1056" s="111" t="s">
        <v>7746</v>
      </c>
      <c r="G1056" s="111" t="s">
        <v>2665</v>
      </c>
      <c r="I1056" s="1" t="s">
        <v>768</v>
      </c>
      <c r="K1056" s="3"/>
      <c r="L1056" s="4"/>
      <c r="M1056" s="20"/>
      <c r="N1056" s="54" t="s">
        <v>9529</v>
      </c>
      <c r="T1056" s="67"/>
      <c r="V1056" s="4" t="s">
        <v>769</v>
      </c>
      <c r="Y1056" s="1" t="s">
        <v>2665</v>
      </c>
      <c r="AA1056" s="1" t="s">
        <v>768</v>
      </c>
      <c r="AF1056" s="54" t="s">
        <v>9530</v>
      </c>
      <c r="AL1056" s="67" t="s">
        <v>30</v>
      </c>
      <c r="AN1056" s="4" t="s">
        <v>7744</v>
      </c>
    </row>
    <row r="1057" spans="1:48" ht="72" x14ac:dyDescent="0.2">
      <c r="A1057" s="1" t="s">
        <v>5801</v>
      </c>
      <c r="B1057" s="1" t="s">
        <v>5821</v>
      </c>
      <c r="C1057" s="1" t="s">
        <v>5777</v>
      </c>
      <c r="D1057" s="48">
        <v>2</v>
      </c>
      <c r="E1057" s="1">
        <v>1</v>
      </c>
      <c r="F1057" s="1" t="s">
        <v>7746</v>
      </c>
      <c r="G1057" s="1" t="s">
        <v>9598</v>
      </c>
      <c r="I1057" s="1" t="s">
        <v>125</v>
      </c>
      <c r="K1057" s="3"/>
      <c r="L1057" s="4"/>
      <c r="M1057" s="20">
        <v>2</v>
      </c>
      <c r="N1057" s="54" t="s">
        <v>9529</v>
      </c>
      <c r="T1057" s="67"/>
      <c r="V1057" s="4" t="s">
        <v>2854</v>
      </c>
      <c r="Y1057" s="1" t="s">
        <v>737</v>
      </c>
      <c r="AA1057" s="1" t="s">
        <v>125</v>
      </c>
      <c r="AE1057" s="1">
        <v>2</v>
      </c>
      <c r="AF1057" s="54" t="s">
        <v>9530</v>
      </c>
      <c r="AL1057" s="67">
        <v>5</v>
      </c>
      <c r="AN1057" s="4" t="s">
        <v>5797</v>
      </c>
    </row>
    <row r="1058" spans="1:48" ht="108" x14ac:dyDescent="0.2">
      <c r="A1058" s="1" t="s">
        <v>5801</v>
      </c>
      <c r="B1058" s="1" t="s">
        <v>5822</v>
      </c>
      <c r="C1058" s="1" t="s">
        <v>5777</v>
      </c>
      <c r="D1058" s="48">
        <v>3</v>
      </c>
      <c r="E1058" s="1">
        <v>1</v>
      </c>
      <c r="F1058" s="1" t="s">
        <v>7746</v>
      </c>
      <c r="G1058" s="1" t="s">
        <v>9598</v>
      </c>
      <c r="I1058" s="1" t="s">
        <v>125</v>
      </c>
      <c r="K1058" s="3"/>
      <c r="L1058" s="4"/>
      <c r="M1058" s="20">
        <v>2</v>
      </c>
      <c r="N1058" s="54" t="s">
        <v>9529</v>
      </c>
      <c r="T1058" s="67"/>
      <c r="V1058" s="4" t="s">
        <v>2854</v>
      </c>
      <c r="Y1058" s="1" t="s">
        <v>9652</v>
      </c>
      <c r="AA1058" s="1" t="s">
        <v>125</v>
      </c>
      <c r="AE1058" s="1">
        <v>2</v>
      </c>
      <c r="AF1058" s="54" t="s">
        <v>9530</v>
      </c>
      <c r="AL1058" s="67" t="s">
        <v>799</v>
      </c>
      <c r="AN1058" s="4" t="s">
        <v>5798</v>
      </c>
      <c r="AU1058" s="1" t="s">
        <v>6219</v>
      </c>
      <c r="AV1058" s="1" t="s">
        <v>6220</v>
      </c>
    </row>
    <row r="1059" spans="1:48" ht="24" x14ac:dyDescent="0.2">
      <c r="A1059" s="1" t="s">
        <v>5801</v>
      </c>
      <c r="B1059" s="1" t="s">
        <v>5823</v>
      </c>
      <c r="C1059" s="1" t="s">
        <v>5777</v>
      </c>
      <c r="D1059" s="48">
        <v>4</v>
      </c>
      <c r="E1059" s="1">
        <v>1</v>
      </c>
      <c r="F1059" s="1" t="s">
        <v>7746</v>
      </c>
      <c r="G1059" s="1" t="s">
        <v>9598</v>
      </c>
      <c r="I1059" s="1" t="s">
        <v>125</v>
      </c>
      <c r="K1059" s="3"/>
      <c r="L1059" s="4"/>
      <c r="M1059" s="20">
        <v>2</v>
      </c>
      <c r="N1059" s="54" t="s">
        <v>9529</v>
      </c>
      <c r="T1059" s="67"/>
      <c r="V1059" s="4" t="s">
        <v>2854</v>
      </c>
      <c r="Y1059" s="1" t="s">
        <v>9653</v>
      </c>
      <c r="AA1059" s="1" t="s">
        <v>125</v>
      </c>
      <c r="AE1059" s="1">
        <v>2</v>
      </c>
      <c r="AF1059" s="54" t="s">
        <v>9530</v>
      </c>
      <c r="AL1059" s="67">
        <v>1</v>
      </c>
      <c r="AN1059" s="4" t="s">
        <v>7745</v>
      </c>
    </row>
    <row r="1060" spans="1:48" ht="36" x14ac:dyDescent="0.2">
      <c r="A1060" s="1" t="s">
        <v>5801</v>
      </c>
      <c r="B1060" s="1" t="s">
        <v>5824</v>
      </c>
      <c r="C1060" s="1" t="s">
        <v>5777</v>
      </c>
      <c r="D1060" s="48">
        <v>5</v>
      </c>
      <c r="E1060" s="1">
        <v>3</v>
      </c>
      <c r="F1060" s="1" t="s">
        <v>7746</v>
      </c>
      <c r="G1060" s="1" t="s">
        <v>5778</v>
      </c>
      <c r="I1060" s="1" t="s">
        <v>94</v>
      </c>
      <c r="K1060" s="3" t="s">
        <v>604</v>
      </c>
      <c r="L1060" s="4" t="s">
        <v>155</v>
      </c>
      <c r="M1060" s="20"/>
      <c r="N1060" s="54">
        <v>10</v>
      </c>
      <c r="O1060" s="55">
        <v>1</v>
      </c>
      <c r="Q1060" s="57">
        <v>3</v>
      </c>
      <c r="R1060" s="58">
        <v>1</v>
      </c>
      <c r="S1060" s="59">
        <v>6</v>
      </c>
      <c r="T1060" s="67"/>
      <c r="V1060" s="4" t="s">
        <v>5779</v>
      </c>
      <c r="AL1060" s="67" t="s">
        <v>30</v>
      </c>
      <c r="AN1060" s="5"/>
      <c r="AO1060" s="5"/>
      <c r="AP1060" s="5"/>
      <c r="AU1060" s="1" t="s">
        <v>6221</v>
      </c>
    </row>
    <row r="1061" spans="1:48" ht="24" x14ac:dyDescent="0.2">
      <c r="A1061" s="1" t="s">
        <v>5801</v>
      </c>
      <c r="B1061" s="1" t="s">
        <v>5825</v>
      </c>
      <c r="C1061" s="1" t="s">
        <v>5777</v>
      </c>
      <c r="D1061" s="48">
        <v>6</v>
      </c>
      <c r="E1061" s="1">
        <v>3</v>
      </c>
      <c r="F1061" s="1" t="s">
        <v>7746</v>
      </c>
      <c r="G1061" s="1" t="s">
        <v>5780</v>
      </c>
      <c r="I1061" s="1" t="s">
        <v>94</v>
      </c>
      <c r="K1061" s="1" t="s">
        <v>944</v>
      </c>
      <c r="N1061" s="54">
        <v>34</v>
      </c>
      <c r="O1061" s="55" t="s">
        <v>113</v>
      </c>
      <c r="Q1061" s="57" t="s">
        <v>113</v>
      </c>
      <c r="R1061" s="58">
        <v>3</v>
      </c>
      <c r="S1061" s="59">
        <v>5</v>
      </c>
      <c r="V1061" s="4" t="s">
        <v>5781</v>
      </c>
      <c r="W1061" s="4" t="s">
        <v>5835</v>
      </c>
      <c r="AL1061" s="60" t="s">
        <v>30</v>
      </c>
    </row>
    <row r="1062" spans="1:48" ht="36" x14ac:dyDescent="0.2">
      <c r="A1062" s="1" t="s">
        <v>5801</v>
      </c>
      <c r="B1062" s="1" t="s">
        <v>5826</v>
      </c>
      <c r="C1062" s="1" t="s">
        <v>5777</v>
      </c>
      <c r="D1062" s="48">
        <v>7</v>
      </c>
      <c r="E1062" s="1">
        <v>4</v>
      </c>
      <c r="F1062" s="1" t="s">
        <v>7746</v>
      </c>
      <c r="G1062" s="1" t="s">
        <v>5782</v>
      </c>
      <c r="I1062" s="1" t="s">
        <v>104</v>
      </c>
      <c r="K1062" s="1" t="s">
        <v>1592</v>
      </c>
      <c r="O1062" s="55">
        <v>4</v>
      </c>
      <c r="T1062" s="60">
        <v>6</v>
      </c>
      <c r="V1062" s="4" t="s">
        <v>5783</v>
      </c>
      <c r="W1062" s="4" t="s">
        <v>5784</v>
      </c>
      <c r="AL1062" s="60" t="s">
        <v>30</v>
      </c>
      <c r="AU1062" s="1" t="s">
        <v>6222</v>
      </c>
    </row>
    <row r="1063" spans="1:48" ht="36" x14ac:dyDescent="0.2">
      <c r="A1063" s="1" t="s">
        <v>5801</v>
      </c>
      <c r="B1063" s="1" t="s">
        <v>5827</v>
      </c>
      <c r="C1063" s="1" t="s">
        <v>5777</v>
      </c>
      <c r="D1063" s="48">
        <v>8</v>
      </c>
      <c r="E1063" s="1">
        <v>3</v>
      </c>
      <c r="F1063" s="1" t="s">
        <v>7746</v>
      </c>
      <c r="G1063" s="1" t="s">
        <v>5785</v>
      </c>
      <c r="I1063" s="1" t="s">
        <v>82</v>
      </c>
      <c r="V1063" s="4" t="s">
        <v>5833</v>
      </c>
      <c r="W1063" s="4" t="s">
        <v>5834</v>
      </c>
      <c r="AL1063" s="60" t="s">
        <v>30</v>
      </c>
    </row>
    <row r="1064" spans="1:48" ht="24" x14ac:dyDescent="0.2">
      <c r="A1064" s="1" t="s">
        <v>5801</v>
      </c>
      <c r="B1064" s="1" t="s">
        <v>5828</v>
      </c>
      <c r="C1064" s="1" t="s">
        <v>5777</v>
      </c>
      <c r="D1064" s="48">
        <v>9</v>
      </c>
      <c r="E1064" s="1">
        <v>3</v>
      </c>
      <c r="F1064" s="1" t="s">
        <v>7746</v>
      </c>
      <c r="G1064" s="1" t="s">
        <v>5787</v>
      </c>
      <c r="I1064" s="1" t="s">
        <v>82</v>
      </c>
      <c r="L1064" s="2" t="s">
        <v>5774</v>
      </c>
      <c r="V1064" s="4" t="s">
        <v>5789</v>
      </c>
      <c r="W1064" s="4" t="s">
        <v>5791</v>
      </c>
      <c r="AL1064" s="60" t="s">
        <v>30</v>
      </c>
    </row>
    <row r="1065" spans="1:48" ht="96" x14ac:dyDescent="0.2">
      <c r="A1065" s="119" t="s">
        <v>10413</v>
      </c>
      <c r="B1065" s="119" t="s">
        <v>10415</v>
      </c>
      <c r="C1065" s="119" t="s">
        <v>5738</v>
      </c>
      <c r="D1065" s="119">
        <v>1</v>
      </c>
      <c r="E1065" s="119">
        <v>1</v>
      </c>
      <c r="F1065" s="119" t="s">
        <v>10500</v>
      </c>
      <c r="G1065" s="119" t="s">
        <v>4958</v>
      </c>
      <c r="I1065" s="1" t="s">
        <v>768</v>
      </c>
      <c r="K1065" s="4"/>
      <c r="L1065" s="4"/>
      <c r="N1065" s="54" t="s">
        <v>9529</v>
      </c>
      <c r="V1065" s="4" t="s">
        <v>769</v>
      </c>
      <c r="X1065" s="1" t="s">
        <v>279</v>
      </c>
      <c r="Y1065" s="1" t="s">
        <v>4958</v>
      </c>
      <c r="AA1065" s="1" t="s">
        <v>768</v>
      </c>
      <c r="AF1065" s="54" t="s">
        <v>9530</v>
      </c>
      <c r="AN1065" s="4" t="s">
        <v>10501</v>
      </c>
      <c r="AP1065" s="1"/>
      <c r="AQ1065" s="1"/>
    </row>
    <row r="1066" spans="1:48" ht="48" x14ac:dyDescent="0.2">
      <c r="A1066" s="1" t="s">
        <v>10413</v>
      </c>
      <c r="B1066" s="1" t="s">
        <v>10416</v>
      </c>
      <c r="C1066" s="1" t="s">
        <v>5738</v>
      </c>
      <c r="D1066" s="1">
        <v>2</v>
      </c>
      <c r="E1066" s="1">
        <v>3</v>
      </c>
      <c r="F1066" s="1" t="s">
        <v>10500</v>
      </c>
      <c r="G1066" s="1" t="s">
        <v>10417</v>
      </c>
      <c r="I1066" s="1" t="s">
        <v>94</v>
      </c>
      <c r="K1066" s="4" t="s">
        <v>10418</v>
      </c>
      <c r="L1066" s="4" t="s">
        <v>3261</v>
      </c>
      <c r="N1066" s="54">
        <v>20</v>
      </c>
      <c r="O1066" s="55">
        <v>2</v>
      </c>
      <c r="Q1066" s="57">
        <v>3</v>
      </c>
      <c r="R1066" s="58">
        <v>2</v>
      </c>
      <c r="S1066" s="59">
        <v>4</v>
      </c>
      <c r="V1066" s="4" t="s">
        <v>10419</v>
      </c>
      <c r="AP1066" s="1"/>
      <c r="AQ1066" s="1"/>
    </row>
    <row r="1067" spans="1:48" ht="24" x14ac:dyDescent="0.2">
      <c r="A1067" s="1" t="s">
        <v>10413</v>
      </c>
      <c r="B1067" s="1" t="s">
        <v>10420</v>
      </c>
      <c r="C1067" s="1" t="s">
        <v>5738</v>
      </c>
      <c r="D1067" s="1">
        <v>3</v>
      </c>
      <c r="E1067" s="1">
        <v>4</v>
      </c>
      <c r="F1067" s="1" t="s">
        <v>10500</v>
      </c>
      <c r="G1067" s="1" t="s">
        <v>10421</v>
      </c>
      <c r="I1067" s="1" t="s">
        <v>94</v>
      </c>
      <c r="K1067" s="4" t="s">
        <v>944</v>
      </c>
      <c r="L1067" s="4"/>
      <c r="N1067" s="54">
        <v>28</v>
      </c>
      <c r="O1067" s="55">
        <v>2</v>
      </c>
      <c r="Q1067" s="57">
        <v>3</v>
      </c>
      <c r="R1067" s="58">
        <v>3</v>
      </c>
      <c r="S1067" s="59">
        <v>6</v>
      </c>
      <c r="V1067" s="4" t="s">
        <v>10422</v>
      </c>
      <c r="W1067" s="4" t="s">
        <v>10423</v>
      </c>
      <c r="AP1067" s="1"/>
      <c r="AQ1067" s="1"/>
    </row>
    <row r="1068" spans="1:48" ht="60" x14ac:dyDescent="0.2">
      <c r="A1068" s="1" t="s">
        <v>10413</v>
      </c>
      <c r="B1068" s="1" t="s">
        <v>10424</v>
      </c>
      <c r="C1068" s="1" t="s">
        <v>5738</v>
      </c>
      <c r="D1068" s="1">
        <v>4</v>
      </c>
      <c r="E1068" s="1">
        <v>3</v>
      </c>
      <c r="F1068" s="1" t="s">
        <v>10500</v>
      </c>
      <c r="G1068" s="1" t="s">
        <v>10425</v>
      </c>
      <c r="I1068" s="1" t="s">
        <v>94</v>
      </c>
      <c r="K1068" s="4" t="s">
        <v>10426</v>
      </c>
      <c r="L1068" s="4"/>
      <c r="N1068" s="54">
        <v>42</v>
      </c>
      <c r="O1068" s="55">
        <v>4</v>
      </c>
      <c r="Q1068" s="57">
        <v>6</v>
      </c>
      <c r="R1068" s="58">
        <v>4</v>
      </c>
      <c r="S1068" s="59">
        <v>10</v>
      </c>
      <c r="U1068" s="1">
        <v>1</v>
      </c>
      <c r="V1068" s="4" t="s">
        <v>10427</v>
      </c>
      <c r="AP1068" s="1"/>
      <c r="AQ1068" s="1"/>
    </row>
    <row r="1069" spans="1:48" ht="48" x14ac:dyDescent="0.2">
      <c r="A1069" s="1" t="s">
        <v>10413</v>
      </c>
      <c r="B1069" s="1" t="s">
        <v>10428</v>
      </c>
      <c r="C1069" s="1" t="s">
        <v>5738</v>
      </c>
      <c r="D1069" s="1">
        <v>5</v>
      </c>
      <c r="E1069" s="1">
        <v>3</v>
      </c>
      <c r="F1069" s="1" t="s">
        <v>10500</v>
      </c>
      <c r="G1069" s="1" t="s">
        <v>10429</v>
      </c>
      <c r="I1069" s="1" t="s">
        <v>104</v>
      </c>
      <c r="K1069" s="4" t="s">
        <v>4970</v>
      </c>
      <c r="L1069" s="4"/>
      <c r="O1069" s="55" t="s">
        <v>113</v>
      </c>
      <c r="T1069" s="60">
        <v>6</v>
      </c>
      <c r="V1069" s="4" t="s">
        <v>10430</v>
      </c>
      <c r="W1069" s="4" t="s">
        <v>10502</v>
      </c>
      <c r="AP1069" s="1"/>
      <c r="AQ1069" s="1"/>
    </row>
    <row r="1070" spans="1:48" ht="24" x14ac:dyDescent="0.2">
      <c r="A1070" s="1" t="s">
        <v>10413</v>
      </c>
      <c r="B1070" s="1" t="s">
        <v>10431</v>
      </c>
      <c r="C1070" s="1" t="s">
        <v>5738</v>
      </c>
      <c r="D1070" s="1">
        <v>6</v>
      </c>
      <c r="E1070" s="1">
        <v>3</v>
      </c>
      <c r="F1070" s="1" t="s">
        <v>10500</v>
      </c>
      <c r="G1070" s="1" t="s">
        <v>10432</v>
      </c>
      <c r="I1070" s="1" t="s">
        <v>104</v>
      </c>
      <c r="K1070" s="4" t="s">
        <v>10433</v>
      </c>
      <c r="L1070" s="4"/>
      <c r="O1070" s="55">
        <v>3</v>
      </c>
      <c r="T1070" s="60">
        <v>3</v>
      </c>
      <c r="V1070" s="4" t="s">
        <v>10434</v>
      </c>
      <c r="W1070" s="4" t="s">
        <v>10502</v>
      </c>
      <c r="AP1070" s="1"/>
      <c r="AQ1070" s="1"/>
    </row>
    <row r="1071" spans="1:48" ht="84" x14ac:dyDescent="0.2">
      <c r="A1071" s="1" t="s">
        <v>10413</v>
      </c>
      <c r="B1071" s="1" t="s">
        <v>10435</v>
      </c>
      <c r="C1071" s="1" t="s">
        <v>5738</v>
      </c>
      <c r="D1071" s="1">
        <v>7</v>
      </c>
      <c r="E1071" s="1">
        <v>2</v>
      </c>
      <c r="F1071" s="1" t="s">
        <v>10500</v>
      </c>
      <c r="G1071" s="1" t="s">
        <v>10436</v>
      </c>
      <c r="I1071" s="1" t="s">
        <v>82</v>
      </c>
      <c r="K1071" s="4" t="s">
        <v>4986</v>
      </c>
      <c r="L1071" s="4"/>
      <c r="V1071" s="4" t="s">
        <v>10509</v>
      </c>
      <c r="AP1071" s="1"/>
      <c r="AQ1071" s="1"/>
    </row>
    <row r="1072" spans="1:48" ht="48" x14ac:dyDescent="0.2">
      <c r="A1072" s="1" t="s">
        <v>10413</v>
      </c>
      <c r="B1072" s="1" t="s">
        <v>10437</v>
      </c>
      <c r="C1072" s="1" t="s">
        <v>5738</v>
      </c>
      <c r="D1072" s="1">
        <v>8</v>
      </c>
      <c r="E1072" s="1">
        <v>2</v>
      </c>
      <c r="F1072" s="1" t="s">
        <v>10500</v>
      </c>
      <c r="G1072" s="1" t="s">
        <v>10438</v>
      </c>
      <c r="I1072" s="1" t="s">
        <v>82</v>
      </c>
      <c r="K1072" s="4"/>
      <c r="L1072" s="4"/>
      <c r="V1072" s="4" t="s">
        <v>10439</v>
      </c>
      <c r="AP1072" s="1"/>
      <c r="AQ1072" s="1"/>
    </row>
    <row r="1073" spans="1:43" ht="60" x14ac:dyDescent="0.2">
      <c r="A1073" s="111" t="s">
        <v>10413</v>
      </c>
      <c r="B1073" s="111" t="s">
        <v>10440</v>
      </c>
      <c r="C1073" s="111" t="s">
        <v>5743</v>
      </c>
      <c r="D1073" s="111">
        <v>1</v>
      </c>
      <c r="E1073" s="111">
        <v>1</v>
      </c>
      <c r="F1073" s="111" t="s">
        <v>10441</v>
      </c>
      <c r="G1073" s="111" t="s">
        <v>2997</v>
      </c>
      <c r="I1073" s="1" t="s">
        <v>768</v>
      </c>
      <c r="K1073" s="4"/>
      <c r="L1073" s="4"/>
      <c r="N1073" s="54" t="s">
        <v>9529</v>
      </c>
      <c r="V1073" s="4" t="s">
        <v>769</v>
      </c>
      <c r="X1073" s="1" t="s">
        <v>1681</v>
      </c>
      <c r="Y1073" s="1" t="s">
        <v>2997</v>
      </c>
      <c r="AA1073" s="1" t="s">
        <v>768</v>
      </c>
      <c r="AF1073" s="54" t="s">
        <v>9530</v>
      </c>
      <c r="AN1073" s="4" t="s">
        <v>10503</v>
      </c>
      <c r="AP1073" s="1"/>
      <c r="AQ1073" s="1"/>
    </row>
    <row r="1074" spans="1:43" ht="96" x14ac:dyDescent="0.2">
      <c r="A1074" s="1" t="s">
        <v>10413</v>
      </c>
      <c r="B1074" s="1" t="s">
        <v>10442</v>
      </c>
      <c r="C1074" s="1" t="s">
        <v>5743</v>
      </c>
      <c r="D1074" s="1">
        <v>2</v>
      </c>
      <c r="E1074" s="1">
        <v>1</v>
      </c>
      <c r="F1074" s="1" t="s">
        <v>10441</v>
      </c>
      <c r="G1074" s="1" t="s">
        <v>10443</v>
      </c>
      <c r="I1074" s="1" t="s">
        <v>125</v>
      </c>
      <c r="K1074" s="4"/>
      <c r="L1074" s="4"/>
      <c r="M1074" s="18">
        <v>2</v>
      </c>
      <c r="N1074" s="54" t="s">
        <v>9529</v>
      </c>
      <c r="V1074" s="4" t="s">
        <v>10444</v>
      </c>
      <c r="Y1074" s="1" t="s">
        <v>10443</v>
      </c>
      <c r="AA1074" s="1" t="s">
        <v>125</v>
      </c>
      <c r="AE1074" s="1">
        <v>2</v>
      </c>
      <c r="AF1074" s="54" t="s">
        <v>9530</v>
      </c>
      <c r="AL1074" s="60">
        <v>12</v>
      </c>
      <c r="AN1074" s="4" t="s">
        <v>10504</v>
      </c>
      <c r="AP1074" s="1"/>
      <c r="AQ1074" s="1"/>
    </row>
    <row r="1075" spans="1:43" ht="24" x14ac:dyDescent="0.2">
      <c r="A1075" s="1" t="s">
        <v>10413</v>
      </c>
      <c r="B1075" s="1" t="s">
        <v>10445</v>
      </c>
      <c r="C1075" s="1" t="s">
        <v>5743</v>
      </c>
      <c r="D1075" s="1">
        <v>3</v>
      </c>
      <c r="E1075" s="1">
        <v>3</v>
      </c>
      <c r="F1075" s="1" t="s">
        <v>10441</v>
      </c>
      <c r="G1075" s="1" t="s">
        <v>10446</v>
      </c>
      <c r="I1075" s="1" t="s">
        <v>94</v>
      </c>
      <c r="K1075" s="4" t="s">
        <v>2690</v>
      </c>
      <c r="L1075" s="4" t="s">
        <v>3025</v>
      </c>
      <c r="N1075" s="54">
        <v>5</v>
      </c>
      <c r="O1075" s="55">
        <v>3</v>
      </c>
      <c r="Q1075" s="57">
        <v>5</v>
      </c>
      <c r="R1075" s="58">
        <v>3</v>
      </c>
      <c r="S1075" s="59">
        <v>5</v>
      </c>
      <c r="V1075" s="4" t="s">
        <v>10447</v>
      </c>
      <c r="W1075" s="4" t="s">
        <v>10448</v>
      </c>
      <c r="AP1075" s="1"/>
      <c r="AQ1075" s="1"/>
    </row>
    <row r="1076" spans="1:43" ht="24" x14ac:dyDescent="0.2">
      <c r="A1076" s="1" t="s">
        <v>10413</v>
      </c>
      <c r="B1076" s="1" t="s">
        <v>10449</v>
      </c>
      <c r="C1076" s="1" t="s">
        <v>5743</v>
      </c>
      <c r="D1076" s="1">
        <v>4</v>
      </c>
      <c r="E1076" s="1">
        <v>3</v>
      </c>
      <c r="F1076" s="1" t="s">
        <v>10441</v>
      </c>
      <c r="G1076" s="1" t="s">
        <v>10450</v>
      </c>
      <c r="I1076" s="1" t="s">
        <v>94</v>
      </c>
      <c r="K1076" s="4" t="s">
        <v>604</v>
      </c>
      <c r="L1076" s="4" t="s">
        <v>3025</v>
      </c>
      <c r="N1076" s="54">
        <v>30</v>
      </c>
      <c r="O1076" s="55">
        <v>3</v>
      </c>
      <c r="Q1076" s="57">
        <v>3</v>
      </c>
      <c r="R1076" s="58">
        <v>2</v>
      </c>
      <c r="S1076" s="59">
        <v>3</v>
      </c>
      <c r="V1076" s="4" t="s">
        <v>10451</v>
      </c>
      <c r="W1076" s="4" t="s">
        <v>10452</v>
      </c>
      <c r="AP1076" s="1"/>
      <c r="AQ1076" s="1"/>
    </row>
    <row r="1077" spans="1:43" ht="48" x14ac:dyDescent="0.2">
      <c r="A1077" s="1" t="s">
        <v>10413</v>
      </c>
      <c r="B1077" s="1" t="s">
        <v>10453</v>
      </c>
      <c r="C1077" s="1" t="s">
        <v>5743</v>
      </c>
      <c r="D1077" s="1">
        <v>5</v>
      </c>
      <c r="E1077" s="1">
        <v>2</v>
      </c>
      <c r="F1077" s="1" t="s">
        <v>10441</v>
      </c>
      <c r="G1077" s="1" t="s">
        <v>10454</v>
      </c>
      <c r="I1077" s="1" t="s">
        <v>94</v>
      </c>
      <c r="K1077" s="4" t="s">
        <v>10455</v>
      </c>
      <c r="L1077" s="4" t="s">
        <v>3025</v>
      </c>
      <c r="N1077" s="54">
        <v>34</v>
      </c>
      <c r="O1077" s="55">
        <v>2</v>
      </c>
      <c r="Q1077" s="57">
        <v>5</v>
      </c>
      <c r="R1077" s="58">
        <v>1</v>
      </c>
      <c r="S1077" s="59">
        <v>7</v>
      </c>
      <c r="V1077" s="4" t="s">
        <v>10456</v>
      </c>
      <c r="AP1077" s="1"/>
      <c r="AQ1077" s="1"/>
    </row>
    <row r="1078" spans="1:43" ht="36" x14ac:dyDescent="0.2">
      <c r="A1078" s="1" t="s">
        <v>10413</v>
      </c>
      <c r="B1078" s="1" t="s">
        <v>10457</v>
      </c>
      <c r="C1078" s="1" t="s">
        <v>5743</v>
      </c>
      <c r="D1078" s="1">
        <v>6</v>
      </c>
      <c r="E1078" s="1">
        <v>2</v>
      </c>
      <c r="F1078" s="1" t="s">
        <v>10441</v>
      </c>
      <c r="G1078" s="1" t="s">
        <v>10458</v>
      </c>
      <c r="I1078" s="1" t="s">
        <v>94</v>
      </c>
      <c r="K1078" s="4" t="s">
        <v>604</v>
      </c>
      <c r="L1078" s="4" t="s">
        <v>155</v>
      </c>
      <c r="N1078" s="54">
        <v>16</v>
      </c>
      <c r="O1078" s="55">
        <v>1</v>
      </c>
      <c r="Q1078" s="57">
        <v>3</v>
      </c>
      <c r="R1078" s="58">
        <v>2</v>
      </c>
      <c r="S1078" s="59">
        <v>5</v>
      </c>
      <c r="V1078" s="4" t="s">
        <v>10459</v>
      </c>
      <c r="AP1078" s="1"/>
      <c r="AQ1078" s="1"/>
    </row>
    <row r="1079" spans="1:43" ht="24" x14ac:dyDescent="0.2">
      <c r="A1079" s="1" t="s">
        <v>10413</v>
      </c>
      <c r="B1079" s="1" t="s">
        <v>10460</v>
      </c>
      <c r="C1079" s="1" t="s">
        <v>5743</v>
      </c>
      <c r="D1079" s="1">
        <v>7</v>
      </c>
      <c r="E1079" s="1">
        <v>3</v>
      </c>
      <c r="F1079" s="1" t="s">
        <v>10441</v>
      </c>
      <c r="G1079" s="1" t="s">
        <v>10461</v>
      </c>
      <c r="I1079" s="1" t="s">
        <v>104</v>
      </c>
      <c r="K1079" s="4" t="s">
        <v>1217</v>
      </c>
      <c r="L1079" s="4"/>
      <c r="O1079" s="55">
        <v>1</v>
      </c>
      <c r="T1079" s="60">
        <v>7</v>
      </c>
      <c r="V1079" s="4" t="s">
        <v>10462</v>
      </c>
      <c r="W1079" s="4" t="s">
        <v>10463</v>
      </c>
      <c r="AP1079" s="1"/>
      <c r="AQ1079" s="1"/>
    </row>
    <row r="1080" spans="1:43" ht="36" x14ac:dyDescent="0.2">
      <c r="A1080" s="1" t="s">
        <v>10413</v>
      </c>
      <c r="B1080" s="1" t="s">
        <v>10464</v>
      </c>
      <c r="C1080" s="1" t="s">
        <v>5743</v>
      </c>
      <c r="D1080" s="1">
        <v>8</v>
      </c>
      <c r="E1080" s="1">
        <v>3</v>
      </c>
      <c r="F1080" s="1" t="s">
        <v>10441</v>
      </c>
      <c r="G1080" s="1" t="s">
        <v>10465</v>
      </c>
      <c r="I1080" s="1" t="s">
        <v>104</v>
      </c>
      <c r="K1080" s="4" t="s">
        <v>105</v>
      </c>
      <c r="L1080" s="4"/>
      <c r="O1080" s="55">
        <v>4</v>
      </c>
      <c r="T1080" s="60">
        <v>4</v>
      </c>
      <c r="V1080" s="4" t="s">
        <v>10466</v>
      </c>
      <c r="W1080" s="4" t="s">
        <v>10467</v>
      </c>
      <c r="AP1080" s="1"/>
      <c r="AQ1080" s="1"/>
    </row>
    <row r="1081" spans="1:43" ht="60" x14ac:dyDescent="0.2">
      <c r="A1081" s="1" t="s">
        <v>10413</v>
      </c>
      <c r="B1081" s="1" t="s">
        <v>10468</v>
      </c>
      <c r="C1081" s="1" t="s">
        <v>5743</v>
      </c>
      <c r="D1081" s="1">
        <v>9</v>
      </c>
      <c r="E1081" s="1">
        <v>2</v>
      </c>
      <c r="F1081" s="1" t="s">
        <v>10441</v>
      </c>
      <c r="G1081" s="1" t="s">
        <v>10469</v>
      </c>
      <c r="I1081" s="1" t="s">
        <v>82</v>
      </c>
      <c r="K1081" s="4"/>
      <c r="L1081" s="4"/>
      <c r="V1081" s="4" t="s">
        <v>10470</v>
      </c>
      <c r="AP1081" s="1"/>
      <c r="AQ1081" s="1"/>
    </row>
    <row r="1082" spans="1:43" ht="108" x14ac:dyDescent="0.2">
      <c r="A1082" s="111" t="s">
        <v>10413</v>
      </c>
      <c r="B1082" s="111" t="s">
        <v>10471</v>
      </c>
      <c r="C1082" s="111" t="s">
        <v>5744</v>
      </c>
      <c r="D1082" s="111">
        <v>1</v>
      </c>
      <c r="E1082" s="111">
        <v>1</v>
      </c>
      <c r="F1082" s="111" t="s">
        <v>10472</v>
      </c>
      <c r="G1082" s="111" t="s">
        <v>5248</v>
      </c>
      <c r="I1082" s="1" t="s">
        <v>768</v>
      </c>
      <c r="K1082" s="4"/>
      <c r="L1082" s="4"/>
      <c r="N1082" s="54" t="s">
        <v>9529</v>
      </c>
      <c r="V1082" s="4" t="s">
        <v>10608</v>
      </c>
      <c r="X1082" s="1" t="s">
        <v>1672</v>
      </c>
      <c r="Y1082" s="1" t="s">
        <v>5248</v>
      </c>
      <c r="AA1082" s="1" t="s">
        <v>768</v>
      </c>
      <c r="AF1082" s="54" t="s">
        <v>9530</v>
      </c>
      <c r="AN1082" s="4" t="s">
        <v>10473</v>
      </c>
      <c r="AP1082" s="1"/>
      <c r="AQ1082" s="1"/>
    </row>
    <row r="1083" spans="1:43" ht="60" x14ac:dyDescent="0.2">
      <c r="A1083" s="1" t="s">
        <v>10413</v>
      </c>
      <c r="B1083" s="1" t="s">
        <v>10474</v>
      </c>
      <c r="C1083" s="1" t="s">
        <v>5744</v>
      </c>
      <c r="D1083" s="1">
        <v>2</v>
      </c>
      <c r="E1083" s="1">
        <v>1</v>
      </c>
      <c r="F1083" s="1" t="s">
        <v>10472</v>
      </c>
      <c r="G1083" s="1" t="s">
        <v>5302</v>
      </c>
      <c r="H1083" s="1" t="s">
        <v>26</v>
      </c>
      <c r="I1083" s="1" t="s">
        <v>94</v>
      </c>
      <c r="K1083" s="4" t="s">
        <v>10475</v>
      </c>
      <c r="L1083" s="4"/>
      <c r="N1083" s="54">
        <v>50</v>
      </c>
      <c r="O1083" s="55">
        <v>4</v>
      </c>
      <c r="Q1083" s="57">
        <v>7</v>
      </c>
      <c r="R1083" s="58">
        <v>7</v>
      </c>
      <c r="S1083" s="59">
        <v>21</v>
      </c>
      <c r="U1083" s="1">
        <v>3</v>
      </c>
      <c r="V1083" s="4" t="s">
        <v>10476</v>
      </c>
      <c r="AP1083" s="1"/>
      <c r="AQ1083" s="1"/>
    </row>
    <row r="1084" spans="1:43" ht="60" x14ac:dyDescent="0.2">
      <c r="A1084" s="1" t="s">
        <v>10413</v>
      </c>
      <c r="B1084" s="1" t="s">
        <v>10477</v>
      </c>
      <c r="C1084" s="1" t="s">
        <v>5744</v>
      </c>
      <c r="D1084" s="1">
        <v>3</v>
      </c>
      <c r="E1084" s="1">
        <v>3</v>
      </c>
      <c r="F1084" s="1" t="s">
        <v>10472</v>
      </c>
      <c r="G1084" s="1" t="s">
        <v>10478</v>
      </c>
      <c r="I1084" s="1" t="s">
        <v>94</v>
      </c>
      <c r="K1084" s="4" t="s">
        <v>5257</v>
      </c>
      <c r="L1084" s="4"/>
      <c r="N1084" s="54">
        <v>46</v>
      </c>
      <c r="O1084" s="55">
        <v>4</v>
      </c>
      <c r="Q1084" s="57">
        <v>4</v>
      </c>
      <c r="R1084" s="58">
        <v>0</v>
      </c>
      <c r="S1084" s="59">
        <v>3</v>
      </c>
      <c r="V1084" s="4" t="s">
        <v>10479</v>
      </c>
      <c r="AP1084" s="1"/>
      <c r="AQ1084" s="1"/>
    </row>
    <row r="1085" spans="1:43" ht="60" x14ac:dyDescent="0.2">
      <c r="A1085" s="1" t="s">
        <v>10413</v>
      </c>
      <c r="B1085" s="1" t="s">
        <v>10480</v>
      </c>
      <c r="C1085" s="1" t="s">
        <v>5744</v>
      </c>
      <c r="D1085" s="1">
        <v>4</v>
      </c>
      <c r="E1085" s="1">
        <v>4</v>
      </c>
      <c r="F1085" s="1" t="s">
        <v>10472</v>
      </c>
      <c r="G1085" s="1" t="s">
        <v>10481</v>
      </c>
      <c r="I1085" s="1" t="s">
        <v>94</v>
      </c>
      <c r="K1085" s="4" t="s">
        <v>5257</v>
      </c>
      <c r="L1085" s="4"/>
      <c r="N1085" s="54">
        <v>10</v>
      </c>
      <c r="O1085" s="55">
        <v>2</v>
      </c>
      <c r="Q1085" s="57">
        <v>5</v>
      </c>
      <c r="R1085" s="58">
        <v>1</v>
      </c>
      <c r="S1085" s="59">
        <v>4</v>
      </c>
      <c r="V1085" s="4" t="s">
        <v>10482</v>
      </c>
      <c r="AP1085" s="1"/>
      <c r="AQ1085" s="1"/>
    </row>
    <row r="1086" spans="1:43" ht="24" x14ac:dyDescent="0.2">
      <c r="A1086" s="1" t="s">
        <v>10413</v>
      </c>
      <c r="B1086" s="1" t="s">
        <v>10483</v>
      </c>
      <c r="C1086" s="1" t="s">
        <v>5744</v>
      </c>
      <c r="D1086" s="1">
        <v>5</v>
      </c>
      <c r="E1086" s="1">
        <v>3</v>
      </c>
      <c r="F1086" s="1" t="s">
        <v>10472</v>
      </c>
      <c r="G1086" s="1" t="s">
        <v>10484</v>
      </c>
      <c r="I1086" s="1" t="s">
        <v>104</v>
      </c>
      <c r="K1086" s="4" t="s">
        <v>10485</v>
      </c>
      <c r="L1086" s="4"/>
      <c r="O1086" s="55">
        <v>3</v>
      </c>
      <c r="T1086" s="60">
        <v>3</v>
      </c>
      <c r="V1086" s="4" t="s">
        <v>10597</v>
      </c>
      <c r="W1086" s="4" t="s">
        <v>10486</v>
      </c>
      <c r="AP1086" s="1"/>
      <c r="AQ1086" s="1"/>
    </row>
    <row r="1087" spans="1:43" ht="60" x14ac:dyDescent="0.2">
      <c r="A1087" s="1" t="s">
        <v>10413</v>
      </c>
      <c r="B1087" s="1" t="s">
        <v>10487</v>
      </c>
      <c r="C1087" s="1" t="s">
        <v>5744</v>
      </c>
      <c r="D1087" s="1">
        <v>6</v>
      </c>
      <c r="E1087" s="1">
        <v>3</v>
      </c>
      <c r="F1087" s="1" t="s">
        <v>10472</v>
      </c>
      <c r="G1087" s="1" t="s">
        <v>10488</v>
      </c>
      <c r="I1087" s="1" t="s">
        <v>104</v>
      </c>
      <c r="K1087" s="4" t="s">
        <v>5271</v>
      </c>
      <c r="L1087" s="4"/>
      <c r="O1087" s="55">
        <v>3</v>
      </c>
      <c r="T1087" s="60">
        <v>5</v>
      </c>
      <c r="V1087" s="4" t="s">
        <v>10489</v>
      </c>
      <c r="AP1087" s="1"/>
      <c r="AQ1087" s="1"/>
    </row>
    <row r="1088" spans="1:43" ht="36" x14ac:dyDescent="0.2">
      <c r="A1088" s="1" t="s">
        <v>10413</v>
      </c>
      <c r="B1088" s="1" t="s">
        <v>10490</v>
      </c>
      <c r="C1088" s="1" t="s">
        <v>5744</v>
      </c>
      <c r="D1088" s="1">
        <v>7</v>
      </c>
      <c r="E1088" s="1">
        <v>2</v>
      </c>
      <c r="F1088" s="1" t="s">
        <v>10472</v>
      </c>
      <c r="G1088" s="1" t="s">
        <v>10491</v>
      </c>
      <c r="I1088" s="1" t="s">
        <v>82</v>
      </c>
      <c r="K1088" s="4"/>
      <c r="L1088" s="4"/>
      <c r="V1088" s="4" t="s">
        <v>10492</v>
      </c>
      <c r="W1088" s="4" t="s">
        <v>10493</v>
      </c>
      <c r="AP1088" s="1"/>
      <c r="AQ1088" s="1"/>
    </row>
    <row r="1089" spans="1:43" ht="36" x14ac:dyDescent="0.2">
      <c r="A1089" s="1" t="s">
        <v>10413</v>
      </c>
      <c r="B1089" s="1" t="s">
        <v>10494</v>
      </c>
      <c r="C1089" s="1" t="s">
        <v>5744</v>
      </c>
      <c r="D1089" s="1">
        <v>8</v>
      </c>
      <c r="E1089" s="1">
        <v>3</v>
      </c>
      <c r="F1089" s="1" t="s">
        <v>10472</v>
      </c>
      <c r="G1089" s="1" t="s">
        <v>10495</v>
      </c>
      <c r="I1089" s="1" t="s">
        <v>82</v>
      </c>
      <c r="K1089" s="4"/>
      <c r="L1089" s="4" t="s">
        <v>155</v>
      </c>
      <c r="V1089" s="4" t="s">
        <v>10496</v>
      </c>
      <c r="AP1089" s="1"/>
      <c r="AQ1089" s="1"/>
    </row>
    <row r="1090" spans="1:43" ht="60" x14ac:dyDescent="0.2">
      <c r="A1090" s="111" t="s">
        <v>10413</v>
      </c>
      <c r="B1090" s="111" t="s">
        <v>10654</v>
      </c>
      <c r="C1090" s="111" t="s">
        <v>10497</v>
      </c>
      <c r="D1090" s="111">
        <v>1</v>
      </c>
      <c r="E1090" s="111">
        <v>1</v>
      </c>
      <c r="F1090" s="111" t="s">
        <v>10584</v>
      </c>
      <c r="G1090" s="111" t="s">
        <v>4701</v>
      </c>
      <c r="I1090" s="1" t="s">
        <v>768</v>
      </c>
      <c r="K1090" s="4"/>
      <c r="L1090" s="4"/>
      <c r="N1090" s="54" t="s">
        <v>9529</v>
      </c>
      <c r="V1090" s="4" t="s">
        <v>10607</v>
      </c>
      <c r="X1090" s="1" t="s">
        <v>1681</v>
      </c>
      <c r="Y1090" s="1" t="s">
        <v>4701</v>
      </c>
      <c r="AA1090" s="1" t="s">
        <v>768</v>
      </c>
      <c r="AF1090" s="54" t="s">
        <v>9530</v>
      </c>
      <c r="AN1090" s="4" t="s">
        <v>10585</v>
      </c>
      <c r="AP1090" s="1"/>
      <c r="AQ1090" s="1"/>
    </row>
    <row r="1091" spans="1:43" ht="60" x14ac:dyDescent="0.2">
      <c r="A1091" s="1" t="s">
        <v>10413</v>
      </c>
      <c r="B1091" s="1" t="s">
        <v>10655</v>
      </c>
      <c r="C1091" s="1" t="s">
        <v>10497</v>
      </c>
      <c r="D1091" s="1">
        <v>2</v>
      </c>
      <c r="E1091" s="1">
        <v>4</v>
      </c>
      <c r="F1091" s="1" t="s">
        <v>10584</v>
      </c>
      <c r="G1091" s="1" t="s">
        <v>10586</v>
      </c>
      <c r="I1091" s="1" t="s">
        <v>94</v>
      </c>
      <c r="K1091" s="4" t="s">
        <v>604</v>
      </c>
      <c r="L1091" s="4"/>
      <c r="N1091" s="54">
        <v>28</v>
      </c>
      <c r="O1091" s="55">
        <v>3</v>
      </c>
      <c r="Q1091" s="57">
        <v>2</v>
      </c>
      <c r="R1091" s="58">
        <v>2</v>
      </c>
      <c r="S1091" s="59">
        <v>3</v>
      </c>
      <c r="U1091" s="1" t="s">
        <v>4702</v>
      </c>
      <c r="V1091" s="4" t="s">
        <v>10587</v>
      </c>
      <c r="AP1091" s="1"/>
      <c r="AQ1091" s="1"/>
    </row>
    <row r="1092" spans="1:43" ht="60" x14ac:dyDescent="0.2">
      <c r="A1092" s="1" t="s">
        <v>10413</v>
      </c>
      <c r="B1092" s="1" t="s">
        <v>10656</v>
      </c>
      <c r="C1092" s="1" t="s">
        <v>10497</v>
      </c>
      <c r="D1092" s="1">
        <v>3</v>
      </c>
      <c r="E1092" s="1">
        <v>3</v>
      </c>
      <c r="F1092" s="1" t="s">
        <v>10584</v>
      </c>
      <c r="G1092" s="1" t="s">
        <v>10588</v>
      </c>
      <c r="I1092" s="1" t="s">
        <v>94</v>
      </c>
      <c r="K1092" s="4" t="s">
        <v>10589</v>
      </c>
      <c r="L1092" s="4"/>
      <c r="N1092" s="54">
        <v>42</v>
      </c>
      <c r="O1092" s="55">
        <v>4</v>
      </c>
      <c r="Q1092" s="57">
        <v>5</v>
      </c>
      <c r="R1092" s="58">
        <v>3</v>
      </c>
      <c r="S1092" s="59">
        <v>6</v>
      </c>
      <c r="U1092" s="1" t="s">
        <v>4702</v>
      </c>
      <c r="V1092" s="4" t="s">
        <v>10590</v>
      </c>
      <c r="AP1092" s="1"/>
      <c r="AQ1092" s="1"/>
    </row>
    <row r="1093" spans="1:43" ht="24" x14ac:dyDescent="0.2">
      <c r="A1093" s="1" t="s">
        <v>10413</v>
      </c>
      <c r="B1093" s="1" t="s">
        <v>10657</v>
      </c>
      <c r="C1093" s="1" t="s">
        <v>10497</v>
      </c>
      <c r="D1093" s="1">
        <v>4</v>
      </c>
      <c r="E1093" s="1">
        <v>2</v>
      </c>
      <c r="F1093" s="1" t="s">
        <v>10584</v>
      </c>
      <c r="G1093" s="1" t="s">
        <v>10591</v>
      </c>
      <c r="I1093" s="1" t="s">
        <v>94</v>
      </c>
      <c r="K1093" s="4" t="s">
        <v>2266</v>
      </c>
      <c r="L1093" s="4"/>
      <c r="N1093" s="54">
        <v>12</v>
      </c>
      <c r="O1093" s="55">
        <v>2</v>
      </c>
      <c r="Q1093" s="57">
        <v>4</v>
      </c>
      <c r="R1093" s="58">
        <v>2</v>
      </c>
      <c r="S1093" s="59">
        <v>5</v>
      </c>
      <c r="V1093" s="4" t="s">
        <v>10592</v>
      </c>
      <c r="W1093" s="4" t="s">
        <v>10593</v>
      </c>
      <c r="AP1093" s="1"/>
      <c r="AQ1093" s="1"/>
    </row>
    <row r="1094" spans="1:43" ht="36" x14ac:dyDescent="0.2">
      <c r="A1094" s="1" t="s">
        <v>10413</v>
      </c>
      <c r="B1094" s="1" t="s">
        <v>10658</v>
      </c>
      <c r="C1094" s="1" t="s">
        <v>10497</v>
      </c>
      <c r="D1094" s="1">
        <v>5</v>
      </c>
      <c r="E1094" s="1">
        <v>2</v>
      </c>
      <c r="F1094" s="1" t="s">
        <v>10584</v>
      </c>
      <c r="G1094" s="1" t="s">
        <v>10594</v>
      </c>
      <c r="I1094" s="1" t="s">
        <v>104</v>
      </c>
      <c r="K1094" s="4" t="s">
        <v>1112</v>
      </c>
      <c r="L1094" s="4"/>
      <c r="O1094" s="55">
        <v>5</v>
      </c>
      <c r="T1094" s="60">
        <v>4</v>
      </c>
      <c r="V1094" s="4" t="s">
        <v>10595</v>
      </c>
      <c r="W1094" s="4" t="s">
        <v>10596</v>
      </c>
      <c r="AP1094" s="1"/>
      <c r="AQ1094" s="1"/>
    </row>
    <row r="1095" spans="1:43" ht="24" x14ac:dyDescent="0.2">
      <c r="A1095" s="1" t="s">
        <v>10413</v>
      </c>
      <c r="B1095" s="1" t="s">
        <v>10659</v>
      </c>
      <c r="C1095" s="1" t="s">
        <v>10497</v>
      </c>
      <c r="D1095" s="1">
        <v>6</v>
      </c>
      <c r="E1095" s="1">
        <v>3</v>
      </c>
      <c r="F1095" s="1" t="s">
        <v>10584</v>
      </c>
      <c r="G1095" s="1" t="s">
        <v>10598</v>
      </c>
      <c r="I1095" s="1" t="s">
        <v>104</v>
      </c>
      <c r="K1095" s="4" t="s">
        <v>1592</v>
      </c>
      <c r="L1095" s="4"/>
      <c r="O1095" s="55">
        <v>3</v>
      </c>
      <c r="T1095" s="60">
        <v>6</v>
      </c>
      <c r="V1095" s="4" t="s">
        <v>10599</v>
      </c>
      <c r="W1095" s="4" t="s">
        <v>10600</v>
      </c>
      <c r="AP1095" s="1"/>
      <c r="AQ1095" s="1"/>
    </row>
    <row r="1096" spans="1:43" ht="36" x14ac:dyDescent="0.2">
      <c r="A1096" s="1" t="s">
        <v>10413</v>
      </c>
      <c r="B1096" s="1" t="s">
        <v>10660</v>
      </c>
      <c r="C1096" s="1" t="s">
        <v>10497</v>
      </c>
      <c r="D1096" s="1">
        <v>7</v>
      </c>
      <c r="E1096" s="1">
        <v>3</v>
      </c>
      <c r="F1096" s="1" t="s">
        <v>10584</v>
      </c>
      <c r="G1096" s="1" t="s">
        <v>10601</v>
      </c>
      <c r="I1096" s="1" t="s">
        <v>82</v>
      </c>
      <c r="K1096" s="4"/>
      <c r="L1096" s="4"/>
      <c r="V1096" s="4" t="s">
        <v>10602</v>
      </c>
      <c r="W1096" s="4" t="s">
        <v>10603</v>
      </c>
      <c r="AP1096" s="1"/>
      <c r="AQ1096" s="1"/>
    </row>
    <row r="1097" spans="1:43" ht="36" x14ac:dyDescent="0.2">
      <c r="A1097" s="1" t="s">
        <v>10413</v>
      </c>
      <c r="B1097" s="1" t="s">
        <v>10661</v>
      </c>
      <c r="C1097" s="1" t="s">
        <v>10497</v>
      </c>
      <c r="D1097" s="1">
        <v>8</v>
      </c>
      <c r="E1097" s="1">
        <v>2</v>
      </c>
      <c r="F1097" s="1" t="s">
        <v>10584</v>
      </c>
      <c r="G1097" s="1" t="s">
        <v>10604</v>
      </c>
      <c r="I1097" s="1" t="s">
        <v>82</v>
      </c>
      <c r="K1097" s="4"/>
      <c r="L1097" s="4" t="s">
        <v>155</v>
      </c>
      <c r="V1097" s="4" t="s">
        <v>10605</v>
      </c>
      <c r="W1097" s="4" t="s">
        <v>10606</v>
      </c>
      <c r="AP1097" s="1"/>
      <c r="AQ1097" s="1"/>
    </row>
    <row r="1098" spans="1:43" ht="60" x14ac:dyDescent="0.2">
      <c r="A1098" s="111" t="s">
        <v>10413</v>
      </c>
      <c r="B1098" s="111" t="s">
        <v>10662</v>
      </c>
      <c r="C1098" s="111" t="s">
        <v>10498</v>
      </c>
      <c r="D1098" s="111">
        <v>1</v>
      </c>
      <c r="E1098" s="111">
        <v>1</v>
      </c>
      <c r="F1098" s="111" t="s">
        <v>10609</v>
      </c>
      <c r="G1098" s="111" t="s">
        <v>2309</v>
      </c>
      <c r="I1098" s="1" t="s">
        <v>768</v>
      </c>
      <c r="K1098" s="4"/>
      <c r="L1098" s="4"/>
      <c r="N1098" s="54" t="s">
        <v>9529</v>
      </c>
      <c r="V1098" s="4" t="s">
        <v>10607</v>
      </c>
      <c r="X1098" s="1" t="s">
        <v>1681</v>
      </c>
      <c r="Y1098" s="1" t="s">
        <v>2309</v>
      </c>
      <c r="AA1098" s="1" t="s">
        <v>768</v>
      </c>
      <c r="AF1098" s="54" t="s">
        <v>9530</v>
      </c>
      <c r="AN1098" s="4" t="s">
        <v>10610</v>
      </c>
      <c r="AP1098" s="1"/>
      <c r="AQ1098" s="1"/>
    </row>
    <row r="1099" spans="1:43" ht="48" x14ac:dyDescent="0.2">
      <c r="A1099" s="1" t="s">
        <v>10413</v>
      </c>
      <c r="B1099" s="50" t="s">
        <v>10663</v>
      </c>
      <c r="C1099" s="1" t="s">
        <v>10498</v>
      </c>
      <c r="D1099" s="1">
        <v>2</v>
      </c>
      <c r="E1099" s="1">
        <v>3</v>
      </c>
      <c r="F1099" s="1" t="s">
        <v>10609</v>
      </c>
      <c r="G1099" s="1" t="s">
        <v>10611</v>
      </c>
      <c r="I1099" s="1" t="s">
        <v>94</v>
      </c>
      <c r="K1099" s="4" t="s">
        <v>604</v>
      </c>
      <c r="L1099" s="4"/>
      <c r="N1099" s="54">
        <v>18</v>
      </c>
      <c r="O1099" s="55">
        <v>2</v>
      </c>
      <c r="Q1099" s="57">
        <v>2</v>
      </c>
      <c r="R1099" s="58">
        <v>2</v>
      </c>
      <c r="S1099" s="59">
        <v>5</v>
      </c>
      <c r="V1099" s="4" t="s">
        <v>10680</v>
      </c>
      <c r="AP1099" s="1"/>
      <c r="AQ1099" s="1"/>
    </row>
    <row r="1100" spans="1:43" ht="72" x14ac:dyDescent="0.2">
      <c r="A1100" s="1" t="s">
        <v>10413</v>
      </c>
      <c r="B1100" s="1" t="s">
        <v>10664</v>
      </c>
      <c r="C1100" s="1" t="s">
        <v>10498</v>
      </c>
      <c r="D1100" s="1">
        <v>3</v>
      </c>
      <c r="E1100" s="1">
        <v>2</v>
      </c>
      <c r="F1100" s="1" t="s">
        <v>10609</v>
      </c>
      <c r="G1100" s="1" t="s">
        <v>10612</v>
      </c>
      <c r="I1100" s="1" t="s">
        <v>94</v>
      </c>
      <c r="K1100" s="4" t="s">
        <v>582</v>
      </c>
      <c r="L1100" s="4"/>
      <c r="N1100" s="54">
        <v>28</v>
      </c>
      <c r="O1100" s="55">
        <v>3</v>
      </c>
      <c r="Q1100" s="57">
        <v>3</v>
      </c>
      <c r="R1100" s="58">
        <v>5</v>
      </c>
      <c r="S1100" s="59">
        <v>4</v>
      </c>
      <c r="V1100" s="4" t="s">
        <v>10613</v>
      </c>
      <c r="AP1100" s="1"/>
      <c r="AQ1100" s="1"/>
    </row>
    <row r="1101" spans="1:43" ht="60" x14ac:dyDescent="0.2">
      <c r="A1101" s="1" t="s">
        <v>10413</v>
      </c>
      <c r="B1101" s="1" t="s">
        <v>10665</v>
      </c>
      <c r="C1101" s="1" t="s">
        <v>10498</v>
      </c>
      <c r="D1101" s="1">
        <v>4</v>
      </c>
      <c r="E1101" s="1">
        <v>3</v>
      </c>
      <c r="F1101" s="1" t="s">
        <v>10609</v>
      </c>
      <c r="G1101" s="1" t="s">
        <v>10614</v>
      </c>
      <c r="I1101" s="1" t="s">
        <v>94</v>
      </c>
      <c r="K1101" s="4" t="s">
        <v>2338</v>
      </c>
      <c r="L1101" s="4"/>
      <c r="N1101" s="54">
        <v>15</v>
      </c>
      <c r="O1101" s="55">
        <v>5</v>
      </c>
      <c r="Q1101" s="57" t="s">
        <v>113</v>
      </c>
      <c r="R1101" s="58">
        <v>5</v>
      </c>
      <c r="S1101" s="59" t="s">
        <v>113</v>
      </c>
      <c r="V1101" s="4" t="s">
        <v>10615</v>
      </c>
      <c r="AP1101" s="1"/>
      <c r="AQ1101" s="1"/>
    </row>
    <row r="1102" spans="1:43" ht="72" x14ac:dyDescent="0.2">
      <c r="A1102" s="1" t="s">
        <v>10413</v>
      </c>
      <c r="B1102" s="1" t="s">
        <v>10666</v>
      </c>
      <c r="C1102" s="1" t="s">
        <v>10498</v>
      </c>
      <c r="D1102" s="1">
        <v>5</v>
      </c>
      <c r="E1102" s="1">
        <v>2</v>
      </c>
      <c r="F1102" s="1" t="s">
        <v>10609</v>
      </c>
      <c r="G1102" s="1" t="s">
        <v>10616</v>
      </c>
      <c r="I1102" s="1" t="s">
        <v>94</v>
      </c>
      <c r="K1102" s="4" t="s">
        <v>2338</v>
      </c>
      <c r="L1102" s="4"/>
      <c r="N1102" s="54">
        <v>45</v>
      </c>
      <c r="O1102" s="55">
        <v>6</v>
      </c>
      <c r="Q1102" s="57" t="s">
        <v>113</v>
      </c>
      <c r="R1102" s="58">
        <v>6</v>
      </c>
      <c r="S1102" s="59" t="s">
        <v>113</v>
      </c>
      <c r="V1102" s="4" t="s">
        <v>10617</v>
      </c>
      <c r="AP1102" s="1"/>
      <c r="AQ1102" s="1"/>
    </row>
    <row r="1103" spans="1:43" ht="96" x14ac:dyDescent="0.2">
      <c r="A1103" s="1" t="s">
        <v>10413</v>
      </c>
      <c r="B1103" s="1" t="s">
        <v>10667</v>
      </c>
      <c r="C1103" s="1" t="s">
        <v>10498</v>
      </c>
      <c r="D1103" s="1">
        <v>6</v>
      </c>
      <c r="E1103" s="1">
        <v>3</v>
      </c>
      <c r="F1103" s="1" t="s">
        <v>10609</v>
      </c>
      <c r="G1103" s="1" t="s">
        <v>10618</v>
      </c>
      <c r="I1103" s="1" t="s">
        <v>104</v>
      </c>
      <c r="K1103" s="4" t="s">
        <v>1592</v>
      </c>
      <c r="L1103" s="4"/>
      <c r="O1103" s="55">
        <v>4</v>
      </c>
      <c r="T1103" s="60">
        <v>4</v>
      </c>
      <c r="V1103" s="4" t="s">
        <v>10681</v>
      </c>
      <c r="AP1103" s="1"/>
      <c r="AQ1103" s="1"/>
    </row>
    <row r="1104" spans="1:43" ht="24" x14ac:dyDescent="0.2">
      <c r="A1104" s="1" t="s">
        <v>10413</v>
      </c>
      <c r="B1104" s="1" t="s">
        <v>10668</v>
      </c>
      <c r="C1104" s="1" t="s">
        <v>10498</v>
      </c>
      <c r="D1104" s="1">
        <v>7</v>
      </c>
      <c r="E1104" s="1">
        <v>3</v>
      </c>
      <c r="F1104" s="1" t="s">
        <v>10609</v>
      </c>
      <c r="G1104" s="1" t="s">
        <v>10619</v>
      </c>
      <c r="I1104" s="1" t="s">
        <v>104</v>
      </c>
      <c r="K1104" s="4" t="s">
        <v>10620</v>
      </c>
      <c r="L1104" s="4"/>
      <c r="O1104" s="55">
        <v>3</v>
      </c>
      <c r="T1104" s="60">
        <v>7</v>
      </c>
      <c r="V1104" s="4" t="s">
        <v>10650</v>
      </c>
      <c r="W1104" s="4" t="s">
        <v>10621</v>
      </c>
      <c r="AP1104" s="1"/>
      <c r="AQ1104" s="1"/>
    </row>
    <row r="1105" spans="1:48" ht="36" x14ac:dyDescent="0.2">
      <c r="A1105" s="1" t="s">
        <v>10413</v>
      </c>
      <c r="B1105" s="1" t="s">
        <v>10669</v>
      </c>
      <c r="C1105" s="1" t="s">
        <v>10498</v>
      </c>
      <c r="D1105" s="1">
        <v>8</v>
      </c>
      <c r="E1105" s="1">
        <v>3</v>
      </c>
      <c r="F1105" s="1" t="s">
        <v>10609</v>
      </c>
      <c r="G1105" s="1" t="s">
        <v>10622</v>
      </c>
      <c r="I1105" s="1" t="s">
        <v>82</v>
      </c>
      <c r="K1105" s="4"/>
      <c r="L1105" s="4"/>
      <c r="V1105" s="4" t="s">
        <v>10623</v>
      </c>
      <c r="W1105" s="4" t="s">
        <v>10649</v>
      </c>
      <c r="AP1105" s="1"/>
      <c r="AQ1105" s="1"/>
    </row>
    <row r="1106" spans="1:48" ht="132" x14ac:dyDescent="0.2">
      <c r="A1106" s="111" t="s">
        <v>10413</v>
      </c>
      <c r="B1106" s="111" t="s">
        <v>10670</v>
      </c>
      <c r="C1106" s="111" t="s">
        <v>10499</v>
      </c>
      <c r="D1106" s="111">
        <v>1</v>
      </c>
      <c r="E1106" s="111">
        <v>1</v>
      </c>
      <c r="F1106" s="111" t="s">
        <v>10624</v>
      </c>
      <c r="G1106" s="111" t="s">
        <v>3077</v>
      </c>
      <c r="I1106" s="1" t="s">
        <v>768</v>
      </c>
      <c r="K1106" s="4"/>
      <c r="L1106" s="4"/>
      <c r="N1106" s="54" t="s">
        <v>9529</v>
      </c>
      <c r="V1106" s="4" t="s">
        <v>10607</v>
      </c>
      <c r="X1106" s="1" t="s">
        <v>3129</v>
      </c>
      <c r="Y1106" s="1" t="s">
        <v>3077</v>
      </c>
      <c r="AA1106" s="1" t="s">
        <v>768</v>
      </c>
      <c r="AF1106" s="54" t="s">
        <v>9530</v>
      </c>
      <c r="AN1106" s="4" t="s">
        <v>10625</v>
      </c>
      <c r="AP1106" s="1"/>
      <c r="AQ1106" s="1"/>
    </row>
    <row r="1107" spans="1:48" ht="60" x14ac:dyDescent="0.2">
      <c r="A1107" s="1" t="s">
        <v>10413</v>
      </c>
      <c r="B1107" s="1" t="s">
        <v>10671</v>
      </c>
      <c r="C1107" s="1" t="s">
        <v>10499</v>
      </c>
      <c r="D1107" s="1">
        <v>2</v>
      </c>
      <c r="E1107" s="1">
        <v>2</v>
      </c>
      <c r="F1107" s="1" t="s">
        <v>10624</v>
      </c>
      <c r="G1107" s="1" t="s">
        <v>10626</v>
      </c>
      <c r="I1107" s="1" t="s">
        <v>82</v>
      </c>
      <c r="K1107" s="4" t="s">
        <v>10627</v>
      </c>
      <c r="L1107" s="4"/>
      <c r="W1107" s="4" t="s">
        <v>10628</v>
      </c>
      <c r="AP1107" s="1"/>
      <c r="AQ1107" s="1"/>
    </row>
    <row r="1108" spans="1:48" ht="24" x14ac:dyDescent="0.2">
      <c r="A1108" s="1" t="s">
        <v>10413</v>
      </c>
      <c r="B1108" s="1" t="s">
        <v>10672</v>
      </c>
      <c r="C1108" s="1" t="s">
        <v>10499</v>
      </c>
      <c r="D1108" s="1">
        <v>3</v>
      </c>
      <c r="E1108" s="1">
        <v>2</v>
      </c>
      <c r="F1108" s="1" t="s">
        <v>10624</v>
      </c>
      <c r="G1108" s="1" t="s">
        <v>10629</v>
      </c>
      <c r="I1108" s="1" t="s">
        <v>82</v>
      </c>
      <c r="K1108" s="4" t="s">
        <v>10627</v>
      </c>
      <c r="L1108" s="4"/>
      <c r="W1108" s="4" t="s">
        <v>10630</v>
      </c>
      <c r="AP1108" s="1"/>
      <c r="AQ1108" s="1"/>
    </row>
    <row r="1109" spans="1:48" ht="24" x14ac:dyDescent="0.2">
      <c r="A1109" s="1" t="s">
        <v>10413</v>
      </c>
      <c r="B1109" s="1" t="s">
        <v>10673</v>
      </c>
      <c r="C1109" s="1" t="s">
        <v>10499</v>
      </c>
      <c r="D1109" s="1">
        <v>4</v>
      </c>
      <c r="E1109" s="1">
        <v>2</v>
      </c>
      <c r="F1109" s="1" t="s">
        <v>10624</v>
      </c>
      <c r="G1109" s="1" t="s">
        <v>10631</v>
      </c>
      <c r="I1109" s="1" t="s">
        <v>82</v>
      </c>
      <c r="K1109" s="4" t="s">
        <v>10627</v>
      </c>
      <c r="L1109" s="4"/>
      <c r="W1109" s="4" t="s">
        <v>10632</v>
      </c>
      <c r="AP1109" s="1"/>
      <c r="AQ1109" s="1"/>
    </row>
    <row r="1110" spans="1:48" ht="36" x14ac:dyDescent="0.2">
      <c r="A1110" s="1" t="s">
        <v>10413</v>
      </c>
      <c r="B1110" s="1" t="s">
        <v>10674</v>
      </c>
      <c r="C1110" s="1" t="s">
        <v>10499</v>
      </c>
      <c r="D1110" s="1">
        <v>5</v>
      </c>
      <c r="E1110" s="1">
        <v>2</v>
      </c>
      <c r="F1110" s="1" t="s">
        <v>10624</v>
      </c>
      <c r="G1110" s="1" t="s">
        <v>10633</v>
      </c>
      <c r="I1110" s="1" t="s">
        <v>82</v>
      </c>
      <c r="K1110" s="4" t="s">
        <v>10627</v>
      </c>
      <c r="L1110" s="4"/>
      <c r="W1110" s="4" t="s">
        <v>10634</v>
      </c>
      <c r="AP1110" s="1"/>
      <c r="AQ1110" s="1"/>
    </row>
    <row r="1111" spans="1:48" ht="24" x14ac:dyDescent="0.2">
      <c r="A1111" s="1" t="s">
        <v>10413</v>
      </c>
      <c r="B1111" s="1" t="s">
        <v>10675</v>
      </c>
      <c r="C1111" s="1" t="s">
        <v>10499</v>
      </c>
      <c r="D1111" s="1">
        <v>6</v>
      </c>
      <c r="E1111" s="1">
        <v>2</v>
      </c>
      <c r="F1111" s="1" t="s">
        <v>10624</v>
      </c>
      <c r="G1111" s="1" t="s">
        <v>10682</v>
      </c>
      <c r="I1111" s="1" t="s">
        <v>82</v>
      </c>
      <c r="K1111" s="4" t="s">
        <v>10627</v>
      </c>
      <c r="L1111" s="4"/>
      <c r="W1111" s="4" t="s">
        <v>10635</v>
      </c>
      <c r="AP1111" s="1"/>
      <c r="AQ1111" s="1"/>
    </row>
    <row r="1112" spans="1:48" ht="36" x14ac:dyDescent="0.2">
      <c r="A1112" s="1" t="s">
        <v>10413</v>
      </c>
      <c r="B1112" s="1" t="s">
        <v>10676</v>
      </c>
      <c r="C1112" s="1" t="s">
        <v>10499</v>
      </c>
      <c r="D1112" s="1">
        <v>7</v>
      </c>
      <c r="E1112" s="1">
        <v>3</v>
      </c>
      <c r="F1112" s="1" t="s">
        <v>10624</v>
      </c>
      <c r="G1112" s="1" t="s">
        <v>10636</v>
      </c>
      <c r="I1112" s="1" t="s">
        <v>94</v>
      </c>
      <c r="K1112" s="4" t="s">
        <v>10637</v>
      </c>
      <c r="L1112" s="4"/>
      <c r="N1112" s="54">
        <v>12</v>
      </c>
      <c r="O1112" s="55">
        <v>3</v>
      </c>
      <c r="Q1112" s="57">
        <v>3</v>
      </c>
      <c r="R1112" s="58">
        <v>2</v>
      </c>
      <c r="S1112" s="59">
        <v>5</v>
      </c>
      <c r="V1112" s="4" t="s">
        <v>10638</v>
      </c>
      <c r="W1112" s="4" t="s">
        <v>10639</v>
      </c>
      <c r="AP1112" s="1"/>
      <c r="AQ1112" s="1"/>
    </row>
    <row r="1113" spans="1:48" ht="24" x14ac:dyDescent="0.2">
      <c r="A1113" s="1" t="s">
        <v>10413</v>
      </c>
      <c r="B1113" s="1" t="s">
        <v>10677</v>
      </c>
      <c r="C1113" s="1" t="s">
        <v>10499</v>
      </c>
      <c r="D1113" s="1">
        <v>8</v>
      </c>
      <c r="E1113" s="1">
        <v>2</v>
      </c>
      <c r="F1113" s="1" t="s">
        <v>10624</v>
      </c>
      <c r="G1113" s="1" t="s">
        <v>10640</v>
      </c>
      <c r="I1113" s="1" t="s">
        <v>94</v>
      </c>
      <c r="K1113" s="4" t="s">
        <v>10637</v>
      </c>
      <c r="L1113" s="4"/>
      <c r="N1113" s="54">
        <v>42</v>
      </c>
      <c r="O1113" s="55">
        <v>4</v>
      </c>
      <c r="Q1113" s="57">
        <v>4</v>
      </c>
      <c r="R1113" s="58">
        <v>3</v>
      </c>
      <c r="S1113" s="59">
        <v>7</v>
      </c>
      <c r="V1113" s="4" t="s">
        <v>10641</v>
      </c>
      <c r="W1113" s="4" t="s">
        <v>10642</v>
      </c>
      <c r="AP1113" s="1"/>
      <c r="AQ1113" s="1"/>
    </row>
    <row r="1114" spans="1:48" ht="24" x14ac:dyDescent="0.2">
      <c r="A1114" s="1" t="s">
        <v>10413</v>
      </c>
      <c r="B1114" s="1" t="s">
        <v>10678</v>
      </c>
      <c r="C1114" s="1" t="s">
        <v>10499</v>
      </c>
      <c r="D1114" s="1">
        <v>9</v>
      </c>
      <c r="E1114" s="1">
        <v>2</v>
      </c>
      <c r="F1114" s="1" t="s">
        <v>10624</v>
      </c>
      <c r="G1114" s="1" t="s">
        <v>10643</v>
      </c>
      <c r="I1114" s="1" t="s">
        <v>104</v>
      </c>
      <c r="K1114" s="4" t="s">
        <v>1112</v>
      </c>
      <c r="L1114" s="4" t="s">
        <v>10645</v>
      </c>
      <c r="O1114" s="55">
        <v>5</v>
      </c>
      <c r="T1114" s="60">
        <v>2</v>
      </c>
      <c r="V1114" s="4" t="s">
        <v>10644</v>
      </c>
      <c r="AP1114" s="1"/>
      <c r="AQ1114" s="1"/>
    </row>
    <row r="1115" spans="1:48" ht="24" x14ac:dyDescent="0.2">
      <c r="A1115" s="1" t="s">
        <v>10413</v>
      </c>
      <c r="B1115" s="1" t="s">
        <v>10679</v>
      </c>
      <c r="C1115" s="1" t="s">
        <v>10499</v>
      </c>
      <c r="D1115" s="1">
        <v>10</v>
      </c>
      <c r="E1115" s="1">
        <v>2</v>
      </c>
      <c r="F1115" s="1" t="s">
        <v>10624</v>
      </c>
      <c r="G1115" s="1" t="s">
        <v>10646</v>
      </c>
      <c r="I1115" s="1" t="s">
        <v>104</v>
      </c>
      <c r="K1115" s="4" t="s">
        <v>1112</v>
      </c>
      <c r="L1115" s="4"/>
      <c r="O1115" s="55">
        <v>2</v>
      </c>
      <c r="T1115" s="60">
        <v>7</v>
      </c>
      <c r="V1115" s="4" t="s">
        <v>10647</v>
      </c>
      <c r="W1115" s="4" t="s">
        <v>10648</v>
      </c>
      <c r="AP1115" s="1"/>
      <c r="AQ1115" s="1"/>
    </row>
    <row r="1116" spans="1:48" ht="36" x14ac:dyDescent="0.2">
      <c r="A1116" s="119" t="s">
        <v>4566</v>
      </c>
      <c r="B1116" s="119" t="s">
        <v>4576</v>
      </c>
      <c r="C1116" s="119" t="s">
        <v>10651</v>
      </c>
      <c r="D1116" s="120">
        <v>1</v>
      </c>
      <c r="E1116" s="119">
        <v>1</v>
      </c>
      <c r="F1116" s="119" t="s">
        <v>4570</v>
      </c>
      <c r="G1116" s="119" t="s">
        <v>4298</v>
      </c>
      <c r="I1116" s="1" t="s">
        <v>768</v>
      </c>
      <c r="N1116" s="54" t="s">
        <v>9529</v>
      </c>
      <c r="V1116" s="4" t="s">
        <v>769</v>
      </c>
      <c r="X1116" s="1" t="s">
        <v>4334</v>
      </c>
      <c r="Y1116" s="1" t="s">
        <v>4298</v>
      </c>
      <c r="AA1116" s="1" t="s">
        <v>768</v>
      </c>
      <c r="AF1116" s="54" t="s">
        <v>9530</v>
      </c>
      <c r="AL1116" s="60" t="s">
        <v>30</v>
      </c>
      <c r="AN1116" s="4" t="s">
        <v>5568</v>
      </c>
    </row>
    <row r="1117" spans="1:48" ht="60" x14ac:dyDescent="0.2">
      <c r="A1117" s="1" t="s">
        <v>4566</v>
      </c>
      <c r="B1117" s="1" t="s">
        <v>4584</v>
      </c>
      <c r="C1117" s="1" t="s">
        <v>10651</v>
      </c>
      <c r="D1117" s="48">
        <v>2</v>
      </c>
      <c r="E1117" s="1">
        <v>3</v>
      </c>
      <c r="F1117" s="1" t="s">
        <v>4570</v>
      </c>
      <c r="G1117" s="1" t="s">
        <v>4585</v>
      </c>
      <c r="I1117" s="1" t="s">
        <v>94</v>
      </c>
      <c r="K1117" s="1" t="s">
        <v>95</v>
      </c>
      <c r="N1117" s="54">
        <v>50</v>
      </c>
      <c r="O1117" s="55">
        <v>4</v>
      </c>
      <c r="Q1117" s="57">
        <v>4</v>
      </c>
      <c r="R1117" s="58">
        <v>1</v>
      </c>
      <c r="S1117" s="59">
        <v>3</v>
      </c>
      <c r="V1117" s="4" t="s">
        <v>5573</v>
      </c>
      <c r="AL1117" s="60" t="s">
        <v>30</v>
      </c>
    </row>
    <row r="1118" spans="1:48" ht="36" x14ac:dyDescent="0.2">
      <c r="A1118" s="1" t="s">
        <v>4566</v>
      </c>
      <c r="B1118" s="1" t="s">
        <v>4567</v>
      </c>
      <c r="C1118" s="1" t="s">
        <v>10651</v>
      </c>
      <c r="D1118" s="48">
        <v>3</v>
      </c>
      <c r="E1118" s="1">
        <v>3</v>
      </c>
      <c r="F1118" s="1" t="s">
        <v>4570</v>
      </c>
      <c r="G1118" s="1" t="s">
        <v>4568</v>
      </c>
      <c r="I1118" s="1" t="s">
        <v>104</v>
      </c>
      <c r="K1118" s="1" t="s">
        <v>4569</v>
      </c>
      <c r="O1118" s="55">
        <v>2</v>
      </c>
      <c r="T1118" s="60">
        <v>5</v>
      </c>
      <c r="V1118" s="4" t="s">
        <v>5564</v>
      </c>
      <c r="AL1118" s="60" t="s">
        <v>30</v>
      </c>
    </row>
    <row r="1119" spans="1:48" ht="36" x14ac:dyDescent="0.2">
      <c r="A1119" s="1" t="s">
        <v>4566</v>
      </c>
      <c r="B1119" s="1" t="s">
        <v>4606</v>
      </c>
      <c r="C1119" s="1" t="s">
        <v>10651</v>
      </c>
      <c r="D1119" s="48">
        <v>4</v>
      </c>
      <c r="E1119" s="1">
        <v>3</v>
      </c>
      <c r="F1119" s="1" t="s">
        <v>4570</v>
      </c>
      <c r="G1119" s="1" t="s">
        <v>4607</v>
      </c>
      <c r="I1119" s="1" t="s">
        <v>104</v>
      </c>
      <c r="K1119" s="1" t="s">
        <v>4608</v>
      </c>
      <c r="O1119" s="55">
        <v>3</v>
      </c>
      <c r="T1119" s="60">
        <v>5</v>
      </c>
      <c r="V1119" s="4" t="s">
        <v>5588</v>
      </c>
      <c r="W1119" s="4" t="s">
        <v>5589</v>
      </c>
      <c r="AL1119" s="60" t="s">
        <v>30</v>
      </c>
    </row>
    <row r="1120" spans="1:48" ht="72" x14ac:dyDescent="0.2">
      <c r="A1120" s="1" t="s">
        <v>4566</v>
      </c>
      <c r="B1120" s="1" t="s">
        <v>4609</v>
      </c>
      <c r="C1120" s="1" t="s">
        <v>10651</v>
      </c>
      <c r="D1120" s="48">
        <v>5</v>
      </c>
      <c r="E1120" s="1">
        <v>3</v>
      </c>
      <c r="F1120" s="1" t="s">
        <v>4570</v>
      </c>
      <c r="G1120" s="1" t="s">
        <v>4610</v>
      </c>
      <c r="I1120" s="1" t="s">
        <v>104</v>
      </c>
      <c r="K1120" s="1" t="s">
        <v>4611</v>
      </c>
      <c r="O1120" s="55">
        <v>5</v>
      </c>
      <c r="T1120" s="60" t="s">
        <v>799</v>
      </c>
      <c r="V1120" s="4" t="s">
        <v>5590</v>
      </c>
      <c r="AL1120" s="60" t="s">
        <v>30</v>
      </c>
      <c r="AU1120" s="1" t="s">
        <v>6223</v>
      </c>
      <c r="AV1120" s="1" t="s">
        <v>6224</v>
      </c>
    </row>
    <row r="1121" spans="1:48" ht="24" x14ac:dyDescent="0.2">
      <c r="A1121" s="1" t="s">
        <v>4566</v>
      </c>
      <c r="B1121" s="1" t="s">
        <v>4599</v>
      </c>
      <c r="C1121" s="1" t="s">
        <v>10651</v>
      </c>
      <c r="D1121" s="48">
        <v>6</v>
      </c>
      <c r="E1121" s="1">
        <v>3</v>
      </c>
      <c r="F1121" s="1" t="s">
        <v>4570</v>
      </c>
      <c r="G1121" s="1" t="s">
        <v>4600</v>
      </c>
      <c r="I1121" s="1" t="s">
        <v>82</v>
      </c>
      <c r="V1121" s="4" t="s">
        <v>5583</v>
      </c>
      <c r="W1121" s="4" t="s">
        <v>5584</v>
      </c>
      <c r="AL1121" s="60" t="s">
        <v>30</v>
      </c>
      <c r="AU1121" s="1" t="s">
        <v>6225</v>
      </c>
    </row>
    <row r="1122" spans="1:48" ht="72" x14ac:dyDescent="0.2">
      <c r="A1122" s="1" t="s">
        <v>4566</v>
      </c>
      <c r="B1122" s="1" t="s">
        <v>4577</v>
      </c>
      <c r="C1122" s="1" t="s">
        <v>10651</v>
      </c>
      <c r="D1122" s="48">
        <v>7</v>
      </c>
      <c r="E1122" s="1">
        <v>2</v>
      </c>
      <c r="F1122" s="1" t="s">
        <v>4570</v>
      </c>
      <c r="G1122" s="1" t="s">
        <v>4578</v>
      </c>
      <c r="I1122" s="1" t="s">
        <v>82</v>
      </c>
      <c r="V1122" s="4" t="s">
        <v>5569</v>
      </c>
      <c r="AL1122" s="60" t="s">
        <v>30</v>
      </c>
    </row>
    <row r="1123" spans="1:48" ht="36" x14ac:dyDescent="0.2">
      <c r="A1123" s="1" t="s">
        <v>4566</v>
      </c>
      <c r="B1123" s="1" t="s">
        <v>4588</v>
      </c>
      <c r="C1123" s="1" t="s">
        <v>10651</v>
      </c>
      <c r="D1123" s="48">
        <v>8</v>
      </c>
      <c r="E1123" s="1">
        <v>2</v>
      </c>
      <c r="F1123" s="1" t="s">
        <v>4570</v>
      </c>
      <c r="G1123" s="1" t="s">
        <v>4589</v>
      </c>
      <c r="I1123" s="1" t="s">
        <v>82</v>
      </c>
      <c r="V1123" s="4" t="s">
        <v>5575</v>
      </c>
      <c r="AL1123" s="60" t="s">
        <v>30</v>
      </c>
    </row>
    <row r="1124" spans="1:48" ht="60" x14ac:dyDescent="0.2">
      <c r="A1124" s="111" t="s">
        <v>4566</v>
      </c>
      <c r="B1124" s="111" t="s">
        <v>4605</v>
      </c>
      <c r="C1124" s="111" t="s">
        <v>10652</v>
      </c>
      <c r="D1124" s="112">
        <v>1</v>
      </c>
      <c r="E1124" s="111">
        <v>1</v>
      </c>
      <c r="F1124" s="111" t="s">
        <v>4581</v>
      </c>
      <c r="G1124" s="111" t="s">
        <v>4310</v>
      </c>
      <c r="I1124" s="1" t="s">
        <v>768</v>
      </c>
      <c r="N1124" s="54" t="s">
        <v>9529</v>
      </c>
      <c r="V1124" s="4" t="s">
        <v>769</v>
      </c>
      <c r="X1124" s="1" t="s">
        <v>1629</v>
      </c>
      <c r="Y1124" s="1" t="s">
        <v>4310</v>
      </c>
      <c r="AA1124" s="1" t="s">
        <v>768</v>
      </c>
      <c r="AF1124" s="54" t="s">
        <v>9530</v>
      </c>
      <c r="AL1124" s="60" t="s">
        <v>30</v>
      </c>
      <c r="AN1124" s="4" t="s">
        <v>5587</v>
      </c>
    </row>
    <row r="1125" spans="1:48" ht="24" x14ac:dyDescent="0.2">
      <c r="A1125" s="1" t="s">
        <v>4566</v>
      </c>
      <c r="B1125" s="1" t="s">
        <v>4579</v>
      </c>
      <c r="C1125" s="1" t="s">
        <v>10652</v>
      </c>
      <c r="D1125" s="48">
        <v>2</v>
      </c>
      <c r="E1125" s="1">
        <v>3</v>
      </c>
      <c r="F1125" s="1" t="s">
        <v>4581</v>
      </c>
      <c r="G1125" s="1" t="s">
        <v>4580</v>
      </c>
      <c r="I1125" s="1" t="s">
        <v>104</v>
      </c>
      <c r="K1125" s="1" t="s">
        <v>1178</v>
      </c>
      <c r="O1125" s="55">
        <v>4</v>
      </c>
      <c r="T1125" s="60">
        <v>3</v>
      </c>
      <c r="V1125" s="4" t="s">
        <v>5570</v>
      </c>
      <c r="W1125" s="4" t="s">
        <v>5571</v>
      </c>
      <c r="AL1125" s="60" t="s">
        <v>30</v>
      </c>
    </row>
    <row r="1126" spans="1:48" ht="60" x14ac:dyDescent="0.2">
      <c r="A1126" s="1" t="s">
        <v>4566</v>
      </c>
      <c r="B1126" s="1" t="s">
        <v>4592</v>
      </c>
      <c r="C1126" s="1" t="s">
        <v>10652</v>
      </c>
      <c r="D1126" s="48">
        <v>3</v>
      </c>
      <c r="E1126" s="1">
        <v>4</v>
      </c>
      <c r="F1126" s="1" t="s">
        <v>4581</v>
      </c>
      <c r="G1126" s="1" t="s">
        <v>4593</v>
      </c>
      <c r="I1126" s="1" t="s">
        <v>104</v>
      </c>
      <c r="K1126" s="1" t="s">
        <v>1178</v>
      </c>
      <c r="O1126" s="55">
        <v>3</v>
      </c>
      <c r="T1126" s="60">
        <v>10</v>
      </c>
      <c r="V1126" s="4" t="s">
        <v>5578</v>
      </c>
      <c r="AL1126" s="60" t="s">
        <v>30</v>
      </c>
      <c r="AU1126" s="1" t="s">
        <v>6226</v>
      </c>
      <c r="AV1126" s="1" t="s">
        <v>6227</v>
      </c>
    </row>
    <row r="1127" spans="1:48" ht="48" x14ac:dyDescent="0.2">
      <c r="A1127" s="1" t="s">
        <v>4566</v>
      </c>
      <c r="B1127" s="1" t="s">
        <v>4582</v>
      </c>
      <c r="C1127" s="1" t="s">
        <v>10652</v>
      </c>
      <c r="D1127" s="48">
        <v>4</v>
      </c>
      <c r="E1127" s="1">
        <v>2</v>
      </c>
      <c r="F1127" s="1" t="s">
        <v>4581</v>
      </c>
      <c r="G1127" s="1" t="s">
        <v>4583</v>
      </c>
      <c r="I1127" s="1" t="s">
        <v>82</v>
      </c>
      <c r="V1127" s="4" t="s">
        <v>5572</v>
      </c>
      <c r="AL1127" s="60" t="s">
        <v>30</v>
      </c>
    </row>
    <row r="1128" spans="1:48" ht="60" x14ac:dyDescent="0.2">
      <c r="A1128" s="1" t="s">
        <v>4566</v>
      </c>
      <c r="B1128" s="1" t="s">
        <v>4574</v>
      </c>
      <c r="C1128" s="1" t="s">
        <v>10652</v>
      </c>
      <c r="D1128" s="48">
        <v>5</v>
      </c>
      <c r="E1128" s="1">
        <v>1</v>
      </c>
      <c r="F1128" s="1" t="s">
        <v>4575</v>
      </c>
      <c r="G1128" s="1" t="s">
        <v>4361</v>
      </c>
      <c r="H1128" s="1" t="s">
        <v>26</v>
      </c>
      <c r="I1128" s="1" t="s">
        <v>94</v>
      </c>
      <c r="K1128" s="1" t="s">
        <v>604</v>
      </c>
      <c r="N1128" s="54">
        <v>15</v>
      </c>
      <c r="O1128" s="55">
        <v>5</v>
      </c>
      <c r="Q1128" s="57">
        <v>6</v>
      </c>
      <c r="R1128" s="58">
        <v>4</v>
      </c>
      <c r="S1128" s="59">
        <v>11</v>
      </c>
      <c r="U1128" s="1">
        <v>3</v>
      </c>
      <c r="V1128" s="4" t="s">
        <v>5567</v>
      </c>
      <c r="AL1128" s="60" t="s">
        <v>30</v>
      </c>
      <c r="AU1128" s="1" t="s">
        <v>6228</v>
      </c>
    </row>
    <row r="1129" spans="1:48" ht="60" x14ac:dyDescent="0.2">
      <c r="A1129" s="1" t="s">
        <v>4566</v>
      </c>
      <c r="B1129" s="1" t="s">
        <v>4603</v>
      </c>
      <c r="C1129" s="1" t="s">
        <v>10652</v>
      </c>
      <c r="D1129" s="48">
        <v>6</v>
      </c>
      <c r="E1129" s="1">
        <v>4</v>
      </c>
      <c r="F1129" s="1" t="s">
        <v>4575</v>
      </c>
      <c r="G1129" s="1" t="s">
        <v>4604</v>
      </c>
      <c r="I1129" s="1" t="s">
        <v>94</v>
      </c>
      <c r="K1129" s="1" t="s">
        <v>604</v>
      </c>
      <c r="N1129" s="54">
        <v>45</v>
      </c>
      <c r="O1129" s="55">
        <v>4</v>
      </c>
      <c r="Q1129" s="57">
        <v>4</v>
      </c>
      <c r="R1129" s="58">
        <v>3</v>
      </c>
      <c r="S1129" s="59">
        <v>3</v>
      </c>
      <c r="V1129" s="4" t="s">
        <v>5586</v>
      </c>
      <c r="AL1129" s="60" t="s">
        <v>30</v>
      </c>
      <c r="AU1129" s="1" t="s">
        <v>6228</v>
      </c>
    </row>
    <row r="1130" spans="1:48" ht="72" x14ac:dyDescent="0.2">
      <c r="A1130" s="1" t="s">
        <v>4566</v>
      </c>
      <c r="B1130" s="1" t="s">
        <v>4614</v>
      </c>
      <c r="C1130" s="1" t="s">
        <v>10652</v>
      </c>
      <c r="D1130" s="48">
        <v>7</v>
      </c>
      <c r="E1130" s="1">
        <v>3</v>
      </c>
      <c r="F1130" s="1" t="s">
        <v>4575</v>
      </c>
      <c r="G1130" s="1" t="s">
        <v>4615</v>
      </c>
      <c r="I1130" s="1" t="s">
        <v>104</v>
      </c>
      <c r="K1130" s="1" t="s">
        <v>1762</v>
      </c>
      <c r="O1130" s="55">
        <v>4</v>
      </c>
      <c r="T1130" s="60">
        <v>3</v>
      </c>
      <c r="V1130" s="4" t="s">
        <v>5592</v>
      </c>
      <c r="AL1130" s="60" t="s">
        <v>30</v>
      </c>
      <c r="AU1130" s="1" t="s">
        <v>6228</v>
      </c>
    </row>
    <row r="1131" spans="1:48" ht="36" x14ac:dyDescent="0.2">
      <c r="A1131" s="1" t="s">
        <v>4566</v>
      </c>
      <c r="B1131" s="1" t="s">
        <v>4590</v>
      </c>
      <c r="C1131" s="1" t="s">
        <v>10652</v>
      </c>
      <c r="D1131" s="48">
        <v>8</v>
      </c>
      <c r="F1131" s="1" t="s">
        <v>4575</v>
      </c>
      <c r="G1131" s="1" t="s">
        <v>4591</v>
      </c>
      <c r="I1131" s="1" t="s">
        <v>82</v>
      </c>
      <c r="V1131" s="4" t="s">
        <v>5576</v>
      </c>
      <c r="W1131" s="4" t="s">
        <v>5577</v>
      </c>
      <c r="AL1131" s="60" t="s">
        <v>30</v>
      </c>
    </row>
    <row r="1132" spans="1:48" ht="96" x14ac:dyDescent="0.2">
      <c r="A1132" s="135" t="s">
        <v>4566</v>
      </c>
      <c r="B1132" s="135" t="s">
        <v>4596</v>
      </c>
      <c r="C1132" s="135" t="s">
        <v>10653</v>
      </c>
      <c r="D1132" s="136">
        <v>1</v>
      </c>
      <c r="E1132" s="135">
        <v>1</v>
      </c>
      <c r="F1132" s="135" t="s">
        <v>4573</v>
      </c>
      <c r="G1132" s="135" t="s">
        <v>4346</v>
      </c>
      <c r="I1132" s="1" t="s">
        <v>768</v>
      </c>
      <c r="N1132" s="54" t="s">
        <v>9529</v>
      </c>
      <c r="V1132" s="4" t="s">
        <v>769</v>
      </c>
      <c r="X1132" s="1" t="s">
        <v>2151</v>
      </c>
      <c r="Y1132" s="1" t="s">
        <v>4346</v>
      </c>
      <c r="AA1132" s="1" t="s">
        <v>768</v>
      </c>
      <c r="AF1132" s="54" t="s">
        <v>9530</v>
      </c>
      <c r="AL1132" s="60" t="s">
        <v>30</v>
      </c>
      <c r="AN1132" s="4" t="s">
        <v>5580</v>
      </c>
      <c r="AU1132" s="1" t="s">
        <v>6229</v>
      </c>
      <c r="AV1132" s="1" t="s">
        <v>6230</v>
      </c>
    </row>
    <row r="1133" spans="1:48" ht="72" x14ac:dyDescent="0.2">
      <c r="A1133" s="1" t="s">
        <v>4566</v>
      </c>
      <c r="B1133" s="1" t="s">
        <v>4594</v>
      </c>
      <c r="C1133" s="1" t="s">
        <v>10653</v>
      </c>
      <c r="D1133" s="48">
        <v>2</v>
      </c>
      <c r="E1133" s="1">
        <v>1</v>
      </c>
      <c r="F1133" s="1" t="s">
        <v>4573</v>
      </c>
      <c r="G1133" s="1" t="s">
        <v>4595</v>
      </c>
      <c r="H1133" s="1" t="s">
        <v>26</v>
      </c>
      <c r="I1133" s="1" t="s">
        <v>104</v>
      </c>
      <c r="K1133" s="1" t="s">
        <v>1178</v>
      </c>
      <c r="O1133" s="55">
        <v>4</v>
      </c>
      <c r="T1133" s="60">
        <v>8</v>
      </c>
      <c r="V1133" s="4" t="s">
        <v>5579</v>
      </c>
      <c r="AL1133" s="60" t="s">
        <v>30</v>
      </c>
    </row>
    <row r="1134" spans="1:48" ht="24" x14ac:dyDescent="0.2">
      <c r="A1134" s="1" t="s">
        <v>4566</v>
      </c>
      <c r="B1134" s="1" t="s">
        <v>4601</v>
      </c>
      <c r="C1134" s="125" t="s">
        <v>10653</v>
      </c>
      <c r="D1134" s="48">
        <v>3</v>
      </c>
      <c r="E1134" s="1">
        <v>3</v>
      </c>
      <c r="F1134" s="1" t="s">
        <v>4573</v>
      </c>
      <c r="G1134" s="1" t="s">
        <v>4602</v>
      </c>
      <c r="I1134" s="1" t="s">
        <v>94</v>
      </c>
      <c r="K1134" s="1" t="s">
        <v>95</v>
      </c>
      <c r="N1134" s="54">
        <v>33</v>
      </c>
      <c r="O1134" s="55">
        <v>4</v>
      </c>
      <c r="Q1134" s="57">
        <v>4</v>
      </c>
      <c r="R1134" s="58">
        <v>3</v>
      </c>
      <c r="S1134" s="59">
        <v>5</v>
      </c>
      <c r="V1134" s="4" t="s">
        <v>5585</v>
      </c>
      <c r="W1134" s="4" t="s">
        <v>3491</v>
      </c>
      <c r="AL1134" s="60" t="s">
        <v>30</v>
      </c>
    </row>
    <row r="1135" spans="1:48" ht="24" x14ac:dyDescent="0.2">
      <c r="A1135" s="1" t="s">
        <v>4566</v>
      </c>
      <c r="B1135" s="1" t="s">
        <v>4571</v>
      </c>
      <c r="C1135" s="1" t="s">
        <v>10653</v>
      </c>
      <c r="D1135" s="48">
        <v>3</v>
      </c>
      <c r="E1135" s="1">
        <v>3</v>
      </c>
      <c r="F1135" s="1" t="s">
        <v>4573</v>
      </c>
      <c r="G1135" s="1" t="s">
        <v>4572</v>
      </c>
      <c r="I1135" s="1" t="s">
        <v>104</v>
      </c>
      <c r="K1135" s="1" t="s">
        <v>105</v>
      </c>
      <c r="O1135" s="55">
        <v>3</v>
      </c>
      <c r="T1135" s="60">
        <v>6</v>
      </c>
      <c r="V1135" s="4" t="s">
        <v>5565</v>
      </c>
      <c r="W1135" s="4" t="s">
        <v>5566</v>
      </c>
      <c r="AL1135" s="60" t="s">
        <v>30</v>
      </c>
    </row>
    <row r="1136" spans="1:48" ht="24" x14ac:dyDescent="0.2">
      <c r="A1136" s="1" t="s">
        <v>4566</v>
      </c>
      <c r="B1136" s="1" t="s">
        <v>4597</v>
      </c>
      <c r="C1136" s="125" t="s">
        <v>10653</v>
      </c>
      <c r="D1136" s="48">
        <v>4</v>
      </c>
      <c r="E1136" s="1">
        <v>3</v>
      </c>
      <c r="F1136" s="1" t="s">
        <v>4573</v>
      </c>
      <c r="G1136" s="1" t="s">
        <v>4598</v>
      </c>
      <c r="I1136" s="1" t="s">
        <v>94</v>
      </c>
      <c r="K1136" s="1" t="s">
        <v>604</v>
      </c>
      <c r="N1136" s="54">
        <v>15</v>
      </c>
      <c r="O1136" s="55">
        <v>2</v>
      </c>
      <c r="Q1136" s="57">
        <v>3</v>
      </c>
      <c r="R1136" s="58">
        <v>4</v>
      </c>
      <c r="S1136" s="59">
        <v>5</v>
      </c>
      <c r="V1136" s="4" t="s">
        <v>5581</v>
      </c>
      <c r="W1136" s="4" t="s">
        <v>5582</v>
      </c>
      <c r="AL1136" s="60" t="s">
        <v>30</v>
      </c>
    </row>
    <row r="1137" spans="1:48" ht="84" x14ac:dyDescent="0.2">
      <c r="A1137" s="1" t="s">
        <v>4566</v>
      </c>
      <c r="B1137" s="1" t="s">
        <v>4586</v>
      </c>
      <c r="C1137" s="1" t="s">
        <v>10653</v>
      </c>
      <c r="D1137" s="48">
        <v>6</v>
      </c>
      <c r="E1137" s="1">
        <v>3</v>
      </c>
      <c r="F1137" s="1" t="s">
        <v>4573</v>
      </c>
      <c r="G1137" s="1" t="s">
        <v>4587</v>
      </c>
      <c r="I1137" s="1" t="s">
        <v>104</v>
      </c>
      <c r="K1137" s="1" t="s">
        <v>1178</v>
      </c>
      <c r="O1137" s="55">
        <v>4</v>
      </c>
      <c r="T1137" s="60">
        <v>3</v>
      </c>
      <c r="V1137" s="4" t="s">
        <v>5574</v>
      </c>
      <c r="AL1137" s="60" t="s">
        <v>30</v>
      </c>
      <c r="AU1137" s="1" t="s">
        <v>6231</v>
      </c>
      <c r="AV1137" s="1" t="s">
        <v>6232</v>
      </c>
    </row>
    <row r="1138" spans="1:48" ht="72" x14ac:dyDescent="0.2">
      <c r="A1138" s="1" t="s">
        <v>4566</v>
      </c>
      <c r="B1138" s="1" t="s">
        <v>4612</v>
      </c>
      <c r="C1138" s="125" t="s">
        <v>10653</v>
      </c>
      <c r="D1138" s="48">
        <v>7</v>
      </c>
      <c r="E1138" s="1">
        <v>3</v>
      </c>
      <c r="F1138" s="1" t="s">
        <v>4573</v>
      </c>
      <c r="G1138" s="1" t="s">
        <v>4613</v>
      </c>
      <c r="I1138" s="1" t="s">
        <v>82</v>
      </c>
      <c r="V1138" s="4" t="s">
        <v>5591</v>
      </c>
      <c r="AL1138" s="60" t="s">
        <v>30</v>
      </c>
    </row>
    <row r="1139" spans="1:48" ht="84" x14ac:dyDescent="0.2">
      <c r="A1139" s="1" t="s">
        <v>4566</v>
      </c>
      <c r="B1139" s="1" t="s">
        <v>4616</v>
      </c>
      <c r="C1139" s="1" t="s">
        <v>10653</v>
      </c>
      <c r="D1139" s="48">
        <v>8</v>
      </c>
      <c r="E1139" s="1">
        <v>3</v>
      </c>
      <c r="F1139" s="1" t="s">
        <v>4573</v>
      </c>
      <c r="G1139" s="1" t="s">
        <v>4617</v>
      </c>
      <c r="I1139" s="1" t="s">
        <v>82</v>
      </c>
      <c r="V1139" s="4" t="s">
        <v>5593</v>
      </c>
      <c r="AL1139" s="60" t="s">
        <v>30</v>
      </c>
      <c r="AU1139" s="1" t="s">
        <v>6233</v>
      </c>
    </row>
    <row r="1140" spans="1:48" ht="36" x14ac:dyDescent="0.2">
      <c r="A1140" s="119" t="s">
        <v>11042</v>
      </c>
      <c r="B1140" s="119" t="s">
        <v>11020</v>
      </c>
      <c r="C1140" s="119" t="s">
        <v>11014</v>
      </c>
      <c r="D1140" s="120">
        <v>1</v>
      </c>
      <c r="E1140" s="119">
        <v>1</v>
      </c>
      <c r="F1140" s="119" t="s">
        <v>11015</v>
      </c>
      <c r="G1140" s="119" t="s">
        <v>4059</v>
      </c>
      <c r="I1140" s="1" t="s">
        <v>768</v>
      </c>
      <c r="N1140" s="54" t="s">
        <v>9529</v>
      </c>
      <c r="V1140" s="4" t="s">
        <v>769</v>
      </c>
      <c r="Y1140" s="1" t="s">
        <v>4059</v>
      </c>
      <c r="AA1140" s="1" t="s">
        <v>768</v>
      </c>
      <c r="AF1140" s="54" t="s">
        <v>9530</v>
      </c>
      <c r="AN1140" s="4" t="s">
        <v>11089</v>
      </c>
      <c r="AU1140" s="1" t="s">
        <v>6234</v>
      </c>
    </row>
    <row r="1141" spans="1:48" ht="36" x14ac:dyDescent="0.2">
      <c r="A1141" s="1" t="s">
        <v>11042</v>
      </c>
      <c r="B1141" s="1" t="s">
        <v>11021</v>
      </c>
      <c r="C1141" s="1" t="s">
        <v>11014</v>
      </c>
      <c r="D1141" s="48">
        <v>2</v>
      </c>
      <c r="E1141" s="1">
        <v>3</v>
      </c>
      <c r="F1141" s="1" t="s">
        <v>11015</v>
      </c>
      <c r="G1141" s="1" t="s">
        <v>11043</v>
      </c>
      <c r="I1141" s="1" t="s">
        <v>94</v>
      </c>
      <c r="K1141" s="1" t="s">
        <v>576</v>
      </c>
      <c r="L1141" s="2" t="s">
        <v>4085</v>
      </c>
      <c r="N1141" s="54">
        <v>35</v>
      </c>
      <c r="O1141" s="55">
        <v>4</v>
      </c>
      <c r="Q1141" s="57">
        <v>6</v>
      </c>
      <c r="R1141" s="58">
        <v>3</v>
      </c>
      <c r="S1141" s="59">
        <v>6</v>
      </c>
      <c r="V1141" s="4" t="s">
        <v>11044</v>
      </c>
      <c r="AU1141" s="1" t="s">
        <v>6234</v>
      </c>
    </row>
    <row r="1142" spans="1:48" ht="24" x14ac:dyDescent="0.2">
      <c r="A1142" s="4" t="s">
        <v>11042</v>
      </c>
      <c r="B1142" s="1" t="s">
        <v>11022</v>
      </c>
      <c r="C1142" s="1" t="s">
        <v>11014</v>
      </c>
      <c r="D1142" s="48">
        <v>3</v>
      </c>
      <c r="E1142" s="1">
        <v>5</v>
      </c>
      <c r="F1142" s="1" t="s">
        <v>11015</v>
      </c>
      <c r="G1142" s="1" t="s">
        <v>11045</v>
      </c>
      <c r="I1142" s="1" t="s">
        <v>94</v>
      </c>
      <c r="K1142" s="1" t="s">
        <v>576</v>
      </c>
      <c r="L1142" s="2" t="s">
        <v>4085</v>
      </c>
      <c r="N1142" s="54">
        <v>25</v>
      </c>
      <c r="O1142" s="55">
        <v>3</v>
      </c>
      <c r="Q1142" s="57">
        <v>4</v>
      </c>
      <c r="R1142" s="58">
        <v>2</v>
      </c>
      <c r="S1142" s="59">
        <v>5</v>
      </c>
      <c r="V1142" s="4" t="s">
        <v>11046</v>
      </c>
      <c r="W1142" s="4" t="s">
        <v>11047</v>
      </c>
      <c r="AU1142" s="1" t="s">
        <v>6234</v>
      </c>
    </row>
    <row r="1143" spans="1:48" ht="24" x14ac:dyDescent="0.2">
      <c r="A1143" s="1" t="s">
        <v>11042</v>
      </c>
      <c r="B1143" s="1" t="s">
        <v>11023</v>
      </c>
      <c r="C1143" s="1" t="s">
        <v>11014</v>
      </c>
      <c r="D1143" s="48">
        <v>4</v>
      </c>
      <c r="E1143" s="1">
        <v>2</v>
      </c>
      <c r="F1143" s="1" t="s">
        <v>11015</v>
      </c>
      <c r="G1143" s="1" t="s">
        <v>11048</v>
      </c>
      <c r="I1143" s="1" t="s">
        <v>104</v>
      </c>
      <c r="K1143" s="1" t="s">
        <v>105</v>
      </c>
      <c r="L1143" s="2" t="s">
        <v>11049</v>
      </c>
      <c r="O1143" s="55">
        <v>4</v>
      </c>
      <c r="T1143" s="60">
        <v>4</v>
      </c>
      <c r="V1143" s="4" t="s">
        <v>11050</v>
      </c>
    </row>
    <row r="1144" spans="1:48" ht="24" x14ac:dyDescent="0.2">
      <c r="A1144" s="1" t="s">
        <v>11042</v>
      </c>
      <c r="B1144" s="1" t="s">
        <v>11024</v>
      </c>
      <c r="C1144" s="1" t="s">
        <v>11014</v>
      </c>
      <c r="D1144" s="48">
        <v>5</v>
      </c>
      <c r="E1144" s="1">
        <v>2</v>
      </c>
      <c r="F1144" s="1" t="s">
        <v>11015</v>
      </c>
      <c r="G1144" s="1" t="s">
        <v>11051</v>
      </c>
      <c r="I1144" s="1" t="s">
        <v>104</v>
      </c>
      <c r="K1144" s="1" t="s">
        <v>105</v>
      </c>
      <c r="L1144" s="2" t="s">
        <v>11052</v>
      </c>
      <c r="O1144" s="55" t="s">
        <v>113</v>
      </c>
      <c r="T1144" s="60">
        <v>3</v>
      </c>
      <c r="V1144" s="4" t="s">
        <v>11053</v>
      </c>
      <c r="W1144" s="4" t="s">
        <v>11054</v>
      </c>
    </row>
    <row r="1145" spans="1:48" ht="24" x14ac:dyDescent="0.2">
      <c r="A1145" s="1" t="s">
        <v>11042</v>
      </c>
      <c r="B1145" s="1" t="s">
        <v>11025</v>
      </c>
      <c r="C1145" s="1" t="s">
        <v>11014</v>
      </c>
      <c r="D1145" s="48">
        <v>6</v>
      </c>
      <c r="E1145" s="1">
        <v>3</v>
      </c>
      <c r="F1145" s="1" t="s">
        <v>11015</v>
      </c>
      <c r="G1145" s="1" t="s">
        <v>11055</v>
      </c>
      <c r="I1145" s="1" t="s">
        <v>104</v>
      </c>
      <c r="K1145" s="1" t="s">
        <v>105</v>
      </c>
      <c r="O1145" s="55">
        <v>3</v>
      </c>
      <c r="T1145" s="60">
        <v>5</v>
      </c>
      <c r="V1145" s="4" t="s">
        <v>11056</v>
      </c>
      <c r="W1145" s="4" t="s">
        <v>11057</v>
      </c>
    </row>
    <row r="1146" spans="1:48" ht="24" x14ac:dyDescent="0.2">
      <c r="A1146" s="1" t="s">
        <v>11042</v>
      </c>
      <c r="B1146" s="1" t="s">
        <v>11026</v>
      </c>
      <c r="C1146" s="1" t="s">
        <v>11014</v>
      </c>
      <c r="D1146" s="48">
        <v>7</v>
      </c>
      <c r="E1146" s="1">
        <v>2</v>
      </c>
      <c r="F1146" s="1" t="s">
        <v>11015</v>
      </c>
      <c r="G1146" s="1" t="s">
        <v>11058</v>
      </c>
      <c r="I1146" s="1" t="s">
        <v>82</v>
      </c>
      <c r="V1146" s="4" t="s">
        <v>11059</v>
      </c>
      <c r="W1146" s="4" t="s">
        <v>11060</v>
      </c>
    </row>
    <row r="1147" spans="1:48" ht="48" x14ac:dyDescent="0.2">
      <c r="A1147" s="1" t="s">
        <v>11042</v>
      </c>
      <c r="B1147" s="1" t="s">
        <v>11027</v>
      </c>
      <c r="C1147" s="1" t="s">
        <v>11014</v>
      </c>
      <c r="D1147" s="48">
        <v>8</v>
      </c>
      <c r="E1147" s="1">
        <v>2</v>
      </c>
      <c r="F1147" s="1" t="s">
        <v>11015</v>
      </c>
      <c r="G1147" s="1" t="s">
        <v>11062</v>
      </c>
      <c r="I1147" s="1" t="s">
        <v>82</v>
      </c>
      <c r="L1147" s="2" t="s">
        <v>155</v>
      </c>
      <c r="V1147" s="4" t="s">
        <v>11063</v>
      </c>
    </row>
    <row r="1148" spans="1:48" ht="72" x14ac:dyDescent="0.2">
      <c r="A1148" s="119" t="s">
        <v>11042</v>
      </c>
      <c r="B1148" s="119" t="s">
        <v>11028</v>
      </c>
      <c r="C1148" s="119" t="s">
        <v>11018</v>
      </c>
      <c r="D1148" s="120">
        <v>1</v>
      </c>
      <c r="E1148" s="119">
        <v>1</v>
      </c>
      <c r="F1148" s="119" t="s">
        <v>11016</v>
      </c>
      <c r="G1148" s="119" t="s">
        <v>4036</v>
      </c>
      <c r="I1148" s="1" t="s">
        <v>768</v>
      </c>
      <c r="N1148" s="54" t="s">
        <v>9529</v>
      </c>
      <c r="V1148" s="4" t="s">
        <v>769</v>
      </c>
      <c r="Y1148" s="1" t="s">
        <v>4036</v>
      </c>
      <c r="AA1148" s="1" t="s">
        <v>768</v>
      </c>
      <c r="AF1148" s="54" t="s">
        <v>9530</v>
      </c>
      <c r="AN1148" s="4" t="s">
        <v>11090</v>
      </c>
    </row>
    <row r="1149" spans="1:48" ht="72" x14ac:dyDescent="0.2">
      <c r="A1149" s="1" t="s">
        <v>11042</v>
      </c>
      <c r="B1149" s="1" t="s">
        <v>11029</v>
      </c>
      <c r="C1149" s="1" t="s">
        <v>11018</v>
      </c>
      <c r="D1149" s="48">
        <v>2</v>
      </c>
      <c r="E1149" s="1">
        <v>4</v>
      </c>
      <c r="F1149" s="1" t="s">
        <v>11016</v>
      </c>
      <c r="G1149" s="1" t="s">
        <v>11079</v>
      </c>
      <c r="I1149" s="1" t="s">
        <v>94</v>
      </c>
      <c r="K1149" s="1" t="s">
        <v>95</v>
      </c>
      <c r="N1149" s="54">
        <v>15</v>
      </c>
      <c r="O1149" s="55">
        <v>3</v>
      </c>
      <c r="Q1149" s="57">
        <v>3</v>
      </c>
      <c r="R1149" s="58">
        <v>2</v>
      </c>
      <c r="S1149" s="59">
        <v>5</v>
      </c>
      <c r="V1149" s="4" t="s">
        <v>11092</v>
      </c>
    </row>
    <row r="1150" spans="1:48" ht="60" x14ac:dyDescent="0.2">
      <c r="A1150" s="1" t="s">
        <v>11042</v>
      </c>
      <c r="B1150" s="1" t="s">
        <v>11030</v>
      </c>
      <c r="C1150" s="1" t="s">
        <v>11018</v>
      </c>
      <c r="D1150" s="48">
        <v>3</v>
      </c>
      <c r="E1150" s="1">
        <v>3</v>
      </c>
      <c r="F1150" s="1" t="s">
        <v>11016</v>
      </c>
      <c r="G1150" s="1" t="s">
        <v>11080</v>
      </c>
      <c r="I1150" s="1" t="s">
        <v>104</v>
      </c>
      <c r="K1150" s="1" t="s">
        <v>1112</v>
      </c>
      <c r="O1150" s="55">
        <v>2</v>
      </c>
      <c r="T1150" s="60">
        <v>6</v>
      </c>
      <c r="V1150" s="4" t="s">
        <v>11081</v>
      </c>
      <c r="AU1150" s="1" t="s">
        <v>6235</v>
      </c>
      <c r="AV1150" s="1" t="s">
        <v>6236</v>
      </c>
    </row>
    <row r="1151" spans="1:48" ht="24" x14ac:dyDescent="0.2">
      <c r="A1151" s="1" t="s">
        <v>11042</v>
      </c>
      <c r="B1151" s="1" t="s">
        <v>11031</v>
      </c>
      <c r="C1151" s="1" t="s">
        <v>11018</v>
      </c>
      <c r="D1151" s="48">
        <v>4</v>
      </c>
      <c r="E1151" s="1">
        <v>3</v>
      </c>
      <c r="F1151" s="1" t="s">
        <v>11016</v>
      </c>
      <c r="G1151" s="1" t="s">
        <v>11082</v>
      </c>
      <c r="I1151" s="1" t="s">
        <v>104</v>
      </c>
      <c r="K1151" s="1" t="s">
        <v>1178</v>
      </c>
      <c r="O1151" s="55">
        <v>3</v>
      </c>
      <c r="T1151" s="60">
        <v>5</v>
      </c>
      <c r="V1151" s="4" t="s">
        <v>11083</v>
      </c>
      <c r="W1151" s="4" t="s">
        <v>11084</v>
      </c>
      <c r="AU1151" s="1" t="s">
        <v>6237</v>
      </c>
      <c r="AV1151" s="1" t="s">
        <v>6238</v>
      </c>
    </row>
    <row r="1152" spans="1:48" ht="60" x14ac:dyDescent="0.2">
      <c r="A1152" s="1" t="s">
        <v>11042</v>
      </c>
      <c r="B1152" s="1" t="s">
        <v>11032</v>
      </c>
      <c r="C1152" s="1" t="s">
        <v>11018</v>
      </c>
      <c r="D1152" s="48">
        <v>5</v>
      </c>
      <c r="E1152" s="1">
        <v>2</v>
      </c>
      <c r="F1152" s="1" t="s">
        <v>11016</v>
      </c>
      <c r="G1152" s="1" t="s">
        <v>4065</v>
      </c>
      <c r="I1152" s="1" t="s">
        <v>104</v>
      </c>
      <c r="K1152" s="1" t="s">
        <v>1178</v>
      </c>
      <c r="O1152" s="55">
        <v>5</v>
      </c>
      <c r="T1152" s="60">
        <v>2</v>
      </c>
      <c r="V1152" s="4" t="s">
        <v>11085</v>
      </c>
      <c r="AU1152" s="1" t="s">
        <v>6239</v>
      </c>
    </row>
    <row r="1153" spans="1:47" ht="48" x14ac:dyDescent="0.2">
      <c r="A1153" s="1" t="s">
        <v>11042</v>
      </c>
      <c r="B1153" s="1" t="s">
        <v>11033</v>
      </c>
      <c r="C1153" s="1" t="s">
        <v>11018</v>
      </c>
      <c r="D1153" s="48">
        <v>6</v>
      </c>
      <c r="E1153" s="1">
        <v>4</v>
      </c>
      <c r="F1153" s="1" t="s">
        <v>11016</v>
      </c>
      <c r="G1153" s="1" t="s">
        <v>11086</v>
      </c>
      <c r="I1153" s="1" t="s">
        <v>82</v>
      </c>
      <c r="L1153" s="2" t="s">
        <v>685</v>
      </c>
      <c r="V1153" s="4" t="s">
        <v>11087</v>
      </c>
      <c r="AU1153" s="1" t="s">
        <v>6239</v>
      </c>
    </row>
    <row r="1154" spans="1:47" ht="72" x14ac:dyDescent="0.2">
      <c r="A1154" s="1" t="s">
        <v>11042</v>
      </c>
      <c r="B1154" s="1" t="s">
        <v>11034</v>
      </c>
      <c r="C1154" s="1" t="s">
        <v>11018</v>
      </c>
      <c r="D1154" s="48">
        <v>7</v>
      </c>
      <c r="E1154" s="1">
        <v>3</v>
      </c>
      <c r="F1154" s="1" t="s">
        <v>11016</v>
      </c>
      <c r="G1154" s="1" t="s">
        <v>11088</v>
      </c>
      <c r="I1154" s="1" t="s">
        <v>82</v>
      </c>
      <c r="L1154" s="2" t="s">
        <v>685</v>
      </c>
      <c r="V1154" s="4" t="s">
        <v>11093</v>
      </c>
      <c r="AU1154" s="1" t="s">
        <v>6240</v>
      </c>
    </row>
    <row r="1155" spans="1:47" ht="144" x14ac:dyDescent="0.2">
      <c r="A1155" s="119" t="s">
        <v>11042</v>
      </c>
      <c r="B1155" s="119" t="s">
        <v>11035</v>
      </c>
      <c r="C1155" s="119" t="s">
        <v>11019</v>
      </c>
      <c r="D1155" s="120">
        <v>1</v>
      </c>
      <c r="E1155" s="119">
        <v>1</v>
      </c>
      <c r="F1155" s="119" t="s">
        <v>11017</v>
      </c>
      <c r="G1155" s="119" t="s">
        <v>4042</v>
      </c>
      <c r="I1155" s="1" t="s">
        <v>768</v>
      </c>
      <c r="N1155" s="54" t="s">
        <v>9529</v>
      </c>
      <c r="V1155" s="4" t="s">
        <v>769</v>
      </c>
      <c r="Y1155" s="1" t="s">
        <v>4042</v>
      </c>
      <c r="AA1155" s="1" t="s">
        <v>768</v>
      </c>
      <c r="AF1155" s="54" t="s">
        <v>9530</v>
      </c>
      <c r="AN1155" s="4" t="s">
        <v>11091</v>
      </c>
      <c r="AU1155" s="1" t="s">
        <v>6239</v>
      </c>
    </row>
    <row r="1156" spans="1:47" ht="24" x14ac:dyDescent="0.2">
      <c r="A1156" s="1" t="s">
        <v>11042</v>
      </c>
      <c r="B1156" s="1" t="s">
        <v>11036</v>
      </c>
      <c r="C1156" s="1" t="s">
        <v>11019</v>
      </c>
      <c r="D1156" s="48">
        <v>2</v>
      </c>
      <c r="E1156" s="1">
        <v>3</v>
      </c>
      <c r="F1156" s="1" t="s">
        <v>11017</v>
      </c>
      <c r="G1156" s="1" t="s">
        <v>11064</v>
      </c>
      <c r="I1156" s="1" t="s">
        <v>94</v>
      </c>
      <c r="K1156" s="1" t="s">
        <v>95</v>
      </c>
      <c r="N1156" s="54">
        <v>25</v>
      </c>
      <c r="O1156" s="55">
        <v>4</v>
      </c>
      <c r="Q1156" s="57">
        <v>5</v>
      </c>
      <c r="R1156" s="58">
        <v>3</v>
      </c>
      <c r="S1156" s="59">
        <v>5</v>
      </c>
      <c r="V1156" s="4" t="s">
        <v>11065</v>
      </c>
      <c r="W1156" s="4" t="s">
        <v>11066</v>
      </c>
      <c r="AU1156" s="1" t="s">
        <v>6239</v>
      </c>
    </row>
    <row r="1157" spans="1:47" ht="24" x14ac:dyDescent="0.2">
      <c r="A1157" s="1" t="s">
        <v>11042</v>
      </c>
      <c r="B1157" s="1" t="s">
        <v>11037</v>
      </c>
      <c r="C1157" s="1" t="s">
        <v>11019</v>
      </c>
      <c r="D1157" s="48">
        <v>3</v>
      </c>
      <c r="E1157" s="1">
        <v>4</v>
      </c>
      <c r="F1157" s="1" t="s">
        <v>11017</v>
      </c>
      <c r="G1157" s="1" t="s">
        <v>11067</v>
      </c>
      <c r="I1157" s="1" t="s">
        <v>94</v>
      </c>
      <c r="K1157" s="1" t="s">
        <v>604</v>
      </c>
      <c r="N1157" s="54">
        <v>15</v>
      </c>
      <c r="O1157" s="55">
        <v>3</v>
      </c>
      <c r="Q1157" s="57">
        <v>3</v>
      </c>
      <c r="R1157" s="58">
        <v>2</v>
      </c>
      <c r="S1157" s="59">
        <v>4</v>
      </c>
      <c r="V1157" s="4" t="s">
        <v>11068</v>
      </c>
      <c r="W1157" s="4" t="s">
        <v>11069</v>
      </c>
      <c r="AU1157" s="1" t="s">
        <v>6239</v>
      </c>
    </row>
    <row r="1158" spans="1:47" ht="36" x14ac:dyDescent="0.2">
      <c r="A1158" s="1" t="s">
        <v>11042</v>
      </c>
      <c r="B1158" s="1" t="s">
        <v>11038</v>
      </c>
      <c r="C1158" s="1" t="s">
        <v>11019</v>
      </c>
      <c r="D1158" s="48">
        <v>4</v>
      </c>
      <c r="E1158" s="1">
        <v>4</v>
      </c>
      <c r="F1158" s="1" t="s">
        <v>11017</v>
      </c>
      <c r="G1158" s="1" t="s">
        <v>11070</v>
      </c>
      <c r="I1158" s="1" t="s">
        <v>94</v>
      </c>
      <c r="K1158" s="1" t="s">
        <v>604</v>
      </c>
      <c r="L1158" s="2" t="s">
        <v>3246</v>
      </c>
      <c r="N1158" s="54">
        <v>40</v>
      </c>
      <c r="O1158" s="55">
        <v>2</v>
      </c>
      <c r="Q1158" s="57">
        <v>5</v>
      </c>
      <c r="R1158" s="58">
        <v>3</v>
      </c>
      <c r="S1158" s="59">
        <v>5</v>
      </c>
      <c r="V1158" s="4" t="s">
        <v>11071</v>
      </c>
      <c r="AU1158" s="1" t="s">
        <v>6240</v>
      </c>
    </row>
    <row r="1159" spans="1:47" ht="60" x14ac:dyDescent="0.2">
      <c r="A1159" s="1" t="s">
        <v>11042</v>
      </c>
      <c r="B1159" s="1" t="s">
        <v>11039</v>
      </c>
      <c r="C1159" s="1" t="s">
        <v>11019</v>
      </c>
      <c r="D1159" s="48">
        <v>5</v>
      </c>
      <c r="E1159" s="1">
        <v>2</v>
      </c>
      <c r="F1159" s="1" t="s">
        <v>11017</v>
      </c>
      <c r="G1159" s="1" t="s">
        <v>11072</v>
      </c>
      <c r="I1159" s="1" t="s">
        <v>104</v>
      </c>
      <c r="K1159" s="1" t="s">
        <v>4953</v>
      </c>
      <c r="O1159" s="55">
        <v>5</v>
      </c>
      <c r="T1159" s="60">
        <v>5</v>
      </c>
      <c r="V1159" s="4" t="s">
        <v>11073</v>
      </c>
    </row>
    <row r="1160" spans="1:47" ht="24" x14ac:dyDescent="0.2">
      <c r="A1160" s="1" t="s">
        <v>11042</v>
      </c>
      <c r="B1160" s="1" t="s">
        <v>11040</v>
      </c>
      <c r="C1160" s="1" t="s">
        <v>11019</v>
      </c>
      <c r="D1160" s="48">
        <v>6</v>
      </c>
      <c r="E1160" s="1">
        <v>3</v>
      </c>
      <c r="F1160" s="1" t="s">
        <v>11017</v>
      </c>
      <c r="G1160" s="1" t="s">
        <v>11074</v>
      </c>
      <c r="I1160" s="1" t="s">
        <v>104</v>
      </c>
      <c r="K1160" s="1" t="s">
        <v>1178</v>
      </c>
      <c r="O1160" s="55">
        <v>3</v>
      </c>
      <c r="T1160" s="60">
        <v>6</v>
      </c>
      <c r="V1160" s="4" t="s">
        <v>11075</v>
      </c>
      <c r="W1160" s="4" t="s">
        <v>11076</v>
      </c>
    </row>
    <row r="1161" spans="1:47" ht="36" x14ac:dyDescent="0.2">
      <c r="A1161" s="1" t="s">
        <v>11042</v>
      </c>
      <c r="B1161" s="1" t="s">
        <v>11041</v>
      </c>
      <c r="C1161" s="1" t="s">
        <v>11019</v>
      </c>
      <c r="D1161" s="48">
        <v>7</v>
      </c>
      <c r="E1161" s="1">
        <v>3</v>
      </c>
      <c r="F1161" s="1" t="s">
        <v>11017</v>
      </c>
      <c r="G1161" s="1" t="s">
        <v>11077</v>
      </c>
      <c r="I1161" s="1" t="s">
        <v>82</v>
      </c>
      <c r="V1161" s="4" t="s">
        <v>11078</v>
      </c>
      <c r="W1161" s="4" t="s">
        <v>3364</v>
      </c>
    </row>
    <row r="1162" spans="1:47" ht="48" x14ac:dyDescent="0.2">
      <c r="A1162" s="121" t="s">
        <v>4293</v>
      </c>
      <c r="B1162" s="121" t="s">
        <v>4341</v>
      </c>
      <c r="C1162" s="121" t="s">
        <v>5719</v>
      </c>
      <c r="D1162" s="122">
        <v>1</v>
      </c>
      <c r="E1162" s="121">
        <v>1</v>
      </c>
      <c r="F1162" s="121"/>
      <c r="G1162" s="121" t="s">
        <v>4112</v>
      </c>
      <c r="H1162" s="1" t="s">
        <v>26</v>
      </c>
      <c r="I1162" s="1" t="s">
        <v>27</v>
      </c>
      <c r="J1162" s="1" t="s">
        <v>4113</v>
      </c>
      <c r="K1162" s="1" t="s">
        <v>242</v>
      </c>
      <c r="M1162" s="18">
        <v>0</v>
      </c>
      <c r="P1162" s="56">
        <v>1</v>
      </c>
      <c r="Q1162" s="57">
        <v>1</v>
      </c>
      <c r="R1162" s="58">
        <v>1</v>
      </c>
      <c r="S1162" s="59">
        <v>3</v>
      </c>
      <c r="V1162" s="4" t="s">
        <v>4342</v>
      </c>
      <c r="AL1162" s="60" t="s">
        <v>30</v>
      </c>
    </row>
    <row r="1163" spans="1:47" ht="36" x14ac:dyDescent="0.2">
      <c r="A1163" s="1" t="s">
        <v>4293</v>
      </c>
      <c r="B1163" s="1" t="s">
        <v>4532</v>
      </c>
      <c r="C1163" s="1" t="s">
        <v>5719</v>
      </c>
      <c r="D1163" s="48">
        <v>2</v>
      </c>
      <c r="E1163" s="1">
        <v>1</v>
      </c>
      <c r="G1163" s="1" t="s">
        <v>4533</v>
      </c>
      <c r="H1163" s="1" t="s">
        <v>26</v>
      </c>
      <c r="I1163" s="1" t="s">
        <v>27</v>
      </c>
      <c r="J1163" s="1" t="s">
        <v>28</v>
      </c>
      <c r="K1163" s="1" t="s">
        <v>350</v>
      </c>
      <c r="M1163" s="18">
        <v>12</v>
      </c>
      <c r="P1163" s="56">
        <v>3</v>
      </c>
      <c r="Q1163" s="57">
        <v>3</v>
      </c>
      <c r="R1163" s="58">
        <v>1</v>
      </c>
      <c r="S1163" s="59">
        <v>5</v>
      </c>
      <c r="V1163" s="4" t="s">
        <v>4534</v>
      </c>
      <c r="AL1163" s="60" t="s">
        <v>30</v>
      </c>
    </row>
    <row r="1164" spans="1:47" ht="24" x14ac:dyDescent="0.2">
      <c r="A1164" s="1" t="s">
        <v>4293</v>
      </c>
      <c r="B1164" s="1" t="s">
        <v>4479</v>
      </c>
      <c r="C1164" s="1" t="s">
        <v>5719</v>
      </c>
      <c r="D1164" s="48">
        <v>3</v>
      </c>
      <c r="E1164" s="1">
        <v>1</v>
      </c>
      <c r="G1164" s="1" t="s">
        <v>4480</v>
      </c>
      <c r="H1164" s="1" t="s">
        <v>26</v>
      </c>
      <c r="I1164" s="1" t="s">
        <v>27</v>
      </c>
      <c r="J1164" s="1" t="s">
        <v>57</v>
      </c>
      <c r="K1164" s="1" t="s">
        <v>283</v>
      </c>
      <c r="M1164" s="18">
        <v>9</v>
      </c>
      <c r="P1164" s="56">
        <v>2</v>
      </c>
      <c r="Q1164" s="57">
        <v>1</v>
      </c>
      <c r="R1164" s="58">
        <v>2</v>
      </c>
      <c r="S1164" s="59">
        <v>4</v>
      </c>
      <c r="V1164" s="4" t="s">
        <v>4481</v>
      </c>
      <c r="AL1164" s="60" t="s">
        <v>30</v>
      </c>
    </row>
    <row r="1165" spans="1:47" ht="24" x14ac:dyDescent="0.2">
      <c r="A1165" s="1" t="s">
        <v>4293</v>
      </c>
      <c r="B1165" s="1" t="s">
        <v>4488</v>
      </c>
      <c r="C1165" s="1" t="s">
        <v>5719</v>
      </c>
      <c r="D1165" s="48">
        <v>4</v>
      </c>
      <c r="E1165" s="1">
        <v>1</v>
      </c>
      <c r="G1165" s="1" t="s">
        <v>4489</v>
      </c>
      <c r="H1165" s="1" t="s">
        <v>26</v>
      </c>
      <c r="I1165" s="1" t="s">
        <v>27</v>
      </c>
      <c r="J1165" s="1" t="s">
        <v>39</v>
      </c>
      <c r="K1165" s="1" t="s">
        <v>283</v>
      </c>
      <c r="M1165" s="18">
        <v>8</v>
      </c>
      <c r="P1165" s="56">
        <v>2</v>
      </c>
      <c r="Q1165" s="57">
        <v>2</v>
      </c>
      <c r="R1165" s="58">
        <v>1</v>
      </c>
      <c r="S1165" s="59">
        <v>3</v>
      </c>
      <c r="V1165" s="4" t="s">
        <v>4490</v>
      </c>
      <c r="AL1165" s="60" t="s">
        <v>30</v>
      </c>
    </row>
    <row r="1166" spans="1:47" ht="36" x14ac:dyDescent="0.2">
      <c r="A1166" s="1" t="s">
        <v>4293</v>
      </c>
      <c r="B1166" s="1" t="s">
        <v>4335</v>
      </c>
      <c r="C1166" s="1" t="s">
        <v>5719</v>
      </c>
      <c r="D1166" s="48">
        <v>5</v>
      </c>
      <c r="E1166" s="1">
        <v>1</v>
      </c>
      <c r="G1166" s="1" t="s">
        <v>438</v>
      </c>
      <c r="H1166" s="1" t="s">
        <v>26</v>
      </c>
      <c r="I1166" s="1" t="s">
        <v>27</v>
      </c>
      <c r="J1166" s="1" t="s">
        <v>50</v>
      </c>
      <c r="K1166" s="1" t="s">
        <v>439</v>
      </c>
      <c r="L1166" s="2" t="s">
        <v>4336</v>
      </c>
      <c r="M1166" s="18">
        <v>12</v>
      </c>
      <c r="P1166" s="56">
        <v>0</v>
      </c>
      <c r="Q1166" s="57">
        <v>5</v>
      </c>
      <c r="R1166" s="58">
        <v>1</v>
      </c>
      <c r="S1166" s="59">
        <v>10</v>
      </c>
      <c r="V1166" s="4" t="s">
        <v>4337</v>
      </c>
      <c r="AL1166" s="60" t="s">
        <v>30</v>
      </c>
    </row>
    <row r="1167" spans="1:47" ht="36" x14ac:dyDescent="0.2">
      <c r="A1167" s="1" t="s">
        <v>4293</v>
      </c>
      <c r="B1167" s="1" t="s">
        <v>4382</v>
      </c>
      <c r="C1167" s="1" t="s">
        <v>5719</v>
      </c>
      <c r="D1167" s="48">
        <v>6</v>
      </c>
      <c r="E1167" s="1">
        <v>3</v>
      </c>
      <c r="G1167" s="1" t="s">
        <v>4383</v>
      </c>
      <c r="H1167" s="1" t="s">
        <v>26</v>
      </c>
      <c r="I1167" s="1" t="s">
        <v>38</v>
      </c>
      <c r="J1167" s="1" t="s">
        <v>28</v>
      </c>
      <c r="K1167" s="1" t="s">
        <v>283</v>
      </c>
      <c r="M1167" s="18">
        <v>3</v>
      </c>
      <c r="P1167" s="56">
        <v>1</v>
      </c>
      <c r="Q1167" s="57">
        <v>1</v>
      </c>
      <c r="R1167" s="58">
        <v>1</v>
      </c>
      <c r="S1167" s="59">
        <v>2</v>
      </c>
      <c r="V1167" s="4" t="s">
        <v>4384</v>
      </c>
      <c r="AL1167" s="60" t="s">
        <v>30</v>
      </c>
    </row>
    <row r="1168" spans="1:47" ht="36" x14ac:dyDescent="0.2">
      <c r="A1168" s="1" t="s">
        <v>4293</v>
      </c>
      <c r="B1168" s="1" t="s">
        <v>4454</v>
      </c>
      <c r="C1168" s="1" t="s">
        <v>5719</v>
      </c>
      <c r="D1168" s="48">
        <v>7</v>
      </c>
      <c r="E1168" s="1">
        <v>3</v>
      </c>
      <c r="G1168" s="1" t="s">
        <v>4455</v>
      </c>
      <c r="H1168" s="1" t="s">
        <v>26</v>
      </c>
      <c r="I1168" s="1" t="s">
        <v>38</v>
      </c>
      <c r="J1168" s="1" t="s">
        <v>57</v>
      </c>
      <c r="K1168" s="1" t="s">
        <v>283</v>
      </c>
      <c r="M1168" s="18">
        <v>3</v>
      </c>
      <c r="P1168" s="56">
        <v>1</v>
      </c>
      <c r="Q1168" s="57">
        <v>1</v>
      </c>
      <c r="R1168" s="58">
        <v>1</v>
      </c>
      <c r="S1168" s="59">
        <v>2</v>
      </c>
      <c r="V1168" s="4" t="s">
        <v>4456</v>
      </c>
      <c r="AL1168" s="60" t="s">
        <v>30</v>
      </c>
    </row>
    <row r="1169" spans="1:38" ht="36" x14ac:dyDescent="0.2">
      <c r="A1169" s="1" t="s">
        <v>4293</v>
      </c>
      <c r="B1169" s="1" t="s">
        <v>4347</v>
      </c>
      <c r="C1169" s="1" t="s">
        <v>5719</v>
      </c>
      <c r="D1169" s="48">
        <v>8</v>
      </c>
      <c r="E1169" s="1">
        <v>3</v>
      </c>
      <c r="G1169" s="1" t="s">
        <v>4348</v>
      </c>
      <c r="H1169" s="1" t="s">
        <v>26</v>
      </c>
      <c r="I1169" s="1" t="s">
        <v>38</v>
      </c>
      <c r="J1169" s="1" t="s">
        <v>50</v>
      </c>
      <c r="K1169" s="1" t="s">
        <v>283</v>
      </c>
      <c r="M1169" s="18">
        <v>3</v>
      </c>
      <c r="P1169" s="56">
        <v>2</v>
      </c>
      <c r="Q1169" s="57">
        <v>2</v>
      </c>
      <c r="R1169" s="58">
        <v>0</v>
      </c>
      <c r="S1169" s="59">
        <v>3</v>
      </c>
      <c r="V1169" s="4" t="s">
        <v>4349</v>
      </c>
      <c r="AL1169" s="60" t="s">
        <v>30</v>
      </c>
    </row>
    <row r="1170" spans="1:38" ht="24" x14ac:dyDescent="0.2">
      <c r="A1170" s="1" t="s">
        <v>4293</v>
      </c>
      <c r="B1170" s="1" t="s">
        <v>4370</v>
      </c>
      <c r="C1170" s="1" t="s">
        <v>5719</v>
      </c>
      <c r="D1170" s="48">
        <v>9</v>
      </c>
      <c r="E1170" s="1">
        <v>3</v>
      </c>
      <c r="G1170" s="1" t="s">
        <v>4371</v>
      </c>
      <c r="H1170" s="1" t="s">
        <v>26</v>
      </c>
      <c r="I1170" s="1" t="s">
        <v>38</v>
      </c>
      <c r="J1170" s="1" t="s">
        <v>39</v>
      </c>
      <c r="K1170" s="1" t="s">
        <v>283</v>
      </c>
      <c r="M1170" s="18">
        <v>3</v>
      </c>
      <c r="P1170" s="56">
        <v>1</v>
      </c>
      <c r="Q1170" s="57">
        <v>2</v>
      </c>
      <c r="R1170" s="58">
        <v>1</v>
      </c>
      <c r="S1170" s="59">
        <v>3</v>
      </c>
      <c r="V1170" s="4" t="s">
        <v>4372</v>
      </c>
      <c r="AL1170" s="60" t="s">
        <v>30</v>
      </c>
    </row>
    <row r="1171" spans="1:38" ht="48" x14ac:dyDescent="0.2">
      <c r="A1171" s="1" t="s">
        <v>4293</v>
      </c>
      <c r="B1171" s="1" t="s">
        <v>4395</v>
      </c>
      <c r="C1171" s="1" t="s">
        <v>5719</v>
      </c>
      <c r="D1171" s="48">
        <v>10</v>
      </c>
      <c r="E1171" s="1">
        <v>3</v>
      </c>
      <c r="G1171" s="1" t="s">
        <v>571</v>
      </c>
      <c r="H1171" s="1" t="s">
        <v>26</v>
      </c>
      <c r="I1171" s="1" t="s">
        <v>38</v>
      </c>
      <c r="J1171" s="1" t="s">
        <v>44</v>
      </c>
      <c r="K1171" s="1" t="s">
        <v>45</v>
      </c>
      <c r="M1171" s="18">
        <v>5</v>
      </c>
      <c r="P1171" s="56">
        <v>4</v>
      </c>
      <c r="Q1171" s="57">
        <v>4</v>
      </c>
      <c r="R1171" s="58">
        <v>4</v>
      </c>
      <c r="S1171" s="59">
        <v>4</v>
      </c>
      <c r="V1171" s="4" t="s">
        <v>4396</v>
      </c>
      <c r="AL1171" s="60" t="s">
        <v>30</v>
      </c>
    </row>
    <row r="1172" spans="1:38" x14ac:dyDescent="0.2">
      <c r="A1172" s="1" t="s">
        <v>4293</v>
      </c>
      <c r="B1172" s="1" t="s">
        <v>4365</v>
      </c>
      <c r="C1172" s="1" t="s">
        <v>5719</v>
      </c>
      <c r="D1172" s="48">
        <v>11</v>
      </c>
      <c r="E1172" s="1">
        <v>3</v>
      </c>
      <c r="G1172" s="1" t="s">
        <v>4366</v>
      </c>
      <c r="I1172" s="1" t="s">
        <v>56</v>
      </c>
      <c r="J1172" s="1" t="s">
        <v>28</v>
      </c>
      <c r="K1172" s="1" t="s">
        <v>89</v>
      </c>
      <c r="L1172" s="2" t="s">
        <v>71</v>
      </c>
      <c r="M1172" s="18">
        <v>0</v>
      </c>
      <c r="V1172" s="4" t="s">
        <v>4367</v>
      </c>
      <c r="AL1172" s="60" t="s">
        <v>30</v>
      </c>
    </row>
    <row r="1173" spans="1:38" ht="36" x14ac:dyDescent="0.2">
      <c r="A1173" s="1" t="s">
        <v>4293</v>
      </c>
      <c r="B1173" s="1" t="s">
        <v>4507</v>
      </c>
      <c r="C1173" s="1" t="s">
        <v>5719</v>
      </c>
      <c r="D1173" s="48">
        <v>12</v>
      </c>
      <c r="E1173" s="1">
        <v>3</v>
      </c>
      <c r="G1173" s="1" t="s">
        <v>4508</v>
      </c>
      <c r="I1173" s="1" t="s">
        <v>56</v>
      </c>
      <c r="J1173" s="1" t="s">
        <v>57</v>
      </c>
      <c r="K1173" s="1" t="s">
        <v>89</v>
      </c>
      <c r="L1173" s="2" t="s">
        <v>299</v>
      </c>
      <c r="M1173" s="18">
        <v>0</v>
      </c>
      <c r="V1173" s="4" t="s">
        <v>4509</v>
      </c>
      <c r="AL1173" s="60" t="s">
        <v>30</v>
      </c>
    </row>
    <row r="1174" spans="1:38" ht="36" x14ac:dyDescent="0.2">
      <c r="A1174" s="1" t="s">
        <v>4293</v>
      </c>
      <c r="B1174" s="1" t="s">
        <v>4535</v>
      </c>
      <c r="C1174" s="1" t="s">
        <v>5719</v>
      </c>
      <c r="D1174" s="48">
        <v>13</v>
      </c>
      <c r="E1174" s="1">
        <v>3</v>
      </c>
      <c r="G1174" s="1" t="s">
        <v>10580</v>
      </c>
      <c r="H1174" s="1" t="s">
        <v>26</v>
      </c>
      <c r="I1174" s="1" t="s">
        <v>56</v>
      </c>
      <c r="J1174" s="1" t="s">
        <v>39</v>
      </c>
      <c r="K1174" s="1" t="s">
        <v>150</v>
      </c>
      <c r="L1174" s="2" t="s">
        <v>71</v>
      </c>
      <c r="M1174" s="18">
        <v>1</v>
      </c>
      <c r="V1174" s="4" t="s">
        <v>10581</v>
      </c>
      <c r="AL1174" s="60" t="s">
        <v>30</v>
      </c>
    </row>
    <row r="1175" spans="1:38" ht="48" x14ac:dyDescent="0.2">
      <c r="A1175" s="1" t="s">
        <v>4293</v>
      </c>
      <c r="B1175" s="1" t="s">
        <v>4326</v>
      </c>
      <c r="C1175" s="1" t="s">
        <v>5719</v>
      </c>
      <c r="D1175" s="48">
        <v>14</v>
      </c>
      <c r="E1175" s="1">
        <v>3</v>
      </c>
      <c r="G1175" s="1" t="s">
        <v>4327</v>
      </c>
      <c r="I1175" s="1" t="s">
        <v>63</v>
      </c>
      <c r="J1175" s="1" t="s">
        <v>28</v>
      </c>
      <c r="M1175" s="18">
        <v>0</v>
      </c>
      <c r="V1175" s="4" t="s">
        <v>4328</v>
      </c>
      <c r="AL1175" s="60" t="s">
        <v>30</v>
      </c>
    </row>
    <row r="1176" spans="1:38" ht="24" x14ac:dyDescent="0.2">
      <c r="A1176" s="1" t="s">
        <v>4293</v>
      </c>
      <c r="B1176" s="1" t="s">
        <v>4385</v>
      </c>
      <c r="C1176" s="1" t="s">
        <v>5719</v>
      </c>
      <c r="D1176" s="48">
        <v>15</v>
      </c>
      <c r="E1176" s="1">
        <v>3</v>
      </c>
      <c r="G1176" s="1" t="s">
        <v>4386</v>
      </c>
      <c r="I1176" s="1" t="s">
        <v>63</v>
      </c>
      <c r="J1176" s="1" t="s">
        <v>50</v>
      </c>
      <c r="M1176" s="18">
        <v>0</v>
      </c>
      <c r="V1176" s="4" t="s">
        <v>4387</v>
      </c>
      <c r="AL1176" s="60" t="s">
        <v>30</v>
      </c>
    </row>
    <row r="1177" spans="1:38" ht="36" x14ac:dyDescent="0.2">
      <c r="A1177" s="1" t="s">
        <v>4293</v>
      </c>
      <c r="B1177" s="1" t="s">
        <v>4420</v>
      </c>
      <c r="C1177" s="1" t="s">
        <v>5719</v>
      </c>
      <c r="D1177" s="48">
        <v>16</v>
      </c>
      <c r="E1177" s="1">
        <v>3</v>
      </c>
      <c r="G1177" s="1" t="s">
        <v>4421</v>
      </c>
      <c r="I1177" s="1" t="s">
        <v>63</v>
      </c>
      <c r="J1177" s="1" t="s">
        <v>50</v>
      </c>
      <c r="M1177" s="18">
        <v>0</v>
      </c>
      <c r="V1177" s="4" t="s">
        <v>4422</v>
      </c>
      <c r="AL1177" s="60" t="s">
        <v>30</v>
      </c>
    </row>
    <row r="1178" spans="1:38" ht="24" x14ac:dyDescent="0.2">
      <c r="A1178" s="1" t="s">
        <v>4293</v>
      </c>
      <c r="B1178" s="1" t="s">
        <v>4461</v>
      </c>
      <c r="C1178" s="1" t="s">
        <v>5719</v>
      </c>
      <c r="D1178" s="48">
        <v>17</v>
      </c>
      <c r="E1178" s="1">
        <v>3</v>
      </c>
      <c r="G1178" s="1" t="s">
        <v>4462</v>
      </c>
      <c r="I1178" s="1" t="s">
        <v>63</v>
      </c>
      <c r="J1178" s="1" t="s">
        <v>57</v>
      </c>
      <c r="M1178" s="18">
        <v>0</v>
      </c>
      <c r="V1178" s="4" t="s">
        <v>4463</v>
      </c>
      <c r="AL1178" s="60" t="s">
        <v>30</v>
      </c>
    </row>
    <row r="1179" spans="1:38" ht="48" x14ac:dyDescent="0.2">
      <c r="A1179" s="1" t="s">
        <v>4293</v>
      </c>
      <c r="B1179" s="1" t="s">
        <v>4379</v>
      </c>
      <c r="C1179" s="1" t="s">
        <v>5719</v>
      </c>
      <c r="D1179" s="48">
        <v>18</v>
      </c>
      <c r="E1179" s="1">
        <v>3</v>
      </c>
      <c r="G1179" s="1" t="s">
        <v>4380</v>
      </c>
      <c r="I1179" s="1" t="s">
        <v>63</v>
      </c>
      <c r="J1179" s="1" t="s">
        <v>39</v>
      </c>
      <c r="M1179" s="18">
        <v>1</v>
      </c>
      <c r="V1179" s="4" t="s">
        <v>4381</v>
      </c>
      <c r="AL1179" s="60" t="s">
        <v>30</v>
      </c>
    </row>
    <row r="1180" spans="1:38" ht="48" x14ac:dyDescent="0.2">
      <c r="A1180" s="1" t="s">
        <v>4293</v>
      </c>
      <c r="B1180" s="1" t="s">
        <v>4350</v>
      </c>
      <c r="C1180" s="1" t="s">
        <v>5719</v>
      </c>
      <c r="D1180" s="48">
        <v>19</v>
      </c>
      <c r="E1180" s="1">
        <v>3</v>
      </c>
      <c r="G1180" s="1" t="s">
        <v>4351</v>
      </c>
      <c r="I1180" s="1" t="s">
        <v>63</v>
      </c>
      <c r="J1180" s="1" t="s">
        <v>4113</v>
      </c>
      <c r="M1180" s="18">
        <v>1</v>
      </c>
      <c r="V1180" s="4" t="s">
        <v>4352</v>
      </c>
      <c r="AL1180" s="60" t="s">
        <v>30</v>
      </c>
    </row>
    <row r="1181" spans="1:38" ht="60" x14ac:dyDescent="0.2">
      <c r="A1181" s="1" t="s">
        <v>4293</v>
      </c>
      <c r="B1181" s="1" t="s">
        <v>4510</v>
      </c>
      <c r="C1181" s="1" t="s">
        <v>5719</v>
      </c>
      <c r="D1181" s="48">
        <v>20</v>
      </c>
      <c r="E1181" s="1">
        <v>1</v>
      </c>
      <c r="G1181" s="1" t="s">
        <v>4511</v>
      </c>
      <c r="H1181" s="1" t="s">
        <v>26</v>
      </c>
      <c r="I1181" s="1" t="s">
        <v>4050</v>
      </c>
      <c r="J1181" s="1" t="s">
        <v>44</v>
      </c>
      <c r="K1181" s="1" t="s">
        <v>3565</v>
      </c>
      <c r="L1181" s="2" t="s">
        <v>4512</v>
      </c>
      <c r="M1181" s="18">
        <v>0</v>
      </c>
      <c r="V1181" s="4" t="s">
        <v>4513</v>
      </c>
      <c r="AL1181" s="60" t="s">
        <v>30</v>
      </c>
    </row>
    <row r="1182" spans="1:38" ht="48" x14ac:dyDescent="0.2">
      <c r="A1182" s="1" t="s">
        <v>4293</v>
      </c>
      <c r="B1182" s="1" t="s">
        <v>4485</v>
      </c>
      <c r="C1182" s="1" t="s">
        <v>5719</v>
      </c>
      <c r="D1182" s="48">
        <v>21</v>
      </c>
      <c r="E1182" s="1">
        <v>1</v>
      </c>
      <c r="G1182" s="1" t="s">
        <v>4486</v>
      </c>
      <c r="H1182" s="1" t="s">
        <v>26</v>
      </c>
      <c r="I1182" s="1" t="s">
        <v>4050</v>
      </c>
      <c r="J1182" s="1" t="s">
        <v>44</v>
      </c>
      <c r="K1182" s="1" t="s">
        <v>3565</v>
      </c>
      <c r="L1182" s="2" t="s">
        <v>427</v>
      </c>
      <c r="M1182" s="18">
        <v>0</v>
      </c>
      <c r="V1182" s="4" t="s">
        <v>4487</v>
      </c>
      <c r="AL1182" s="60" t="s">
        <v>30</v>
      </c>
    </row>
    <row r="1183" spans="1:38" ht="48" x14ac:dyDescent="0.2">
      <c r="A1183" s="1" t="s">
        <v>4293</v>
      </c>
      <c r="B1183" s="1" t="s">
        <v>4397</v>
      </c>
      <c r="C1183" s="1" t="s">
        <v>5719</v>
      </c>
      <c r="D1183" s="48">
        <v>22</v>
      </c>
      <c r="E1183" s="1">
        <v>1</v>
      </c>
      <c r="G1183" s="1" t="s">
        <v>4398</v>
      </c>
      <c r="H1183" s="1" t="s">
        <v>26</v>
      </c>
      <c r="I1183" s="1" t="s">
        <v>4050</v>
      </c>
      <c r="J1183" s="1" t="s">
        <v>44</v>
      </c>
      <c r="K1183" s="1" t="s">
        <v>3565</v>
      </c>
      <c r="L1183" s="2" t="s">
        <v>4399</v>
      </c>
      <c r="M1183" s="18">
        <v>0</v>
      </c>
      <c r="V1183" s="4" t="s">
        <v>4400</v>
      </c>
      <c r="AL1183" s="60" t="s">
        <v>30</v>
      </c>
    </row>
    <row r="1184" spans="1:38" ht="60" x14ac:dyDescent="0.2">
      <c r="A1184" s="111" t="s">
        <v>4293</v>
      </c>
      <c r="B1184" s="111" t="s">
        <v>4332</v>
      </c>
      <c r="C1184" s="111" t="s">
        <v>5719</v>
      </c>
      <c r="D1184" s="112">
        <v>23</v>
      </c>
      <c r="E1184" s="111">
        <v>1</v>
      </c>
      <c r="F1184" s="111" t="s">
        <v>4298</v>
      </c>
      <c r="G1184" s="111" t="s">
        <v>9565</v>
      </c>
      <c r="I1184" s="1" t="s">
        <v>125</v>
      </c>
      <c r="M1184" s="18">
        <v>1</v>
      </c>
      <c r="N1184" s="54" t="s">
        <v>9529</v>
      </c>
      <c r="V1184" s="4" t="s">
        <v>4333</v>
      </c>
      <c r="X1184" s="1" t="s">
        <v>4334</v>
      </c>
      <c r="Y1184" s="1" t="s">
        <v>9565</v>
      </c>
      <c r="AA1184" s="1" t="s">
        <v>125</v>
      </c>
      <c r="AE1184" s="1">
        <v>1</v>
      </c>
      <c r="AF1184" s="54" t="s">
        <v>9530</v>
      </c>
      <c r="AL1184" s="60" t="s">
        <v>243</v>
      </c>
    </row>
    <row r="1185" spans="1:48" ht="72" x14ac:dyDescent="0.2">
      <c r="A1185" s="1" t="s">
        <v>4293</v>
      </c>
      <c r="B1185" s="1" t="s">
        <v>4504</v>
      </c>
      <c r="C1185" s="1" t="s">
        <v>5719</v>
      </c>
      <c r="D1185" s="48">
        <v>24</v>
      </c>
      <c r="E1185" s="1">
        <v>1</v>
      </c>
      <c r="F1185" s="1" t="s">
        <v>4298</v>
      </c>
      <c r="G1185" s="1" t="s">
        <v>9625</v>
      </c>
      <c r="I1185" s="1" t="s">
        <v>125</v>
      </c>
      <c r="M1185" s="18">
        <v>2</v>
      </c>
      <c r="N1185" s="54" t="s">
        <v>9529</v>
      </c>
      <c r="V1185" s="4" t="s">
        <v>4505</v>
      </c>
      <c r="Y1185" s="1" t="s">
        <v>9625</v>
      </c>
      <c r="AA1185" s="1" t="s">
        <v>125</v>
      </c>
      <c r="AE1185" s="1">
        <v>2</v>
      </c>
      <c r="AF1185" s="54" t="s">
        <v>9530</v>
      </c>
      <c r="AL1185" s="60" t="s">
        <v>36</v>
      </c>
      <c r="AN1185" s="4" t="s">
        <v>4506</v>
      </c>
    </row>
    <row r="1186" spans="1:48" ht="60" x14ac:dyDescent="0.2">
      <c r="A1186" s="1" t="s">
        <v>4293</v>
      </c>
      <c r="B1186" s="1" t="s">
        <v>4368</v>
      </c>
      <c r="C1186" s="1" t="s">
        <v>5719</v>
      </c>
      <c r="D1186" s="48">
        <v>25</v>
      </c>
      <c r="E1186" s="1">
        <v>1</v>
      </c>
      <c r="F1186" s="1" t="s">
        <v>4298</v>
      </c>
      <c r="G1186" s="1" t="s">
        <v>2934</v>
      </c>
      <c r="I1186" s="1" t="s">
        <v>125</v>
      </c>
      <c r="M1186" s="18">
        <v>3</v>
      </c>
      <c r="N1186" s="54" t="s">
        <v>9529</v>
      </c>
      <c r="Y1186" s="1" t="s">
        <v>2934</v>
      </c>
      <c r="AA1186" s="1" t="s">
        <v>125</v>
      </c>
      <c r="AE1186" s="1">
        <v>3</v>
      </c>
      <c r="AF1186" s="54" t="s">
        <v>9530</v>
      </c>
      <c r="AL1186" s="60" t="s">
        <v>67</v>
      </c>
      <c r="AN1186" s="4" t="s">
        <v>4369</v>
      </c>
    </row>
    <row r="1187" spans="1:48" ht="60" x14ac:dyDescent="0.2">
      <c r="A1187" s="1" t="s">
        <v>4293</v>
      </c>
      <c r="B1187" s="1" t="s">
        <v>4308</v>
      </c>
      <c r="C1187" s="1" t="s">
        <v>5719</v>
      </c>
      <c r="D1187" s="48">
        <v>26</v>
      </c>
      <c r="E1187" s="1">
        <v>1</v>
      </c>
      <c r="F1187" s="1" t="s">
        <v>4310</v>
      </c>
      <c r="G1187" s="1" t="s">
        <v>9566</v>
      </c>
      <c r="I1187" s="1" t="s">
        <v>125</v>
      </c>
      <c r="M1187" s="18">
        <v>1</v>
      </c>
      <c r="N1187" s="54" t="s">
        <v>9529</v>
      </c>
      <c r="V1187" s="4" t="s">
        <v>4309</v>
      </c>
      <c r="X1187" s="1" t="s">
        <v>1629</v>
      </c>
      <c r="Y1187" s="1" t="s">
        <v>9566</v>
      </c>
      <c r="AA1187" s="1" t="s">
        <v>125</v>
      </c>
      <c r="AE1187" s="1">
        <v>1</v>
      </c>
      <c r="AF1187" s="54" t="s">
        <v>9530</v>
      </c>
      <c r="AL1187" s="60" t="s">
        <v>67</v>
      </c>
      <c r="AN1187" s="4" t="s">
        <v>4311</v>
      </c>
    </row>
    <row r="1188" spans="1:48" ht="36" x14ac:dyDescent="0.2">
      <c r="A1188" s="1" t="s">
        <v>4293</v>
      </c>
      <c r="B1188" s="1" t="s">
        <v>4527</v>
      </c>
      <c r="C1188" s="1" t="s">
        <v>5719</v>
      </c>
      <c r="D1188" s="48">
        <v>27</v>
      </c>
      <c r="E1188" s="1">
        <v>1</v>
      </c>
      <c r="F1188" s="1" t="s">
        <v>4310</v>
      </c>
      <c r="G1188" s="1" t="s">
        <v>9576</v>
      </c>
      <c r="I1188" s="1" t="s">
        <v>125</v>
      </c>
      <c r="M1188" s="18">
        <v>2</v>
      </c>
      <c r="N1188" s="54" t="s">
        <v>9529</v>
      </c>
      <c r="Y1188" s="1" t="s">
        <v>9576</v>
      </c>
      <c r="AA1188" s="1" t="s">
        <v>125</v>
      </c>
      <c r="AE1188" s="1">
        <v>2</v>
      </c>
      <c r="AF1188" s="54" t="s">
        <v>9530</v>
      </c>
      <c r="AL1188" s="60" t="s">
        <v>1982</v>
      </c>
      <c r="AN1188" s="4" t="s">
        <v>4528</v>
      </c>
    </row>
    <row r="1189" spans="1:48" ht="96" x14ac:dyDescent="0.2">
      <c r="A1189" s="1" t="s">
        <v>4293</v>
      </c>
      <c r="B1189" s="1" t="s">
        <v>4373</v>
      </c>
      <c r="C1189" s="1" t="s">
        <v>5719</v>
      </c>
      <c r="D1189" s="48">
        <v>28</v>
      </c>
      <c r="E1189" s="1">
        <v>1</v>
      </c>
      <c r="F1189" s="1" t="s">
        <v>4361</v>
      </c>
      <c r="G1189" s="1" t="s">
        <v>9686</v>
      </c>
      <c r="I1189" s="1" t="s">
        <v>125</v>
      </c>
      <c r="M1189" s="18">
        <v>3</v>
      </c>
      <c r="N1189" s="54" t="s">
        <v>9529</v>
      </c>
      <c r="V1189" s="4" t="s">
        <v>4374</v>
      </c>
      <c r="Y1189" s="1" t="s">
        <v>9686</v>
      </c>
      <c r="AA1189" s="1" t="s">
        <v>125</v>
      </c>
      <c r="AE1189" s="1">
        <v>3</v>
      </c>
      <c r="AF1189" s="54" t="s">
        <v>9530</v>
      </c>
      <c r="AL1189" s="60" t="s">
        <v>122</v>
      </c>
      <c r="AN1189" s="4" t="s">
        <v>4375</v>
      </c>
    </row>
    <row r="1190" spans="1:48" ht="36" x14ac:dyDescent="0.2">
      <c r="A1190" s="1" t="s">
        <v>4293</v>
      </c>
      <c r="B1190" s="1" t="s">
        <v>4491</v>
      </c>
      <c r="C1190" s="1" t="s">
        <v>5719</v>
      </c>
      <c r="D1190" s="48">
        <v>29</v>
      </c>
      <c r="E1190" s="1">
        <v>1</v>
      </c>
      <c r="F1190" s="1" t="s">
        <v>4346</v>
      </c>
      <c r="G1190" s="1" t="s">
        <v>9567</v>
      </c>
      <c r="I1190" s="1" t="s">
        <v>125</v>
      </c>
      <c r="M1190" s="18">
        <v>1</v>
      </c>
      <c r="N1190" s="54" t="s">
        <v>9529</v>
      </c>
      <c r="V1190" s="4" t="s">
        <v>4492</v>
      </c>
      <c r="X1190" s="1" t="s">
        <v>2151</v>
      </c>
      <c r="Y1190" s="1" t="s">
        <v>9567</v>
      </c>
      <c r="AA1190" s="1" t="s">
        <v>125</v>
      </c>
      <c r="AE1190" s="1">
        <v>1</v>
      </c>
      <c r="AF1190" s="54" t="s">
        <v>9530</v>
      </c>
      <c r="AL1190" s="60" t="s">
        <v>5621</v>
      </c>
      <c r="AN1190" s="4" t="s">
        <v>4493</v>
      </c>
    </row>
    <row r="1191" spans="1:48" ht="84" x14ac:dyDescent="0.2">
      <c r="A1191" s="1" t="s">
        <v>4293</v>
      </c>
      <c r="B1191" s="1" t="s">
        <v>4497</v>
      </c>
      <c r="C1191" s="1" t="s">
        <v>5719</v>
      </c>
      <c r="D1191" s="48">
        <v>30</v>
      </c>
      <c r="E1191" s="1">
        <v>1</v>
      </c>
      <c r="F1191" s="1" t="s">
        <v>4346</v>
      </c>
      <c r="G1191" s="1" t="s">
        <v>9626</v>
      </c>
      <c r="I1191" s="1" t="s">
        <v>125</v>
      </c>
      <c r="M1191" s="18">
        <v>2</v>
      </c>
      <c r="N1191" s="54" t="s">
        <v>9529</v>
      </c>
      <c r="V1191" s="4" t="s">
        <v>4498</v>
      </c>
      <c r="Y1191" s="1" t="s">
        <v>9626</v>
      </c>
      <c r="AA1191" s="1" t="s">
        <v>125</v>
      </c>
      <c r="AE1191" s="1">
        <v>2</v>
      </c>
      <c r="AF1191" s="54" t="s">
        <v>9530</v>
      </c>
      <c r="AL1191" s="60" t="s">
        <v>346</v>
      </c>
      <c r="AN1191" s="4" t="s">
        <v>4499</v>
      </c>
    </row>
    <row r="1192" spans="1:48" ht="108" x14ac:dyDescent="0.2">
      <c r="A1192" s="1" t="s">
        <v>4293</v>
      </c>
      <c r="B1192" s="1" t="s">
        <v>4449</v>
      </c>
      <c r="C1192" s="1" t="s">
        <v>5719</v>
      </c>
      <c r="D1192" s="48">
        <v>31</v>
      </c>
      <c r="E1192" s="1">
        <v>1</v>
      </c>
      <c r="F1192" s="1" t="s">
        <v>4346</v>
      </c>
      <c r="G1192" s="1" t="s">
        <v>9687</v>
      </c>
      <c r="I1192" s="1" t="s">
        <v>125</v>
      </c>
      <c r="M1192" s="18">
        <v>3</v>
      </c>
      <c r="N1192" s="54" t="s">
        <v>9529</v>
      </c>
      <c r="Y1192" s="1" t="s">
        <v>9687</v>
      </c>
      <c r="AA1192" s="1" t="s">
        <v>125</v>
      </c>
      <c r="AE1192" s="1">
        <v>3</v>
      </c>
      <c r="AF1192" s="54" t="s">
        <v>9530</v>
      </c>
      <c r="AL1192" s="60" t="s">
        <v>1982</v>
      </c>
      <c r="AN1192" s="4" t="s">
        <v>4450</v>
      </c>
    </row>
    <row r="1193" spans="1:48" ht="84" x14ac:dyDescent="0.2">
      <c r="A1193" s="111" t="s">
        <v>4293</v>
      </c>
      <c r="B1193" s="111" t="s">
        <v>4559</v>
      </c>
      <c r="C1193" s="111" t="s">
        <v>5719</v>
      </c>
      <c r="D1193" s="112">
        <v>32</v>
      </c>
      <c r="E1193" s="111">
        <v>1</v>
      </c>
      <c r="F1193" s="111" t="s">
        <v>4298</v>
      </c>
      <c r="G1193" s="111" t="s">
        <v>4560</v>
      </c>
      <c r="H1193" s="1" t="s">
        <v>26</v>
      </c>
      <c r="I1193" s="1" t="s">
        <v>94</v>
      </c>
      <c r="K1193" s="1" t="s">
        <v>287</v>
      </c>
      <c r="N1193" s="54">
        <v>38</v>
      </c>
      <c r="O1193" s="55">
        <v>3</v>
      </c>
      <c r="Q1193" s="57">
        <v>5</v>
      </c>
      <c r="R1193" s="58">
        <v>2</v>
      </c>
      <c r="S1193" s="59">
        <v>12</v>
      </c>
      <c r="U1193" s="1">
        <v>5</v>
      </c>
      <c r="V1193" s="4" t="s">
        <v>4561</v>
      </c>
      <c r="AL1193" s="60" t="s">
        <v>30</v>
      </c>
    </row>
    <row r="1194" spans="1:48" ht="84" x14ac:dyDescent="0.2">
      <c r="A1194" s="1" t="s">
        <v>4293</v>
      </c>
      <c r="B1194" s="1" t="s">
        <v>4338</v>
      </c>
      <c r="C1194" s="1" t="s">
        <v>5719</v>
      </c>
      <c r="D1194" s="48">
        <v>33</v>
      </c>
      <c r="E1194" s="1">
        <v>1</v>
      </c>
      <c r="F1194" s="1" t="s">
        <v>4298</v>
      </c>
      <c r="G1194" s="1" t="s">
        <v>4339</v>
      </c>
      <c r="H1194" s="1" t="s">
        <v>26</v>
      </c>
      <c r="I1194" s="1" t="s">
        <v>94</v>
      </c>
      <c r="K1194" s="1" t="s">
        <v>287</v>
      </c>
      <c r="N1194" s="54">
        <v>23</v>
      </c>
      <c r="O1194" s="55">
        <v>3</v>
      </c>
      <c r="Q1194" s="57">
        <v>5</v>
      </c>
      <c r="R1194" s="58">
        <v>2</v>
      </c>
      <c r="S1194" s="59">
        <v>10</v>
      </c>
      <c r="U1194" s="1">
        <v>3</v>
      </c>
      <c r="V1194" s="4" t="s">
        <v>4340</v>
      </c>
      <c r="AL1194" s="60" t="s">
        <v>30</v>
      </c>
    </row>
    <row r="1195" spans="1:48" ht="84" x14ac:dyDescent="0.2">
      <c r="A1195" s="1" t="s">
        <v>4293</v>
      </c>
      <c r="B1195" s="1" t="s">
        <v>4536</v>
      </c>
      <c r="C1195" s="1" t="s">
        <v>5719</v>
      </c>
      <c r="D1195" s="48">
        <v>34</v>
      </c>
      <c r="E1195" s="1">
        <v>1</v>
      </c>
      <c r="F1195" s="1" t="s">
        <v>4298</v>
      </c>
      <c r="G1195" s="1" t="s">
        <v>4537</v>
      </c>
      <c r="H1195" s="1" t="s">
        <v>26</v>
      </c>
      <c r="I1195" s="1" t="s">
        <v>94</v>
      </c>
      <c r="K1195" s="1" t="s">
        <v>287</v>
      </c>
      <c r="N1195" s="54">
        <v>33</v>
      </c>
      <c r="O1195" s="55">
        <v>3</v>
      </c>
      <c r="Q1195" s="57">
        <v>5</v>
      </c>
      <c r="R1195" s="58">
        <v>2</v>
      </c>
      <c r="S1195" s="59">
        <v>11</v>
      </c>
      <c r="U1195" s="1">
        <v>4</v>
      </c>
      <c r="V1195" s="4" t="s">
        <v>4538</v>
      </c>
      <c r="AL1195" s="60" t="s">
        <v>30</v>
      </c>
      <c r="AU1195" s="1" t="s">
        <v>6241</v>
      </c>
    </row>
    <row r="1196" spans="1:48" ht="24" x14ac:dyDescent="0.2">
      <c r="A1196" s="1" t="s">
        <v>4293</v>
      </c>
      <c r="B1196" s="1" t="s">
        <v>4318</v>
      </c>
      <c r="C1196" s="1" t="s">
        <v>5719</v>
      </c>
      <c r="D1196" s="48">
        <v>35</v>
      </c>
      <c r="E1196" s="1">
        <v>3</v>
      </c>
      <c r="F1196" s="1" t="s">
        <v>4322</v>
      </c>
      <c r="G1196" s="1" t="s">
        <v>4319</v>
      </c>
      <c r="I1196" s="1" t="s">
        <v>94</v>
      </c>
      <c r="K1196" s="1" t="s">
        <v>95</v>
      </c>
      <c r="N1196" s="54">
        <v>25</v>
      </c>
      <c r="O1196" s="55">
        <v>1</v>
      </c>
      <c r="Q1196" s="57">
        <v>1</v>
      </c>
      <c r="R1196" s="58">
        <v>1</v>
      </c>
      <c r="S1196" s="59">
        <v>1</v>
      </c>
      <c r="V1196" s="4" t="s">
        <v>4320</v>
      </c>
      <c r="W1196" s="4" t="s">
        <v>4321</v>
      </c>
      <c r="AL1196" s="60" t="s">
        <v>30</v>
      </c>
    </row>
    <row r="1197" spans="1:48" ht="84" x14ac:dyDescent="0.2">
      <c r="A1197" s="1" t="s">
        <v>4293</v>
      </c>
      <c r="B1197" s="1" t="s">
        <v>4539</v>
      </c>
      <c r="C1197" s="1" t="s">
        <v>5719</v>
      </c>
      <c r="D1197" s="48">
        <v>36</v>
      </c>
      <c r="E1197" s="1">
        <v>3</v>
      </c>
      <c r="F1197" s="1" t="s">
        <v>4298</v>
      </c>
      <c r="G1197" s="1" t="s">
        <v>4540</v>
      </c>
      <c r="I1197" s="1" t="s">
        <v>104</v>
      </c>
      <c r="K1197" s="1" t="s">
        <v>4541</v>
      </c>
      <c r="O1197" s="55">
        <v>3</v>
      </c>
      <c r="T1197" s="60">
        <v>3</v>
      </c>
      <c r="V1197" s="4" t="s">
        <v>4542</v>
      </c>
      <c r="AL1197" s="60" t="s">
        <v>30</v>
      </c>
      <c r="AU1197" s="1" t="s">
        <v>6242</v>
      </c>
      <c r="AV1197" s="1" t="s">
        <v>6243</v>
      </c>
    </row>
    <row r="1198" spans="1:48" ht="36" x14ac:dyDescent="0.2">
      <c r="A1198" s="1" t="s">
        <v>4293</v>
      </c>
      <c r="B1198" s="1" t="s">
        <v>4543</v>
      </c>
      <c r="C1198" s="1" t="s">
        <v>5719</v>
      </c>
      <c r="D1198" s="48">
        <v>37</v>
      </c>
      <c r="E1198" s="1">
        <v>1</v>
      </c>
      <c r="F1198" s="1" t="s">
        <v>4298</v>
      </c>
      <c r="G1198" s="1" t="s">
        <v>4544</v>
      </c>
      <c r="I1198" s="1" t="s">
        <v>104</v>
      </c>
      <c r="K1198" s="1" t="s">
        <v>4545</v>
      </c>
      <c r="L1198" s="2" t="s">
        <v>331</v>
      </c>
      <c r="O1198" s="55">
        <v>2</v>
      </c>
      <c r="T1198" s="60">
        <v>4</v>
      </c>
      <c r="U1198" s="1">
        <v>2</v>
      </c>
      <c r="V1198" s="4" t="s">
        <v>4546</v>
      </c>
      <c r="AL1198" s="60" t="s">
        <v>30</v>
      </c>
    </row>
    <row r="1199" spans="1:48" ht="24" x14ac:dyDescent="0.2">
      <c r="A1199" s="1" t="s">
        <v>4293</v>
      </c>
      <c r="B1199" s="1" t="s">
        <v>4441</v>
      </c>
      <c r="C1199" s="1" t="s">
        <v>5719</v>
      </c>
      <c r="D1199" s="48">
        <v>38</v>
      </c>
      <c r="E1199" s="1">
        <v>2</v>
      </c>
      <c r="F1199" s="1" t="s">
        <v>4298</v>
      </c>
      <c r="G1199" s="1" t="s">
        <v>4442</v>
      </c>
      <c r="I1199" s="1" t="s">
        <v>104</v>
      </c>
      <c r="K1199" s="1" t="s">
        <v>4355</v>
      </c>
      <c r="O1199" s="55">
        <v>1</v>
      </c>
      <c r="T1199" s="60">
        <v>1</v>
      </c>
      <c r="V1199" s="4" t="s">
        <v>4443</v>
      </c>
      <c r="W1199" s="4" t="s">
        <v>4444</v>
      </c>
      <c r="AL1199" s="60" t="s">
        <v>30</v>
      </c>
    </row>
    <row r="1200" spans="1:48" ht="60" x14ac:dyDescent="0.2">
      <c r="A1200" s="1" t="s">
        <v>4293</v>
      </c>
      <c r="B1200" s="1" t="s">
        <v>4376</v>
      </c>
      <c r="C1200" s="1" t="s">
        <v>5719</v>
      </c>
      <c r="D1200" s="48">
        <v>39</v>
      </c>
      <c r="E1200" s="1">
        <v>2</v>
      </c>
      <c r="F1200" s="1" t="s">
        <v>4322</v>
      </c>
      <c r="G1200" s="1" t="s">
        <v>4377</v>
      </c>
      <c r="I1200" s="1" t="s">
        <v>104</v>
      </c>
      <c r="K1200" s="1" t="s">
        <v>4355</v>
      </c>
      <c r="O1200" s="55">
        <v>3</v>
      </c>
      <c r="T1200" s="60">
        <v>2</v>
      </c>
      <c r="V1200" s="4" t="s">
        <v>4378</v>
      </c>
      <c r="AL1200" s="60" t="s">
        <v>30</v>
      </c>
    </row>
    <row r="1201" spans="1:48" ht="72" x14ac:dyDescent="0.2">
      <c r="A1201" s="1" t="s">
        <v>4293</v>
      </c>
      <c r="B1201" s="1" t="s">
        <v>4464</v>
      </c>
      <c r="C1201" s="1" t="s">
        <v>5719</v>
      </c>
      <c r="D1201" s="48">
        <v>40</v>
      </c>
      <c r="E1201" s="1">
        <v>2</v>
      </c>
      <c r="F1201" s="1" t="s">
        <v>4322</v>
      </c>
      <c r="G1201" s="1" t="s">
        <v>4465</v>
      </c>
      <c r="I1201" s="1" t="s">
        <v>104</v>
      </c>
      <c r="K1201" s="1" t="s">
        <v>4355</v>
      </c>
      <c r="O1201" s="55">
        <v>2</v>
      </c>
      <c r="T1201" s="60">
        <v>3</v>
      </c>
      <c r="V1201" s="4" t="s">
        <v>4466</v>
      </c>
      <c r="AL1201" s="60" t="s">
        <v>30</v>
      </c>
    </row>
    <row r="1202" spans="1:48" ht="48" x14ac:dyDescent="0.2">
      <c r="A1202" s="1" t="s">
        <v>4293</v>
      </c>
      <c r="B1202" s="1" t="s">
        <v>4353</v>
      </c>
      <c r="C1202" s="1" t="s">
        <v>5719</v>
      </c>
      <c r="D1202" s="48">
        <v>41</v>
      </c>
      <c r="E1202" s="1">
        <v>2</v>
      </c>
      <c r="F1202" s="1" t="s">
        <v>4322</v>
      </c>
      <c r="G1202" s="1" t="s">
        <v>4354</v>
      </c>
      <c r="I1202" s="1" t="s">
        <v>104</v>
      </c>
      <c r="K1202" s="1" t="s">
        <v>4355</v>
      </c>
      <c r="O1202" s="55">
        <v>1</v>
      </c>
      <c r="T1202" s="60">
        <v>3</v>
      </c>
      <c r="V1202" s="4" t="s">
        <v>4356</v>
      </c>
      <c r="AL1202" s="60" t="s">
        <v>30</v>
      </c>
      <c r="AU1202" s="1" t="s">
        <v>6244</v>
      </c>
    </row>
    <row r="1203" spans="1:48" ht="84" x14ac:dyDescent="0.2">
      <c r="A1203" s="1" t="s">
        <v>4293</v>
      </c>
      <c r="B1203" s="1" t="s">
        <v>4550</v>
      </c>
      <c r="C1203" s="1" t="s">
        <v>5719</v>
      </c>
      <c r="D1203" s="48">
        <v>42</v>
      </c>
      <c r="E1203" s="1">
        <v>1</v>
      </c>
      <c r="F1203" s="1" t="s">
        <v>4298</v>
      </c>
      <c r="G1203" s="1" t="s">
        <v>4551</v>
      </c>
      <c r="H1203" s="1" t="s">
        <v>26</v>
      </c>
      <c r="I1203" s="1" t="s">
        <v>88</v>
      </c>
      <c r="K1203" s="1" t="s">
        <v>89</v>
      </c>
      <c r="V1203" s="4" t="s">
        <v>4552</v>
      </c>
      <c r="AL1203" s="60" t="s">
        <v>30</v>
      </c>
      <c r="AU1203" s="1" t="s">
        <v>6245</v>
      </c>
    </row>
    <row r="1204" spans="1:48" ht="84" x14ac:dyDescent="0.2">
      <c r="A1204" s="1" t="s">
        <v>4293</v>
      </c>
      <c r="B1204" s="1" t="s">
        <v>4547</v>
      </c>
      <c r="C1204" s="1" t="s">
        <v>5719</v>
      </c>
      <c r="D1204" s="48">
        <v>43</v>
      </c>
      <c r="E1204" s="1">
        <v>1</v>
      </c>
      <c r="F1204" s="1" t="s">
        <v>4298</v>
      </c>
      <c r="G1204" s="1" t="s">
        <v>4548</v>
      </c>
      <c r="H1204" s="1" t="s">
        <v>26</v>
      </c>
      <c r="I1204" s="1" t="s">
        <v>88</v>
      </c>
      <c r="K1204" s="1" t="s">
        <v>89</v>
      </c>
      <c r="V1204" s="4" t="s">
        <v>4549</v>
      </c>
      <c r="AL1204" s="60" t="s">
        <v>30</v>
      </c>
    </row>
    <row r="1205" spans="1:48" ht="72" x14ac:dyDescent="0.2">
      <c r="A1205" s="1" t="s">
        <v>4293</v>
      </c>
      <c r="B1205" s="1" t="s">
        <v>4312</v>
      </c>
      <c r="C1205" s="1" t="s">
        <v>5719</v>
      </c>
      <c r="D1205" s="48">
        <v>44</v>
      </c>
      <c r="E1205" s="1">
        <v>1</v>
      </c>
      <c r="F1205" s="1" t="s">
        <v>4298</v>
      </c>
      <c r="G1205" s="1" t="s">
        <v>4313</v>
      </c>
      <c r="I1205" s="1" t="s">
        <v>88</v>
      </c>
      <c r="J1205" s="1" t="s">
        <v>3422</v>
      </c>
      <c r="K1205" s="1" t="s">
        <v>4296</v>
      </c>
      <c r="V1205" s="4" t="s">
        <v>4314</v>
      </c>
      <c r="AL1205" s="60" t="s">
        <v>30</v>
      </c>
    </row>
    <row r="1206" spans="1:48" ht="72" x14ac:dyDescent="0.2">
      <c r="A1206" s="1" t="s">
        <v>4293</v>
      </c>
      <c r="B1206" s="1" t="s">
        <v>4315</v>
      </c>
      <c r="C1206" s="1" t="s">
        <v>5719</v>
      </c>
      <c r="D1206" s="48">
        <v>45</v>
      </c>
      <c r="E1206" s="1">
        <v>1</v>
      </c>
      <c r="F1206" s="1" t="s">
        <v>4298</v>
      </c>
      <c r="G1206" s="1" t="s">
        <v>4316</v>
      </c>
      <c r="I1206" s="1" t="s">
        <v>88</v>
      </c>
      <c r="J1206" s="1" t="s">
        <v>3422</v>
      </c>
      <c r="K1206" s="1" t="s">
        <v>4296</v>
      </c>
      <c r="V1206" s="4" t="s">
        <v>4317</v>
      </c>
      <c r="AL1206" s="60" t="s">
        <v>30</v>
      </c>
      <c r="AU1206" s="1" t="s">
        <v>6246</v>
      </c>
    </row>
    <row r="1207" spans="1:48" ht="72" x14ac:dyDescent="0.2">
      <c r="A1207" s="1" t="s">
        <v>4293</v>
      </c>
      <c r="B1207" s="1" t="s">
        <v>4323</v>
      </c>
      <c r="C1207" s="1" t="s">
        <v>5719</v>
      </c>
      <c r="D1207" s="48">
        <v>46</v>
      </c>
      <c r="E1207" s="1">
        <v>1</v>
      </c>
      <c r="F1207" s="1" t="s">
        <v>4298</v>
      </c>
      <c r="G1207" s="1" t="s">
        <v>4324</v>
      </c>
      <c r="I1207" s="1" t="s">
        <v>88</v>
      </c>
      <c r="J1207" s="1" t="s">
        <v>3422</v>
      </c>
      <c r="K1207" s="1" t="s">
        <v>4296</v>
      </c>
      <c r="V1207" s="4" t="s">
        <v>4325</v>
      </c>
      <c r="AL1207" s="60" t="s">
        <v>30</v>
      </c>
    </row>
    <row r="1208" spans="1:48" ht="72" x14ac:dyDescent="0.2">
      <c r="A1208" s="1" t="s">
        <v>4293</v>
      </c>
      <c r="B1208" s="1" t="s">
        <v>4302</v>
      </c>
      <c r="C1208" s="1" t="s">
        <v>5719</v>
      </c>
      <c r="D1208" s="48">
        <v>47</v>
      </c>
      <c r="E1208" s="1">
        <v>1</v>
      </c>
      <c r="F1208" s="1" t="s">
        <v>4298</v>
      </c>
      <c r="G1208" s="1" t="s">
        <v>4303</v>
      </c>
      <c r="I1208" s="1" t="s">
        <v>88</v>
      </c>
      <c r="J1208" s="1" t="s">
        <v>3422</v>
      </c>
      <c r="K1208" s="1" t="s">
        <v>4296</v>
      </c>
      <c r="V1208" s="4" t="s">
        <v>4304</v>
      </c>
      <c r="AL1208" s="60" t="s">
        <v>30</v>
      </c>
    </row>
    <row r="1209" spans="1:48" ht="72" x14ac:dyDescent="0.2">
      <c r="A1209" s="1" t="s">
        <v>4293</v>
      </c>
      <c r="B1209" s="1" t="s">
        <v>4294</v>
      </c>
      <c r="C1209" s="1" t="s">
        <v>5719</v>
      </c>
      <c r="D1209" s="48">
        <v>48</v>
      </c>
      <c r="E1209" s="1">
        <v>1</v>
      </c>
      <c r="F1209" s="1" t="s">
        <v>4298</v>
      </c>
      <c r="G1209" s="1" t="s">
        <v>4295</v>
      </c>
      <c r="I1209" s="1" t="s">
        <v>88</v>
      </c>
      <c r="J1209" s="1" t="s">
        <v>3422</v>
      </c>
      <c r="K1209" s="1" t="s">
        <v>4296</v>
      </c>
      <c r="V1209" s="4" t="s">
        <v>4297</v>
      </c>
      <c r="AL1209" s="60" t="s">
        <v>30</v>
      </c>
      <c r="AS1209" s="1" t="s">
        <v>6247</v>
      </c>
      <c r="AU1209" s="1" t="s">
        <v>6248</v>
      </c>
      <c r="AV1209" s="1" t="s">
        <v>6249</v>
      </c>
    </row>
    <row r="1210" spans="1:48" ht="72" x14ac:dyDescent="0.2">
      <c r="A1210" s="1" t="s">
        <v>4293</v>
      </c>
      <c r="B1210" s="1" t="s">
        <v>4299</v>
      </c>
      <c r="C1210" s="1" t="s">
        <v>5719</v>
      </c>
      <c r="D1210" s="48">
        <v>49</v>
      </c>
      <c r="E1210" s="1">
        <v>1</v>
      </c>
      <c r="F1210" s="1" t="s">
        <v>4298</v>
      </c>
      <c r="G1210" s="1" t="s">
        <v>4300</v>
      </c>
      <c r="I1210" s="1" t="s">
        <v>88</v>
      </c>
      <c r="J1210" s="1" t="s">
        <v>3422</v>
      </c>
      <c r="K1210" s="1" t="s">
        <v>4296</v>
      </c>
      <c r="V1210" s="4" t="s">
        <v>4301</v>
      </c>
      <c r="AL1210" s="60" t="s">
        <v>30</v>
      </c>
    </row>
    <row r="1211" spans="1:48" ht="72" x14ac:dyDescent="0.2">
      <c r="A1211" s="1" t="s">
        <v>4293</v>
      </c>
      <c r="B1211" s="1" t="s">
        <v>4329</v>
      </c>
      <c r="C1211" s="1" t="s">
        <v>5719</v>
      </c>
      <c r="D1211" s="48">
        <v>50</v>
      </c>
      <c r="E1211" s="1">
        <v>1</v>
      </c>
      <c r="F1211" s="1" t="s">
        <v>4298</v>
      </c>
      <c r="G1211" s="1" t="s">
        <v>4330</v>
      </c>
      <c r="I1211" s="1" t="s">
        <v>88</v>
      </c>
      <c r="J1211" s="1" t="s">
        <v>3422</v>
      </c>
      <c r="K1211" s="1" t="s">
        <v>4296</v>
      </c>
      <c r="V1211" s="4" t="s">
        <v>4331</v>
      </c>
      <c r="AL1211" s="60" t="s">
        <v>30</v>
      </c>
    </row>
    <row r="1212" spans="1:48" ht="36" x14ac:dyDescent="0.2">
      <c r="A1212" s="1" t="s">
        <v>4293</v>
      </c>
      <c r="B1212" s="1" t="s">
        <v>4467</v>
      </c>
      <c r="C1212" s="1" t="s">
        <v>5719</v>
      </c>
      <c r="D1212" s="48">
        <v>51</v>
      </c>
      <c r="E1212" s="1">
        <v>3</v>
      </c>
      <c r="F1212" s="1" t="s">
        <v>4298</v>
      </c>
      <c r="G1212" s="1" t="s">
        <v>4468</v>
      </c>
      <c r="I1212" s="1" t="s">
        <v>82</v>
      </c>
      <c r="V1212" s="4" t="s">
        <v>4469</v>
      </c>
      <c r="W1212" s="4" t="s">
        <v>4470</v>
      </c>
      <c r="AL1212" s="60" t="s">
        <v>30</v>
      </c>
    </row>
    <row r="1213" spans="1:48" ht="36" x14ac:dyDescent="0.2">
      <c r="A1213" s="1" t="s">
        <v>4293</v>
      </c>
      <c r="B1213" s="1" t="s">
        <v>4305</v>
      </c>
      <c r="C1213" s="1" t="s">
        <v>5719</v>
      </c>
      <c r="D1213" s="48">
        <v>52</v>
      </c>
      <c r="E1213" s="1">
        <v>2</v>
      </c>
      <c r="F1213" s="1" t="s">
        <v>4298</v>
      </c>
      <c r="G1213" s="1" t="s">
        <v>4306</v>
      </c>
      <c r="I1213" s="1" t="s">
        <v>82</v>
      </c>
      <c r="L1213" s="2" t="s">
        <v>685</v>
      </c>
      <c r="V1213" s="4" t="s">
        <v>4307</v>
      </c>
      <c r="W1213" s="4" t="s">
        <v>3519</v>
      </c>
      <c r="AL1213" s="60" t="s">
        <v>30</v>
      </c>
    </row>
    <row r="1214" spans="1:48" ht="24" x14ac:dyDescent="0.2">
      <c r="A1214" s="1" t="s">
        <v>4293</v>
      </c>
      <c r="B1214" s="1" t="s">
        <v>4500</v>
      </c>
      <c r="C1214" s="1" t="s">
        <v>5719</v>
      </c>
      <c r="D1214" s="48">
        <v>53</v>
      </c>
      <c r="E1214" s="1">
        <v>3</v>
      </c>
      <c r="F1214" s="1" t="s">
        <v>4298</v>
      </c>
      <c r="G1214" s="1" t="s">
        <v>4501</v>
      </c>
      <c r="I1214" s="1" t="s">
        <v>82</v>
      </c>
      <c r="V1214" s="4" t="s">
        <v>4502</v>
      </c>
      <c r="W1214" s="4" t="s">
        <v>4503</v>
      </c>
      <c r="AL1214" s="60" t="s">
        <v>30</v>
      </c>
    </row>
    <row r="1215" spans="1:48" ht="36" x14ac:dyDescent="0.2">
      <c r="A1215" s="1" t="s">
        <v>4293</v>
      </c>
      <c r="B1215" s="1" t="s">
        <v>4445</v>
      </c>
      <c r="C1215" s="1" t="s">
        <v>5719</v>
      </c>
      <c r="D1215" s="48">
        <v>54</v>
      </c>
      <c r="E1215" s="1">
        <v>3</v>
      </c>
      <c r="F1215" s="1" t="s">
        <v>4298</v>
      </c>
      <c r="G1215" s="1" t="s">
        <v>4446</v>
      </c>
      <c r="I1215" s="1" t="s">
        <v>82</v>
      </c>
      <c r="V1215" s="4" t="s">
        <v>4447</v>
      </c>
      <c r="W1215" s="4" t="s">
        <v>4448</v>
      </c>
      <c r="AL1215" s="60" t="s">
        <v>30</v>
      </c>
    </row>
    <row r="1216" spans="1:48" ht="36" x14ac:dyDescent="0.2">
      <c r="A1216" s="1" t="s">
        <v>4293</v>
      </c>
      <c r="B1216" s="1" t="s">
        <v>4475</v>
      </c>
      <c r="C1216" s="1" t="s">
        <v>5719</v>
      </c>
      <c r="D1216" s="48">
        <v>55</v>
      </c>
      <c r="E1216" s="1">
        <v>2</v>
      </c>
      <c r="F1216" s="1" t="s">
        <v>4322</v>
      </c>
      <c r="G1216" s="1" t="s">
        <v>4476</v>
      </c>
      <c r="I1216" s="1" t="s">
        <v>82</v>
      </c>
      <c r="L1216" s="2" t="s">
        <v>685</v>
      </c>
      <c r="V1216" s="4" t="s">
        <v>4477</v>
      </c>
      <c r="W1216" s="4" t="s">
        <v>4478</v>
      </c>
      <c r="AL1216" s="60" t="s">
        <v>30</v>
      </c>
    </row>
    <row r="1217" spans="1:47" ht="24" x14ac:dyDescent="0.2">
      <c r="A1217" s="1" t="s">
        <v>4293</v>
      </c>
      <c r="B1217" s="1" t="s">
        <v>4562</v>
      </c>
      <c r="C1217" s="1" t="s">
        <v>5719</v>
      </c>
      <c r="D1217" s="48">
        <v>56</v>
      </c>
      <c r="E1217" s="1">
        <v>2</v>
      </c>
      <c r="F1217" s="1" t="s">
        <v>4322</v>
      </c>
      <c r="G1217" s="1" t="s">
        <v>4563</v>
      </c>
      <c r="I1217" s="1" t="s">
        <v>82</v>
      </c>
      <c r="V1217" s="4" t="s">
        <v>4564</v>
      </c>
      <c r="W1217" s="4" t="s">
        <v>4565</v>
      </c>
      <c r="AL1217" s="60" t="s">
        <v>30</v>
      </c>
    </row>
    <row r="1218" spans="1:47" x14ac:dyDescent="0.2">
      <c r="A1218" s="1" t="s">
        <v>4293</v>
      </c>
      <c r="B1218" s="1" t="s">
        <v>4471</v>
      </c>
      <c r="C1218" s="1" t="s">
        <v>5719</v>
      </c>
      <c r="D1218" s="48">
        <v>57</v>
      </c>
      <c r="E1218" s="1">
        <v>1</v>
      </c>
      <c r="F1218" s="1" t="s">
        <v>4322</v>
      </c>
      <c r="G1218" s="1" t="s">
        <v>4472</v>
      </c>
      <c r="I1218" s="1" t="s">
        <v>82</v>
      </c>
      <c r="V1218" s="4" t="s">
        <v>4473</v>
      </c>
      <c r="W1218" s="4" t="s">
        <v>4474</v>
      </c>
      <c r="AL1218" s="60" t="s">
        <v>30</v>
      </c>
    </row>
    <row r="1219" spans="1:47" x14ac:dyDescent="0.2">
      <c r="A1219" s="111" t="s">
        <v>4293</v>
      </c>
      <c r="B1219" s="111" t="s">
        <v>4401</v>
      </c>
      <c r="C1219" s="111" t="s">
        <v>5719</v>
      </c>
      <c r="D1219" s="112">
        <v>58</v>
      </c>
      <c r="E1219" s="111">
        <v>3</v>
      </c>
      <c r="F1219" s="111" t="s">
        <v>713</v>
      </c>
      <c r="G1219" s="111" t="s">
        <v>4402</v>
      </c>
      <c r="I1219" s="1" t="s">
        <v>94</v>
      </c>
      <c r="K1219" s="1" t="s">
        <v>604</v>
      </c>
      <c r="N1219" s="54">
        <v>25</v>
      </c>
      <c r="O1219" s="55">
        <v>2</v>
      </c>
      <c r="Q1219" s="57">
        <v>1</v>
      </c>
      <c r="R1219" s="58">
        <v>2</v>
      </c>
      <c r="S1219" s="59">
        <v>2</v>
      </c>
      <c r="V1219" s="4" t="s">
        <v>4403</v>
      </c>
      <c r="W1219" s="4" t="s">
        <v>4404</v>
      </c>
      <c r="AL1219" s="60" t="s">
        <v>30</v>
      </c>
    </row>
    <row r="1220" spans="1:47" x14ac:dyDescent="0.2">
      <c r="A1220" s="1" t="s">
        <v>4293</v>
      </c>
      <c r="B1220" s="1" t="s">
        <v>4413</v>
      </c>
      <c r="C1220" s="1" t="s">
        <v>5719</v>
      </c>
      <c r="D1220" s="48">
        <v>59</v>
      </c>
      <c r="E1220" s="1">
        <v>3</v>
      </c>
      <c r="F1220" s="1" t="s">
        <v>713</v>
      </c>
      <c r="G1220" s="1" t="s">
        <v>4414</v>
      </c>
      <c r="I1220" s="1" t="s">
        <v>94</v>
      </c>
      <c r="K1220" s="1" t="s">
        <v>604</v>
      </c>
      <c r="N1220" s="54">
        <v>25</v>
      </c>
      <c r="O1220" s="55">
        <v>2</v>
      </c>
      <c r="Q1220" s="57">
        <v>2</v>
      </c>
      <c r="R1220" s="58">
        <v>0</v>
      </c>
      <c r="S1220" s="59">
        <v>2</v>
      </c>
      <c r="V1220" s="4" t="s">
        <v>4415</v>
      </c>
      <c r="W1220" s="4" t="s">
        <v>4416</v>
      </c>
      <c r="AL1220" s="60" t="s">
        <v>30</v>
      </c>
    </row>
    <row r="1221" spans="1:47" ht="36" x14ac:dyDescent="0.2">
      <c r="A1221" s="1" t="s">
        <v>4293</v>
      </c>
      <c r="B1221" s="1" t="s">
        <v>4417</v>
      </c>
      <c r="C1221" s="1" t="s">
        <v>5719</v>
      </c>
      <c r="D1221" s="48">
        <v>60</v>
      </c>
      <c r="E1221" s="1">
        <v>3</v>
      </c>
      <c r="F1221" s="1" t="s">
        <v>713</v>
      </c>
      <c r="G1221" s="1" t="s">
        <v>4418</v>
      </c>
      <c r="I1221" s="1" t="s">
        <v>94</v>
      </c>
      <c r="K1221" s="1" t="s">
        <v>604</v>
      </c>
      <c r="L1221" s="2" t="s">
        <v>155</v>
      </c>
      <c r="N1221" s="54">
        <v>20</v>
      </c>
      <c r="O1221" s="55">
        <v>1</v>
      </c>
      <c r="Q1221" s="57">
        <v>3</v>
      </c>
      <c r="R1221" s="58">
        <v>1</v>
      </c>
      <c r="S1221" s="59">
        <v>2</v>
      </c>
      <c r="W1221" s="4" t="s">
        <v>4419</v>
      </c>
      <c r="AL1221" s="60" t="s">
        <v>30</v>
      </c>
      <c r="AU1221" s="1" t="s">
        <v>6250</v>
      </c>
    </row>
    <row r="1222" spans="1:47" x14ac:dyDescent="0.2">
      <c r="A1222" s="1" t="s">
        <v>4293</v>
      </c>
      <c r="B1222" s="1" t="s">
        <v>4409</v>
      </c>
      <c r="C1222" s="1" t="s">
        <v>5719</v>
      </c>
      <c r="D1222" s="48">
        <v>61</v>
      </c>
      <c r="E1222" s="1">
        <v>3</v>
      </c>
      <c r="F1222" s="1" t="s">
        <v>713</v>
      </c>
      <c r="G1222" s="1" t="s">
        <v>4410</v>
      </c>
      <c r="I1222" s="1" t="s">
        <v>94</v>
      </c>
      <c r="K1222" s="1" t="s">
        <v>604</v>
      </c>
      <c r="N1222" s="54">
        <v>30</v>
      </c>
      <c r="O1222" s="55">
        <v>3</v>
      </c>
      <c r="Q1222" s="57">
        <v>2</v>
      </c>
      <c r="R1222" s="58">
        <v>2</v>
      </c>
      <c r="S1222" s="59">
        <v>3</v>
      </c>
      <c r="V1222" s="4" t="s">
        <v>4411</v>
      </c>
      <c r="W1222" s="4" t="s">
        <v>4412</v>
      </c>
      <c r="AL1222" s="60" t="s">
        <v>30</v>
      </c>
    </row>
    <row r="1223" spans="1:47" ht="24" x14ac:dyDescent="0.2">
      <c r="A1223" s="1" t="s">
        <v>4293</v>
      </c>
      <c r="B1223" s="1" t="s">
        <v>4405</v>
      </c>
      <c r="C1223" s="1" t="s">
        <v>5719</v>
      </c>
      <c r="D1223" s="48">
        <v>62</v>
      </c>
      <c r="E1223" s="1">
        <v>4</v>
      </c>
      <c r="F1223" s="1" t="s">
        <v>4361</v>
      </c>
      <c r="G1223" s="1" t="s">
        <v>4406</v>
      </c>
      <c r="I1223" s="1" t="s">
        <v>94</v>
      </c>
      <c r="K1223" s="1" t="s">
        <v>604</v>
      </c>
      <c r="N1223" s="54">
        <v>33</v>
      </c>
      <c r="O1223" s="55">
        <v>2</v>
      </c>
      <c r="Q1223" s="57">
        <v>3</v>
      </c>
      <c r="R1223" s="58">
        <v>2</v>
      </c>
      <c r="S1223" s="59">
        <v>3</v>
      </c>
      <c r="V1223" s="4" t="s">
        <v>4407</v>
      </c>
      <c r="W1223" s="4" t="s">
        <v>4408</v>
      </c>
      <c r="AL1223" s="60" t="s">
        <v>30</v>
      </c>
    </row>
    <row r="1224" spans="1:47" ht="36" x14ac:dyDescent="0.2">
      <c r="A1224" s="1" t="s">
        <v>4293</v>
      </c>
      <c r="B1224" s="1" t="s">
        <v>4522</v>
      </c>
      <c r="C1224" s="1" t="s">
        <v>5719</v>
      </c>
      <c r="D1224" s="48">
        <v>63</v>
      </c>
      <c r="E1224" s="1">
        <v>1</v>
      </c>
      <c r="F1224" s="1" t="s">
        <v>4361</v>
      </c>
      <c r="G1224" s="1" t="s">
        <v>4361</v>
      </c>
      <c r="H1224" s="1" t="s">
        <v>26</v>
      </c>
      <c r="I1224" s="1" t="s">
        <v>94</v>
      </c>
      <c r="K1224" s="1" t="s">
        <v>604</v>
      </c>
      <c r="N1224" s="54">
        <v>15</v>
      </c>
      <c r="O1224" s="55">
        <v>3</v>
      </c>
      <c r="Q1224" s="57">
        <v>5</v>
      </c>
      <c r="R1224" s="58">
        <v>2</v>
      </c>
      <c r="S1224" s="59">
        <v>8</v>
      </c>
      <c r="U1224" s="1">
        <v>3</v>
      </c>
      <c r="V1224" s="4" t="s">
        <v>4523</v>
      </c>
      <c r="AL1224" s="60" t="s">
        <v>30</v>
      </c>
    </row>
    <row r="1225" spans="1:47" ht="60" x14ac:dyDescent="0.2">
      <c r="A1225" s="1" t="s">
        <v>4293</v>
      </c>
      <c r="B1225" s="1" t="s">
        <v>4514</v>
      </c>
      <c r="C1225" s="1" t="s">
        <v>5719</v>
      </c>
      <c r="D1225" s="48">
        <v>64</v>
      </c>
      <c r="E1225" s="1">
        <v>3</v>
      </c>
      <c r="F1225" s="1" t="s">
        <v>4310</v>
      </c>
      <c r="G1225" s="1" t="s">
        <v>4515</v>
      </c>
      <c r="I1225" s="1" t="s">
        <v>94</v>
      </c>
      <c r="K1225" s="1" t="s">
        <v>4516</v>
      </c>
      <c r="N1225" s="54">
        <v>40</v>
      </c>
      <c r="O1225" s="55">
        <v>4</v>
      </c>
      <c r="Q1225" s="57">
        <v>6</v>
      </c>
      <c r="R1225" s="58">
        <v>3</v>
      </c>
      <c r="S1225" s="59">
        <v>9</v>
      </c>
      <c r="V1225" s="4" t="s">
        <v>4517</v>
      </c>
      <c r="AL1225" s="60" t="s">
        <v>30</v>
      </c>
    </row>
    <row r="1226" spans="1:47" ht="24" x14ac:dyDescent="0.2">
      <c r="A1226" s="1" t="s">
        <v>4293</v>
      </c>
      <c r="B1226" s="1" t="s">
        <v>4518</v>
      </c>
      <c r="C1226" s="1" t="s">
        <v>5719</v>
      </c>
      <c r="D1226" s="48">
        <v>65</v>
      </c>
      <c r="E1226" s="1">
        <v>3</v>
      </c>
      <c r="F1226" s="1" t="s">
        <v>713</v>
      </c>
      <c r="G1226" s="1" t="s">
        <v>4519</v>
      </c>
      <c r="I1226" s="1" t="s">
        <v>104</v>
      </c>
      <c r="K1226" s="1" t="s">
        <v>1762</v>
      </c>
      <c r="O1226" s="55">
        <v>3</v>
      </c>
      <c r="T1226" s="60">
        <v>3</v>
      </c>
      <c r="V1226" s="4" t="s">
        <v>4520</v>
      </c>
      <c r="W1226" s="4" t="s">
        <v>4521</v>
      </c>
      <c r="AL1226" s="60" t="s">
        <v>30</v>
      </c>
    </row>
    <row r="1227" spans="1:47" ht="60" x14ac:dyDescent="0.2">
      <c r="A1227" s="1" t="s">
        <v>4293</v>
      </c>
      <c r="B1227" s="1" t="s">
        <v>4388</v>
      </c>
      <c r="C1227" s="1" t="s">
        <v>5719</v>
      </c>
      <c r="D1227" s="48">
        <v>66</v>
      </c>
      <c r="E1227" s="1">
        <v>2</v>
      </c>
      <c r="F1227" s="1" t="s">
        <v>4361</v>
      </c>
      <c r="G1227" s="1" t="s">
        <v>4389</v>
      </c>
      <c r="I1227" s="1" t="s">
        <v>104</v>
      </c>
      <c r="K1227" s="1" t="s">
        <v>1762</v>
      </c>
      <c r="O1227" s="55">
        <v>4</v>
      </c>
      <c r="T1227" s="60">
        <v>4</v>
      </c>
      <c r="V1227" s="4" t="s">
        <v>4390</v>
      </c>
      <c r="AL1227" s="60" t="s">
        <v>30</v>
      </c>
    </row>
    <row r="1228" spans="1:47" ht="84" x14ac:dyDescent="0.2">
      <c r="A1228" s="1" t="s">
        <v>4293</v>
      </c>
      <c r="B1228" s="1" t="s">
        <v>4425</v>
      </c>
      <c r="C1228" s="1" t="s">
        <v>5719</v>
      </c>
      <c r="D1228" s="48">
        <v>67</v>
      </c>
      <c r="E1228" s="1">
        <v>3</v>
      </c>
      <c r="F1228" s="1" t="s">
        <v>4361</v>
      </c>
      <c r="G1228" s="1" t="s">
        <v>4426</v>
      </c>
      <c r="I1228" s="1" t="s">
        <v>104</v>
      </c>
      <c r="K1228" s="1" t="s">
        <v>1762</v>
      </c>
      <c r="O1228" s="55">
        <v>2</v>
      </c>
      <c r="T1228" s="60">
        <v>3</v>
      </c>
      <c r="V1228" s="4" t="s">
        <v>4427</v>
      </c>
      <c r="AL1228" s="60" t="s">
        <v>30</v>
      </c>
    </row>
    <row r="1229" spans="1:47" ht="36" x14ac:dyDescent="0.2">
      <c r="A1229" s="1" t="s">
        <v>4293</v>
      </c>
      <c r="B1229" s="1" t="s">
        <v>4494</v>
      </c>
      <c r="C1229" s="1" t="s">
        <v>5719</v>
      </c>
      <c r="D1229" s="48">
        <v>68</v>
      </c>
      <c r="E1229" s="1">
        <v>2</v>
      </c>
      <c r="F1229" s="1" t="s">
        <v>4310</v>
      </c>
      <c r="G1229" s="1" t="s">
        <v>4495</v>
      </c>
      <c r="I1229" s="1" t="s">
        <v>104</v>
      </c>
      <c r="K1229" s="1" t="s">
        <v>1178</v>
      </c>
      <c r="O1229" s="55">
        <v>2</v>
      </c>
      <c r="T1229" s="60">
        <v>3</v>
      </c>
      <c r="V1229" s="4" t="s">
        <v>4496</v>
      </c>
      <c r="AL1229" s="60" t="s">
        <v>30</v>
      </c>
      <c r="AU1229" s="1" t="s">
        <v>6251</v>
      </c>
    </row>
    <row r="1230" spans="1:47" ht="48" x14ac:dyDescent="0.2">
      <c r="A1230" s="1" t="s">
        <v>4293</v>
      </c>
      <c r="B1230" s="1" t="s">
        <v>4524</v>
      </c>
      <c r="C1230" s="1" t="s">
        <v>5719</v>
      </c>
      <c r="D1230" s="48">
        <v>69</v>
      </c>
      <c r="E1230" s="1">
        <v>1</v>
      </c>
      <c r="F1230" s="1" t="s">
        <v>4310</v>
      </c>
      <c r="G1230" s="1" t="s">
        <v>4525</v>
      </c>
      <c r="H1230" s="1" t="s">
        <v>26</v>
      </c>
      <c r="I1230" s="1" t="s">
        <v>104</v>
      </c>
      <c r="K1230" s="1" t="s">
        <v>1178</v>
      </c>
      <c r="O1230" s="55" t="s">
        <v>113</v>
      </c>
      <c r="T1230" s="60">
        <v>5</v>
      </c>
      <c r="V1230" s="4" t="s">
        <v>4526</v>
      </c>
      <c r="AL1230" s="60" t="s">
        <v>30</v>
      </c>
    </row>
    <row r="1231" spans="1:47" ht="36" x14ac:dyDescent="0.2">
      <c r="A1231" s="1" t="s">
        <v>4293</v>
      </c>
      <c r="B1231" s="1" t="s">
        <v>4431</v>
      </c>
      <c r="C1231" s="1" t="s">
        <v>5719</v>
      </c>
      <c r="D1231" s="48">
        <v>70</v>
      </c>
      <c r="E1231" s="1">
        <v>3</v>
      </c>
      <c r="F1231" s="1" t="s">
        <v>713</v>
      </c>
      <c r="G1231" s="1" t="s">
        <v>4432</v>
      </c>
      <c r="I1231" s="1" t="s">
        <v>82</v>
      </c>
      <c r="V1231" s="4" t="s">
        <v>4433</v>
      </c>
      <c r="W1231" s="4" t="s">
        <v>4434</v>
      </c>
      <c r="AL1231" s="60" t="s">
        <v>30</v>
      </c>
    </row>
    <row r="1232" spans="1:47" ht="24" x14ac:dyDescent="0.2">
      <c r="A1232" s="1" t="s">
        <v>4293</v>
      </c>
      <c r="B1232" s="1" t="s">
        <v>4357</v>
      </c>
      <c r="C1232" s="1" t="s">
        <v>5719</v>
      </c>
      <c r="D1232" s="48">
        <v>71</v>
      </c>
      <c r="E1232" s="1">
        <v>2</v>
      </c>
      <c r="F1232" s="1" t="s">
        <v>4361</v>
      </c>
      <c r="G1232" s="1" t="s">
        <v>4358</v>
      </c>
      <c r="I1232" s="1" t="s">
        <v>82</v>
      </c>
      <c r="V1232" s="4" t="s">
        <v>4359</v>
      </c>
      <c r="W1232" s="4" t="s">
        <v>4360</v>
      </c>
      <c r="AL1232" s="60" t="s">
        <v>30</v>
      </c>
    </row>
    <row r="1233" spans="1:48" ht="24" x14ac:dyDescent="0.2">
      <c r="A1233" s="1" t="s">
        <v>4293</v>
      </c>
      <c r="B1233" s="1" t="s">
        <v>4391</v>
      </c>
      <c r="C1233" s="1" t="s">
        <v>5719</v>
      </c>
      <c r="D1233" s="48">
        <v>72</v>
      </c>
      <c r="E1233" s="1">
        <v>4</v>
      </c>
      <c r="F1233" s="1" t="s">
        <v>4310</v>
      </c>
      <c r="G1233" s="1" t="s">
        <v>4392</v>
      </c>
      <c r="I1233" s="1" t="s">
        <v>82</v>
      </c>
      <c r="V1233" s="4" t="s">
        <v>4393</v>
      </c>
      <c r="W1233" s="4" t="s">
        <v>4394</v>
      </c>
      <c r="AL1233" s="60" t="s">
        <v>30</v>
      </c>
      <c r="AU1233" s="1" t="s">
        <v>6252</v>
      </c>
      <c r="AV1233" s="1" t="s">
        <v>6253</v>
      </c>
    </row>
    <row r="1234" spans="1:48" ht="60" x14ac:dyDescent="0.2">
      <c r="A1234" s="1" t="s">
        <v>4293</v>
      </c>
      <c r="B1234" s="1" t="s">
        <v>4435</v>
      </c>
      <c r="C1234" s="1" t="s">
        <v>5719</v>
      </c>
      <c r="D1234" s="48">
        <v>73</v>
      </c>
      <c r="E1234" s="1">
        <v>2</v>
      </c>
      <c r="F1234" s="1" t="s">
        <v>4310</v>
      </c>
      <c r="G1234" s="1" t="s">
        <v>4436</v>
      </c>
      <c r="I1234" s="1" t="s">
        <v>82</v>
      </c>
      <c r="V1234" s="4" t="s">
        <v>4437</v>
      </c>
      <c r="AL1234" s="60" t="s">
        <v>30</v>
      </c>
    </row>
    <row r="1235" spans="1:48" ht="36" x14ac:dyDescent="0.2">
      <c r="A1235" s="111" t="s">
        <v>4293</v>
      </c>
      <c r="B1235" s="111" t="s">
        <v>4423</v>
      </c>
      <c r="C1235" s="111" t="s">
        <v>5719</v>
      </c>
      <c r="D1235" s="112">
        <v>74</v>
      </c>
      <c r="E1235" s="111">
        <v>1</v>
      </c>
      <c r="F1235" s="111" t="s">
        <v>4346</v>
      </c>
      <c r="G1235" s="111" t="s">
        <v>2947</v>
      </c>
      <c r="H1235" s="1" t="s">
        <v>26</v>
      </c>
      <c r="I1235" s="1" t="s">
        <v>94</v>
      </c>
      <c r="K1235" s="1" t="s">
        <v>3842</v>
      </c>
      <c r="N1235" s="54">
        <v>50</v>
      </c>
      <c r="O1235" s="55">
        <v>0</v>
      </c>
      <c r="Q1235" s="57">
        <v>2</v>
      </c>
      <c r="R1235" s="58">
        <v>3</v>
      </c>
      <c r="S1235" s="59">
        <v>5</v>
      </c>
      <c r="V1235" s="4" t="s">
        <v>4424</v>
      </c>
      <c r="AL1235" s="60" t="s">
        <v>30</v>
      </c>
    </row>
    <row r="1236" spans="1:48" ht="84" x14ac:dyDescent="0.2">
      <c r="A1236" s="1" t="s">
        <v>4293</v>
      </c>
      <c r="B1236" s="1" t="s">
        <v>4428</v>
      </c>
      <c r="C1236" s="1" t="s">
        <v>5719</v>
      </c>
      <c r="D1236" s="48">
        <v>75</v>
      </c>
      <c r="E1236" s="1">
        <v>1</v>
      </c>
      <c r="F1236" s="1" t="s">
        <v>4346</v>
      </c>
      <c r="G1236" s="1" t="s">
        <v>4429</v>
      </c>
      <c r="I1236" s="1" t="s">
        <v>94</v>
      </c>
      <c r="K1236" s="1" t="s">
        <v>95</v>
      </c>
      <c r="N1236" s="54">
        <v>30</v>
      </c>
      <c r="O1236" s="55">
        <v>4</v>
      </c>
      <c r="Q1236" s="57">
        <v>5</v>
      </c>
      <c r="R1236" s="58">
        <v>2</v>
      </c>
      <c r="S1236" s="59">
        <v>5</v>
      </c>
      <c r="V1236" s="4" t="s">
        <v>4430</v>
      </c>
      <c r="AL1236" s="60" t="s">
        <v>30</v>
      </c>
    </row>
    <row r="1237" spans="1:48" ht="72" x14ac:dyDescent="0.2">
      <c r="A1237" s="1" t="s">
        <v>4293</v>
      </c>
      <c r="B1237" s="1" t="s">
        <v>4556</v>
      </c>
      <c r="C1237" s="1" t="s">
        <v>5719</v>
      </c>
      <c r="D1237" s="48">
        <v>76</v>
      </c>
      <c r="E1237" s="1">
        <v>4</v>
      </c>
      <c r="F1237" s="1" t="s">
        <v>4346</v>
      </c>
      <c r="G1237" s="1" t="s">
        <v>4557</v>
      </c>
      <c r="I1237" s="1" t="s">
        <v>94</v>
      </c>
      <c r="K1237" s="1" t="s">
        <v>95</v>
      </c>
      <c r="N1237" s="54">
        <v>25</v>
      </c>
      <c r="O1237" s="55">
        <v>3</v>
      </c>
      <c r="Q1237" s="57">
        <v>3</v>
      </c>
      <c r="R1237" s="58">
        <v>2</v>
      </c>
      <c r="S1237" s="59">
        <v>3</v>
      </c>
      <c r="V1237" s="4" t="s">
        <v>4558</v>
      </c>
      <c r="AL1237" s="60" t="s">
        <v>30</v>
      </c>
    </row>
    <row r="1238" spans="1:48" ht="72" x14ac:dyDescent="0.2">
      <c r="A1238" s="1" t="s">
        <v>4293</v>
      </c>
      <c r="B1238" s="1" t="s">
        <v>4529</v>
      </c>
      <c r="C1238" s="1" t="s">
        <v>5719</v>
      </c>
      <c r="D1238" s="48">
        <v>77</v>
      </c>
      <c r="E1238" s="1">
        <v>3</v>
      </c>
      <c r="F1238" s="1" t="s">
        <v>4346</v>
      </c>
      <c r="G1238" s="1" t="s">
        <v>4530</v>
      </c>
      <c r="I1238" s="1" t="s">
        <v>104</v>
      </c>
      <c r="K1238" s="1" t="s">
        <v>105</v>
      </c>
      <c r="O1238" s="55">
        <v>2</v>
      </c>
      <c r="T1238" s="60">
        <v>4</v>
      </c>
      <c r="V1238" s="4" t="s">
        <v>4531</v>
      </c>
      <c r="AL1238" s="60" t="s">
        <v>30</v>
      </c>
    </row>
    <row r="1239" spans="1:48" ht="72" x14ac:dyDescent="0.2">
      <c r="A1239" s="1" t="s">
        <v>4293</v>
      </c>
      <c r="B1239" s="1" t="s">
        <v>4457</v>
      </c>
      <c r="C1239" s="1" t="s">
        <v>5719</v>
      </c>
      <c r="D1239" s="48">
        <v>78</v>
      </c>
      <c r="E1239" s="1">
        <v>1</v>
      </c>
      <c r="F1239" s="1" t="s">
        <v>4346</v>
      </c>
      <c r="G1239" s="1" t="s">
        <v>4458</v>
      </c>
      <c r="H1239" s="1" t="s">
        <v>26</v>
      </c>
      <c r="I1239" s="1" t="s">
        <v>104</v>
      </c>
      <c r="K1239" s="1" t="s">
        <v>1762</v>
      </c>
      <c r="L1239" s="2" t="s">
        <v>4459</v>
      </c>
      <c r="O1239" s="55" t="s">
        <v>113</v>
      </c>
      <c r="T1239" s="60">
        <v>0</v>
      </c>
      <c r="V1239" s="4" t="s">
        <v>4460</v>
      </c>
      <c r="AL1239" s="60" t="s">
        <v>30</v>
      </c>
    </row>
    <row r="1240" spans="1:48" ht="60" x14ac:dyDescent="0.2">
      <c r="A1240" s="1" t="s">
        <v>4293</v>
      </c>
      <c r="B1240" s="1" t="s">
        <v>4343</v>
      </c>
      <c r="C1240" s="1" t="s">
        <v>5719</v>
      </c>
      <c r="D1240" s="48">
        <v>79</v>
      </c>
      <c r="E1240" s="1">
        <v>1</v>
      </c>
      <c r="F1240" s="1" t="s">
        <v>4346</v>
      </c>
      <c r="G1240" s="1" t="s">
        <v>4201</v>
      </c>
      <c r="H1240" s="1" t="s">
        <v>26</v>
      </c>
      <c r="I1240" s="1" t="s">
        <v>88</v>
      </c>
      <c r="K1240" s="1" t="s">
        <v>4344</v>
      </c>
      <c r="L1240" s="2" t="s">
        <v>4052</v>
      </c>
      <c r="V1240" s="4" t="s">
        <v>4345</v>
      </c>
      <c r="AL1240" s="60" t="s">
        <v>30</v>
      </c>
    </row>
    <row r="1241" spans="1:48" ht="96" x14ac:dyDescent="0.2">
      <c r="A1241" s="1" t="s">
        <v>4293</v>
      </c>
      <c r="B1241" s="1" t="s">
        <v>4362</v>
      </c>
      <c r="C1241" s="1" t="s">
        <v>5719</v>
      </c>
      <c r="D1241" s="48">
        <v>80</v>
      </c>
      <c r="E1241" s="1">
        <v>2</v>
      </c>
      <c r="F1241" s="1" t="s">
        <v>4346</v>
      </c>
      <c r="G1241" s="1" t="s">
        <v>4363</v>
      </c>
      <c r="I1241" s="1" t="s">
        <v>82</v>
      </c>
      <c r="V1241" s="4" t="s">
        <v>4364</v>
      </c>
      <c r="AL1241" s="60" t="s">
        <v>30</v>
      </c>
    </row>
    <row r="1242" spans="1:48" ht="96" x14ac:dyDescent="0.2">
      <c r="A1242" s="1" t="s">
        <v>4293</v>
      </c>
      <c r="B1242" s="1" t="s">
        <v>4451</v>
      </c>
      <c r="C1242" s="1" t="s">
        <v>5719</v>
      </c>
      <c r="D1242" s="48">
        <v>81</v>
      </c>
      <c r="E1242" s="1">
        <v>3</v>
      </c>
      <c r="F1242" s="1" t="s">
        <v>4346</v>
      </c>
      <c r="G1242" s="1" t="s">
        <v>4452</v>
      </c>
      <c r="I1242" s="1" t="s">
        <v>82</v>
      </c>
      <c r="V1242" s="4" t="s">
        <v>4453</v>
      </c>
      <c r="AL1242" s="60" t="s">
        <v>30</v>
      </c>
    </row>
    <row r="1243" spans="1:48" ht="72" x14ac:dyDescent="0.2">
      <c r="A1243" s="1" t="s">
        <v>4293</v>
      </c>
      <c r="B1243" s="1" t="s">
        <v>4438</v>
      </c>
      <c r="C1243" s="1" t="s">
        <v>5719</v>
      </c>
      <c r="D1243" s="48">
        <v>82</v>
      </c>
      <c r="E1243" s="1">
        <v>2</v>
      </c>
      <c r="F1243" s="1" t="s">
        <v>4346</v>
      </c>
      <c r="G1243" s="1" t="s">
        <v>4439</v>
      </c>
      <c r="I1243" s="1" t="s">
        <v>82</v>
      </c>
      <c r="V1243" s="4" t="s">
        <v>4440</v>
      </c>
      <c r="AL1243" s="60" t="s">
        <v>30</v>
      </c>
    </row>
    <row r="1244" spans="1:48" ht="72" x14ac:dyDescent="0.2">
      <c r="A1244" s="1" t="s">
        <v>4293</v>
      </c>
      <c r="B1244" s="1" t="s">
        <v>4553</v>
      </c>
      <c r="C1244" s="1" t="s">
        <v>5719</v>
      </c>
      <c r="D1244" s="48">
        <v>83</v>
      </c>
      <c r="E1244" s="1">
        <v>2</v>
      </c>
      <c r="F1244" s="1" t="s">
        <v>4346</v>
      </c>
      <c r="G1244" s="1" t="s">
        <v>4554</v>
      </c>
      <c r="I1244" s="1" t="s">
        <v>82</v>
      </c>
      <c r="V1244" s="4" t="s">
        <v>4555</v>
      </c>
      <c r="AL1244" s="60" t="s">
        <v>30</v>
      </c>
    </row>
    <row r="1245" spans="1:48" ht="48" x14ac:dyDescent="0.2">
      <c r="A1245" s="1" t="s">
        <v>4293</v>
      </c>
      <c r="B1245" s="1" t="s">
        <v>4482</v>
      </c>
      <c r="C1245" s="1" t="s">
        <v>5719</v>
      </c>
      <c r="D1245" s="48">
        <v>84</v>
      </c>
      <c r="E1245" s="1">
        <v>1</v>
      </c>
      <c r="F1245" s="1" t="s">
        <v>4346</v>
      </c>
      <c r="G1245" s="1" t="s">
        <v>4483</v>
      </c>
      <c r="I1245" s="1" t="s">
        <v>82</v>
      </c>
      <c r="V1245" s="4" t="s">
        <v>4484</v>
      </c>
      <c r="AL1245" s="60" t="s">
        <v>30</v>
      </c>
    </row>
    <row r="1246" spans="1:48" ht="72" x14ac:dyDescent="0.2">
      <c r="A1246" s="121" t="s">
        <v>4034</v>
      </c>
      <c r="B1246" s="121" t="s">
        <v>4111</v>
      </c>
      <c r="C1246" s="121" t="s">
        <v>5720</v>
      </c>
      <c r="D1246" s="122">
        <v>1</v>
      </c>
      <c r="E1246" s="121">
        <v>1</v>
      </c>
      <c r="F1246" s="121"/>
      <c r="G1246" s="121" t="s">
        <v>4112</v>
      </c>
      <c r="H1246" s="1" t="s">
        <v>26</v>
      </c>
      <c r="I1246" s="1" t="s">
        <v>27</v>
      </c>
      <c r="J1246" s="1" t="s">
        <v>4113</v>
      </c>
      <c r="K1246" s="1" t="s">
        <v>4114</v>
      </c>
      <c r="L1246" s="2" t="s">
        <v>4115</v>
      </c>
      <c r="M1246" s="18">
        <v>0</v>
      </c>
      <c r="P1246" s="56">
        <v>1</v>
      </c>
      <c r="Q1246" s="57">
        <v>1</v>
      </c>
      <c r="R1246" s="58">
        <v>1</v>
      </c>
      <c r="S1246" s="59">
        <v>3</v>
      </c>
      <c r="V1246" s="4" t="s">
        <v>4116</v>
      </c>
      <c r="AL1246" s="60" t="s">
        <v>30</v>
      </c>
    </row>
    <row r="1247" spans="1:48" ht="36" x14ac:dyDescent="0.2">
      <c r="A1247" s="1" t="s">
        <v>4034</v>
      </c>
      <c r="B1247" s="1" t="s">
        <v>4237</v>
      </c>
      <c r="C1247" s="1" t="s">
        <v>5720</v>
      </c>
      <c r="D1247" s="48">
        <v>2</v>
      </c>
      <c r="E1247" s="1">
        <v>1</v>
      </c>
      <c r="G1247" s="1" t="s">
        <v>4238</v>
      </c>
      <c r="H1247" s="1" t="s">
        <v>26</v>
      </c>
      <c r="I1247" s="1" t="s">
        <v>27</v>
      </c>
      <c r="J1247" s="1" t="s">
        <v>28</v>
      </c>
      <c r="K1247" s="1" t="s">
        <v>283</v>
      </c>
      <c r="M1247" s="18">
        <v>9</v>
      </c>
      <c r="P1247" s="56">
        <v>2</v>
      </c>
      <c r="Q1247" s="57">
        <v>1</v>
      </c>
      <c r="R1247" s="58">
        <v>2</v>
      </c>
      <c r="S1247" s="59">
        <v>4</v>
      </c>
      <c r="V1247" s="4" t="s">
        <v>4239</v>
      </c>
      <c r="AL1247" s="60" t="s">
        <v>30</v>
      </c>
    </row>
    <row r="1248" spans="1:48" ht="24" x14ac:dyDescent="0.2">
      <c r="A1248" s="1" t="s">
        <v>4034</v>
      </c>
      <c r="B1248" s="1" t="s">
        <v>4262</v>
      </c>
      <c r="C1248" s="1" t="s">
        <v>5720</v>
      </c>
      <c r="D1248" s="48">
        <v>3</v>
      </c>
      <c r="E1248" s="1">
        <v>1</v>
      </c>
      <c r="G1248" s="1" t="s">
        <v>4263</v>
      </c>
      <c r="H1248" s="1" t="s">
        <v>26</v>
      </c>
      <c r="I1248" s="1" t="s">
        <v>27</v>
      </c>
      <c r="J1248" s="1" t="s">
        <v>50</v>
      </c>
      <c r="K1248" s="1" t="s">
        <v>4264</v>
      </c>
      <c r="L1248" s="2" t="s">
        <v>171</v>
      </c>
      <c r="M1248" s="18">
        <v>11</v>
      </c>
      <c r="P1248" s="56">
        <v>2</v>
      </c>
      <c r="Q1248" s="57">
        <v>3</v>
      </c>
      <c r="R1248" s="58">
        <v>2</v>
      </c>
      <c r="S1248" s="59">
        <v>4</v>
      </c>
      <c r="V1248" s="4" t="s">
        <v>4265</v>
      </c>
      <c r="AL1248" s="60" t="s">
        <v>30</v>
      </c>
    </row>
    <row r="1249" spans="1:48" ht="24" x14ac:dyDescent="0.2">
      <c r="A1249" s="1" t="s">
        <v>4034</v>
      </c>
      <c r="B1249" s="1" t="s">
        <v>4228</v>
      </c>
      <c r="C1249" s="1" t="s">
        <v>5720</v>
      </c>
      <c r="D1249" s="48">
        <v>4</v>
      </c>
      <c r="E1249" s="1">
        <v>1</v>
      </c>
      <c r="G1249" s="1" t="s">
        <v>4229</v>
      </c>
      <c r="H1249" s="1" t="s">
        <v>26</v>
      </c>
      <c r="I1249" s="1" t="s">
        <v>27</v>
      </c>
      <c r="J1249" s="1" t="s">
        <v>57</v>
      </c>
      <c r="K1249" s="1" t="s">
        <v>283</v>
      </c>
      <c r="M1249" s="18">
        <v>8</v>
      </c>
      <c r="P1249" s="56">
        <v>2</v>
      </c>
      <c r="Q1249" s="57">
        <v>1</v>
      </c>
      <c r="R1249" s="58">
        <v>1</v>
      </c>
      <c r="S1249" s="59">
        <v>4</v>
      </c>
      <c r="V1249" s="4" t="s">
        <v>4230</v>
      </c>
      <c r="AL1249" s="60" t="s">
        <v>30</v>
      </c>
    </row>
    <row r="1250" spans="1:48" ht="24" x14ac:dyDescent="0.2">
      <c r="A1250" s="1" t="s">
        <v>4034</v>
      </c>
      <c r="B1250" s="1" t="s">
        <v>4141</v>
      </c>
      <c r="C1250" s="1" t="s">
        <v>5720</v>
      </c>
      <c r="D1250" s="48">
        <v>5</v>
      </c>
      <c r="E1250" s="1">
        <v>1</v>
      </c>
      <c r="G1250" s="1" t="s">
        <v>3006</v>
      </c>
      <c r="H1250" s="1" t="s">
        <v>26</v>
      </c>
      <c r="I1250" s="1" t="s">
        <v>27</v>
      </c>
      <c r="J1250" s="1" t="s">
        <v>39</v>
      </c>
      <c r="K1250" s="1" t="s">
        <v>283</v>
      </c>
      <c r="M1250" s="18">
        <v>8</v>
      </c>
      <c r="P1250" s="56">
        <v>0</v>
      </c>
      <c r="Q1250" s="57">
        <v>1</v>
      </c>
      <c r="R1250" s="58">
        <v>2</v>
      </c>
      <c r="S1250" s="59">
        <v>5</v>
      </c>
      <c r="V1250" s="4" t="s">
        <v>4142</v>
      </c>
      <c r="AL1250" s="60" t="s">
        <v>30</v>
      </c>
    </row>
    <row r="1251" spans="1:48" ht="36" x14ac:dyDescent="0.2">
      <c r="A1251" s="1" t="s">
        <v>4034</v>
      </c>
      <c r="B1251" s="1" t="s">
        <v>4143</v>
      </c>
      <c r="C1251" s="1" t="s">
        <v>5720</v>
      </c>
      <c r="D1251" s="48">
        <v>6</v>
      </c>
      <c r="E1251" s="1">
        <v>3</v>
      </c>
      <c r="G1251" s="1" t="s">
        <v>344</v>
      </c>
      <c r="H1251" s="1" t="s">
        <v>26</v>
      </c>
      <c r="I1251" s="1" t="s">
        <v>38</v>
      </c>
      <c r="J1251" s="1" t="s">
        <v>28</v>
      </c>
      <c r="K1251" s="1" t="s">
        <v>283</v>
      </c>
      <c r="M1251" s="18">
        <v>3</v>
      </c>
      <c r="P1251" s="56">
        <v>2</v>
      </c>
      <c r="Q1251" s="57">
        <v>1</v>
      </c>
      <c r="R1251" s="58">
        <v>1</v>
      </c>
      <c r="S1251" s="59">
        <v>3</v>
      </c>
      <c r="V1251" s="4" t="s">
        <v>4144</v>
      </c>
      <c r="AL1251" s="60" t="s">
        <v>30</v>
      </c>
    </row>
    <row r="1252" spans="1:48" ht="24" x14ac:dyDescent="0.2">
      <c r="A1252" s="1" t="s">
        <v>4034</v>
      </c>
      <c r="B1252" s="1" t="s">
        <v>4243</v>
      </c>
      <c r="C1252" s="1" t="s">
        <v>5720</v>
      </c>
      <c r="D1252" s="48">
        <v>7</v>
      </c>
      <c r="E1252" s="1">
        <v>3</v>
      </c>
      <c r="G1252" s="1" t="s">
        <v>2681</v>
      </c>
      <c r="H1252" s="1" t="s">
        <v>26</v>
      </c>
      <c r="I1252" s="1" t="s">
        <v>38</v>
      </c>
      <c r="J1252" s="1" t="s">
        <v>39</v>
      </c>
      <c r="K1252" s="1" t="s">
        <v>283</v>
      </c>
      <c r="M1252" s="18">
        <v>3</v>
      </c>
      <c r="P1252" s="56">
        <v>1</v>
      </c>
      <c r="Q1252" s="57">
        <v>2</v>
      </c>
      <c r="R1252" s="58">
        <v>1</v>
      </c>
      <c r="S1252" s="59">
        <v>3</v>
      </c>
      <c r="V1252" s="4" t="s">
        <v>4244</v>
      </c>
      <c r="AL1252" s="60" t="s">
        <v>30</v>
      </c>
    </row>
    <row r="1253" spans="1:48" ht="24" x14ac:dyDescent="0.2">
      <c r="A1253" s="1" t="s">
        <v>4034</v>
      </c>
      <c r="B1253" s="1" t="s">
        <v>4245</v>
      </c>
      <c r="C1253" s="1" t="s">
        <v>5720</v>
      </c>
      <c r="D1253" s="48">
        <v>8</v>
      </c>
      <c r="E1253" s="1">
        <v>3</v>
      </c>
      <c r="G1253" s="1" t="s">
        <v>2748</v>
      </c>
      <c r="H1253" s="1" t="s">
        <v>26</v>
      </c>
      <c r="I1253" s="1" t="s">
        <v>38</v>
      </c>
      <c r="J1253" s="1" t="s">
        <v>57</v>
      </c>
      <c r="K1253" s="1" t="s">
        <v>283</v>
      </c>
      <c r="L1253" s="2" t="s">
        <v>52</v>
      </c>
      <c r="M1253" s="18">
        <v>3</v>
      </c>
      <c r="P1253" s="56">
        <v>1</v>
      </c>
      <c r="Q1253" s="57">
        <v>1</v>
      </c>
      <c r="R1253" s="58">
        <v>2</v>
      </c>
      <c r="S1253" s="59">
        <v>3</v>
      </c>
      <c r="V1253" s="4" t="s">
        <v>4246</v>
      </c>
      <c r="AL1253" s="60" t="s">
        <v>30</v>
      </c>
    </row>
    <row r="1254" spans="1:48" ht="24" x14ac:dyDescent="0.2">
      <c r="A1254" s="1" t="s">
        <v>4034</v>
      </c>
      <c r="B1254" s="1" t="s">
        <v>4240</v>
      </c>
      <c r="C1254" s="1" t="s">
        <v>5720</v>
      </c>
      <c r="D1254" s="48">
        <v>9</v>
      </c>
      <c r="E1254" s="1">
        <v>3</v>
      </c>
      <c r="G1254" s="1" t="s">
        <v>4241</v>
      </c>
      <c r="I1254" s="1" t="s">
        <v>63</v>
      </c>
      <c r="J1254" s="1" t="s">
        <v>50</v>
      </c>
      <c r="M1254" s="18">
        <v>0</v>
      </c>
      <c r="V1254" s="4" t="s">
        <v>4242</v>
      </c>
      <c r="AL1254" s="60" t="s">
        <v>30</v>
      </c>
    </row>
    <row r="1255" spans="1:48" ht="36" x14ac:dyDescent="0.2">
      <c r="A1255" s="1" t="s">
        <v>4034</v>
      </c>
      <c r="B1255" s="1" t="s">
        <v>4155</v>
      </c>
      <c r="C1255" s="1" t="s">
        <v>5720</v>
      </c>
      <c r="D1255" s="48">
        <v>10</v>
      </c>
      <c r="E1255" s="1">
        <v>3</v>
      </c>
      <c r="G1255" s="1" t="s">
        <v>4156</v>
      </c>
      <c r="I1255" s="1" t="s">
        <v>63</v>
      </c>
      <c r="J1255" s="1" t="s">
        <v>57</v>
      </c>
      <c r="M1255" s="18">
        <v>0</v>
      </c>
      <c r="V1255" s="4" t="s">
        <v>4157</v>
      </c>
      <c r="AL1255" s="60" t="s">
        <v>30</v>
      </c>
    </row>
    <row r="1256" spans="1:48" ht="48" x14ac:dyDescent="0.2">
      <c r="A1256" s="1" t="s">
        <v>4034</v>
      </c>
      <c r="B1256" s="1" t="s">
        <v>4145</v>
      </c>
      <c r="C1256" s="1" t="s">
        <v>5720</v>
      </c>
      <c r="D1256" s="48">
        <v>11</v>
      </c>
      <c r="E1256" s="1">
        <v>3</v>
      </c>
      <c r="G1256" s="1" t="s">
        <v>4146</v>
      </c>
      <c r="I1256" s="1" t="s">
        <v>63</v>
      </c>
      <c r="J1256" s="1" t="s">
        <v>39</v>
      </c>
      <c r="M1256" s="18">
        <v>1</v>
      </c>
      <c r="V1256" s="4" t="s">
        <v>4147</v>
      </c>
      <c r="AL1256" s="60" t="s">
        <v>30</v>
      </c>
    </row>
    <row r="1257" spans="1:48" ht="36" x14ac:dyDescent="0.2">
      <c r="A1257" s="1" t="s">
        <v>4034</v>
      </c>
      <c r="B1257" s="1" t="s">
        <v>4054</v>
      </c>
      <c r="C1257" s="1" t="s">
        <v>5720</v>
      </c>
      <c r="D1257" s="48">
        <v>12</v>
      </c>
      <c r="E1257" s="1">
        <v>3</v>
      </c>
      <c r="G1257" s="1" t="s">
        <v>4055</v>
      </c>
      <c r="I1257" s="1" t="s">
        <v>63</v>
      </c>
      <c r="J1257" s="1" t="s">
        <v>28</v>
      </c>
      <c r="M1257" s="18">
        <v>1</v>
      </c>
      <c r="V1257" s="4" t="s">
        <v>4056</v>
      </c>
      <c r="AL1257" s="60" t="s">
        <v>30</v>
      </c>
    </row>
    <row r="1258" spans="1:48" ht="36" x14ac:dyDescent="0.2">
      <c r="A1258" s="1" t="s">
        <v>4034</v>
      </c>
      <c r="B1258" s="1" t="s">
        <v>4132</v>
      </c>
      <c r="C1258" s="1" t="s">
        <v>5720</v>
      </c>
      <c r="D1258" s="48">
        <v>13</v>
      </c>
      <c r="E1258" s="1">
        <v>3</v>
      </c>
      <c r="G1258" s="1" t="s">
        <v>4133</v>
      </c>
      <c r="I1258" s="1" t="s">
        <v>63</v>
      </c>
      <c r="J1258" s="1" t="s">
        <v>4113</v>
      </c>
      <c r="M1258" s="18">
        <v>1</v>
      </c>
      <c r="V1258" s="4" t="s">
        <v>4134</v>
      </c>
      <c r="AL1258" s="60" t="s">
        <v>30</v>
      </c>
    </row>
    <row r="1259" spans="1:48" ht="48" x14ac:dyDescent="0.2">
      <c r="A1259" s="1" t="s">
        <v>4034</v>
      </c>
      <c r="B1259" s="1" t="s">
        <v>4178</v>
      </c>
      <c r="C1259" s="1" t="s">
        <v>5720</v>
      </c>
      <c r="D1259" s="48">
        <v>14</v>
      </c>
      <c r="E1259" s="1">
        <v>3</v>
      </c>
      <c r="G1259" s="1" t="s">
        <v>4179</v>
      </c>
      <c r="I1259" s="1" t="s">
        <v>56</v>
      </c>
      <c r="J1259" s="1" t="s">
        <v>50</v>
      </c>
      <c r="K1259" s="1" t="s">
        <v>196</v>
      </c>
      <c r="L1259" s="2" t="s">
        <v>4180</v>
      </c>
      <c r="M1259" s="18">
        <v>2</v>
      </c>
      <c r="V1259" s="4" t="s">
        <v>4181</v>
      </c>
      <c r="AL1259" s="60" t="s">
        <v>30</v>
      </c>
      <c r="AU1259" s="1" t="s">
        <v>6254</v>
      </c>
      <c r="AV1259" s="1" t="s">
        <v>6255</v>
      </c>
    </row>
    <row r="1260" spans="1:48" ht="24" x14ac:dyDescent="0.2">
      <c r="A1260" s="1" t="s">
        <v>4034</v>
      </c>
      <c r="B1260" s="1" t="s">
        <v>4214</v>
      </c>
      <c r="C1260" s="1" t="s">
        <v>5720</v>
      </c>
      <c r="D1260" s="48">
        <v>15</v>
      </c>
      <c r="E1260" s="1">
        <v>3</v>
      </c>
      <c r="G1260" s="1" t="s">
        <v>4215</v>
      </c>
      <c r="H1260" s="1" t="s">
        <v>26</v>
      </c>
      <c r="I1260" s="1" t="s">
        <v>56</v>
      </c>
      <c r="J1260" s="1" t="s">
        <v>50</v>
      </c>
      <c r="K1260" s="1" t="s">
        <v>150</v>
      </c>
      <c r="L1260" s="2" t="s">
        <v>4216</v>
      </c>
      <c r="M1260" s="18">
        <v>0</v>
      </c>
      <c r="U1260" s="1">
        <v>1</v>
      </c>
      <c r="V1260" s="4" t="s">
        <v>4217</v>
      </c>
      <c r="AL1260" s="60" t="s">
        <v>30</v>
      </c>
      <c r="AU1260" s="1" t="s">
        <v>6256</v>
      </c>
    </row>
    <row r="1261" spans="1:48" ht="36" x14ac:dyDescent="0.2">
      <c r="A1261" s="1" t="s">
        <v>4034</v>
      </c>
      <c r="B1261" s="1" t="s">
        <v>4280</v>
      </c>
      <c r="C1261" s="1" t="s">
        <v>5720</v>
      </c>
      <c r="D1261" s="48">
        <v>16</v>
      </c>
      <c r="E1261" s="1">
        <v>3</v>
      </c>
      <c r="G1261" s="1" t="s">
        <v>4281</v>
      </c>
      <c r="H1261" s="1" t="s">
        <v>26</v>
      </c>
      <c r="I1261" s="1" t="s">
        <v>56</v>
      </c>
      <c r="J1261" s="1" t="s">
        <v>57</v>
      </c>
      <c r="K1261" s="1" t="s">
        <v>150</v>
      </c>
      <c r="L1261" s="2" t="s">
        <v>71</v>
      </c>
      <c r="M1261" s="18">
        <v>1</v>
      </c>
      <c r="V1261" s="4" t="s">
        <v>4282</v>
      </c>
      <c r="AL1261" s="60" t="s">
        <v>30</v>
      </c>
    </row>
    <row r="1262" spans="1:48" ht="36" x14ac:dyDescent="0.2">
      <c r="A1262" s="1" t="s">
        <v>4034</v>
      </c>
      <c r="B1262" s="1" t="s">
        <v>4088</v>
      </c>
      <c r="C1262" s="1" t="s">
        <v>5720</v>
      </c>
      <c r="D1262" s="48">
        <v>17</v>
      </c>
      <c r="E1262" s="1">
        <v>3</v>
      </c>
      <c r="G1262" s="1" t="s">
        <v>4089</v>
      </c>
      <c r="I1262" s="1" t="s">
        <v>56</v>
      </c>
      <c r="J1262" s="1" t="s">
        <v>39</v>
      </c>
      <c r="K1262" s="1" t="s">
        <v>568</v>
      </c>
      <c r="L1262" s="2" t="s">
        <v>4090</v>
      </c>
      <c r="M1262" s="18">
        <v>0</v>
      </c>
      <c r="V1262" s="4" t="s">
        <v>4091</v>
      </c>
      <c r="AL1262" s="60" t="s">
        <v>30</v>
      </c>
    </row>
    <row r="1263" spans="1:48" ht="24" x14ac:dyDescent="0.2">
      <c r="A1263" s="1" t="s">
        <v>4034</v>
      </c>
      <c r="B1263" s="1" t="s">
        <v>4193</v>
      </c>
      <c r="C1263" s="1" t="s">
        <v>5720</v>
      </c>
      <c r="D1263" s="48">
        <v>18</v>
      </c>
      <c r="E1263" s="1">
        <v>3</v>
      </c>
      <c r="G1263" s="1" t="s">
        <v>4194</v>
      </c>
      <c r="H1263" s="1" t="s">
        <v>26</v>
      </c>
      <c r="I1263" s="1" t="s">
        <v>56</v>
      </c>
      <c r="J1263" s="1" t="s">
        <v>28</v>
      </c>
      <c r="K1263" s="1" t="s">
        <v>298</v>
      </c>
      <c r="L1263" s="2" t="s">
        <v>2832</v>
      </c>
      <c r="M1263" s="18">
        <v>2</v>
      </c>
      <c r="V1263" s="4" t="s">
        <v>4195</v>
      </c>
      <c r="AL1263" s="60" t="s">
        <v>30</v>
      </c>
    </row>
    <row r="1264" spans="1:48" ht="72" x14ac:dyDescent="0.2">
      <c r="A1264" s="1" t="s">
        <v>4034</v>
      </c>
      <c r="B1264" s="1" t="s">
        <v>4200</v>
      </c>
      <c r="C1264" s="1" t="s">
        <v>5720</v>
      </c>
      <c r="D1264" s="48">
        <v>19</v>
      </c>
      <c r="E1264" s="1">
        <v>1</v>
      </c>
      <c r="G1264" s="1" t="s">
        <v>4201</v>
      </c>
      <c r="H1264" s="1" t="s">
        <v>26</v>
      </c>
      <c r="I1264" s="1" t="s">
        <v>4050</v>
      </c>
      <c r="J1264" s="1" t="s">
        <v>44</v>
      </c>
      <c r="K1264" s="1" t="s">
        <v>3713</v>
      </c>
      <c r="L1264" s="2" t="s">
        <v>4052</v>
      </c>
      <c r="M1264" s="18">
        <v>0</v>
      </c>
      <c r="V1264" s="4" t="s">
        <v>4202</v>
      </c>
      <c r="AL1264" s="60" t="s">
        <v>30</v>
      </c>
      <c r="AU1264" s="1" t="s">
        <v>6257</v>
      </c>
      <c r="AV1264" s="1" t="s">
        <v>6258</v>
      </c>
    </row>
    <row r="1265" spans="1:38" ht="36" x14ac:dyDescent="0.2">
      <c r="A1265" s="1" t="s">
        <v>4034</v>
      </c>
      <c r="B1265" s="1" t="s">
        <v>4218</v>
      </c>
      <c r="C1265" s="1" t="s">
        <v>5720</v>
      </c>
      <c r="D1265" s="48">
        <v>20</v>
      </c>
      <c r="E1265" s="1">
        <v>1</v>
      </c>
      <c r="G1265" s="1" t="s">
        <v>4219</v>
      </c>
      <c r="H1265" s="1" t="s">
        <v>26</v>
      </c>
      <c r="I1265" s="1" t="s">
        <v>4050</v>
      </c>
      <c r="J1265" s="1" t="s">
        <v>44</v>
      </c>
      <c r="K1265" s="1" t="s">
        <v>4051</v>
      </c>
      <c r="L1265" s="2" t="s">
        <v>71</v>
      </c>
      <c r="M1265" s="18">
        <v>0</v>
      </c>
      <c r="V1265" s="4" t="s">
        <v>4220</v>
      </c>
      <c r="AL1265" s="60" t="s">
        <v>30</v>
      </c>
    </row>
    <row r="1266" spans="1:38" x14ac:dyDescent="0.2">
      <c r="A1266" s="1" t="s">
        <v>4034</v>
      </c>
      <c r="B1266" s="1" t="s">
        <v>4048</v>
      </c>
      <c r="C1266" s="1" t="s">
        <v>5720</v>
      </c>
      <c r="D1266" s="48">
        <v>21</v>
      </c>
      <c r="E1266" s="1">
        <v>1</v>
      </c>
      <c r="G1266" s="1" t="s">
        <v>4049</v>
      </c>
      <c r="H1266" s="1" t="s">
        <v>26</v>
      </c>
      <c r="I1266" s="1" t="s">
        <v>4050</v>
      </c>
      <c r="J1266" s="1" t="s">
        <v>44</v>
      </c>
      <c r="K1266" s="1" t="s">
        <v>4051</v>
      </c>
      <c r="L1266" s="2" t="s">
        <v>4052</v>
      </c>
      <c r="M1266" s="18">
        <v>0</v>
      </c>
      <c r="V1266" s="4" t="s">
        <v>4053</v>
      </c>
      <c r="AL1266" s="60" t="s">
        <v>30</v>
      </c>
    </row>
    <row r="1267" spans="1:38" ht="48" x14ac:dyDescent="0.2">
      <c r="A1267" s="1" t="s">
        <v>4034</v>
      </c>
      <c r="B1267" s="1" t="s">
        <v>4182</v>
      </c>
      <c r="C1267" s="1" t="s">
        <v>5720</v>
      </c>
      <c r="D1267" s="48">
        <v>22</v>
      </c>
      <c r="E1267" s="1">
        <v>1</v>
      </c>
      <c r="G1267" s="1" t="s">
        <v>4183</v>
      </c>
      <c r="H1267" s="1" t="s">
        <v>26</v>
      </c>
      <c r="I1267" s="1" t="s">
        <v>4050</v>
      </c>
      <c r="J1267" s="1" t="s">
        <v>44</v>
      </c>
      <c r="K1267" s="1" t="s">
        <v>4051</v>
      </c>
      <c r="L1267" s="2" t="s">
        <v>427</v>
      </c>
      <c r="M1267" s="18">
        <v>0</v>
      </c>
      <c r="V1267" s="4" t="s">
        <v>4184</v>
      </c>
      <c r="AL1267" s="60" t="s">
        <v>30</v>
      </c>
    </row>
    <row r="1268" spans="1:38" ht="36" x14ac:dyDescent="0.2">
      <c r="A1268" s="1" t="s">
        <v>4034</v>
      </c>
      <c r="B1268" s="1" t="s">
        <v>4164</v>
      </c>
      <c r="C1268" s="1" t="s">
        <v>5720</v>
      </c>
      <c r="D1268" s="48">
        <v>23</v>
      </c>
      <c r="E1268" s="1">
        <v>1</v>
      </c>
      <c r="G1268" s="1" t="s">
        <v>4165</v>
      </c>
      <c r="H1268" s="1" t="s">
        <v>26</v>
      </c>
      <c r="I1268" s="1" t="s">
        <v>4050</v>
      </c>
      <c r="J1268" s="1" t="s">
        <v>44</v>
      </c>
      <c r="K1268" s="1" t="s">
        <v>4051</v>
      </c>
      <c r="L1268" s="2" t="s">
        <v>427</v>
      </c>
      <c r="M1268" s="18">
        <v>0</v>
      </c>
      <c r="V1268" s="4" t="s">
        <v>4166</v>
      </c>
      <c r="AL1268" s="60" t="s">
        <v>30</v>
      </c>
    </row>
    <row r="1269" spans="1:38" ht="24" x14ac:dyDescent="0.2">
      <c r="A1269" s="1" t="s">
        <v>4034</v>
      </c>
      <c r="B1269" s="1" t="s">
        <v>4287</v>
      </c>
      <c r="C1269" s="1" t="s">
        <v>5720</v>
      </c>
      <c r="D1269" s="48">
        <v>24</v>
      </c>
      <c r="E1269" s="1">
        <v>1</v>
      </c>
      <c r="G1269" s="1" t="s">
        <v>4288</v>
      </c>
      <c r="H1269" s="1" t="s">
        <v>26</v>
      </c>
      <c r="I1269" s="1" t="s">
        <v>4050</v>
      </c>
      <c r="J1269" s="1" t="s">
        <v>44</v>
      </c>
      <c r="K1269" s="1" t="s">
        <v>4051</v>
      </c>
      <c r="L1269" s="2" t="s">
        <v>71</v>
      </c>
      <c r="M1269" s="18">
        <v>0</v>
      </c>
      <c r="U1269" s="1">
        <v>3</v>
      </c>
      <c r="V1269" s="4" t="s">
        <v>4289</v>
      </c>
      <c r="AL1269" s="60" t="s">
        <v>30</v>
      </c>
    </row>
    <row r="1270" spans="1:38" ht="72" x14ac:dyDescent="0.2">
      <c r="A1270" s="111" t="s">
        <v>4034</v>
      </c>
      <c r="B1270" s="111" t="s">
        <v>4108</v>
      </c>
      <c r="C1270" s="111" t="s">
        <v>5720</v>
      </c>
      <c r="D1270" s="112">
        <v>25</v>
      </c>
      <c r="E1270" s="111">
        <v>1</v>
      </c>
      <c r="F1270" s="111" t="s">
        <v>4059</v>
      </c>
      <c r="G1270" s="111" t="s">
        <v>4109</v>
      </c>
      <c r="H1270" s="1" t="s">
        <v>26</v>
      </c>
      <c r="I1270" s="1" t="s">
        <v>104</v>
      </c>
      <c r="K1270" s="1" t="s">
        <v>105</v>
      </c>
      <c r="L1270" s="2" t="s">
        <v>331</v>
      </c>
      <c r="O1270" s="55">
        <v>1</v>
      </c>
      <c r="T1270" s="60">
        <v>9</v>
      </c>
      <c r="V1270" s="4" t="s">
        <v>4110</v>
      </c>
      <c r="AL1270" s="60" t="s">
        <v>30</v>
      </c>
    </row>
    <row r="1271" spans="1:38" ht="60" x14ac:dyDescent="0.2">
      <c r="A1271" s="1" t="s">
        <v>4034</v>
      </c>
      <c r="B1271" s="1" t="s">
        <v>4266</v>
      </c>
      <c r="C1271" s="1" t="s">
        <v>5720</v>
      </c>
      <c r="D1271" s="48">
        <v>26</v>
      </c>
      <c r="E1271" s="1">
        <v>4</v>
      </c>
      <c r="F1271" s="1" t="s">
        <v>4059</v>
      </c>
      <c r="G1271" s="1" t="s">
        <v>4267</v>
      </c>
      <c r="I1271" s="1" t="s">
        <v>104</v>
      </c>
      <c r="K1271" s="1" t="s">
        <v>105</v>
      </c>
      <c r="O1271" s="55">
        <v>3</v>
      </c>
      <c r="T1271" s="60">
        <v>3</v>
      </c>
      <c r="V1271" s="4" t="s">
        <v>4268</v>
      </c>
      <c r="AL1271" s="60" t="s">
        <v>30</v>
      </c>
    </row>
    <row r="1272" spans="1:38" ht="60" x14ac:dyDescent="0.2">
      <c r="A1272" s="1" t="s">
        <v>4034</v>
      </c>
      <c r="B1272" s="1" t="s">
        <v>4167</v>
      </c>
      <c r="C1272" s="1" t="s">
        <v>5720</v>
      </c>
      <c r="D1272" s="48">
        <v>27</v>
      </c>
      <c r="E1272" s="1">
        <v>2</v>
      </c>
      <c r="F1272" s="1" t="s">
        <v>4059</v>
      </c>
      <c r="G1272" s="1" t="s">
        <v>4168</v>
      </c>
      <c r="I1272" s="1" t="s">
        <v>104</v>
      </c>
      <c r="K1272" s="1" t="s">
        <v>4169</v>
      </c>
      <c r="O1272" s="55">
        <v>2</v>
      </c>
      <c r="T1272" s="60">
        <v>4</v>
      </c>
      <c r="V1272" s="4" t="s">
        <v>4170</v>
      </c>
      <c r="AL1272" s="60" t="s">
        <v>30</v>
      </c>
    </row>
    <row r="1273" spans="1:38" ht="24" x14ac:dyDescent="0.2">
      <c r="A1273" s="1" t="s">
        <v>4034</v>
      </c>
      <c r="B1273" s="1" t="s">
        <v>4225</v>
      </c>
      <c r="C1273" s="1" t="s">
        <v>5720</v>
      </c>
      <c r="D1273" s="48">
        <v>28</v>
      </c>
      <c r="E1273" s="1">
        <v>3</v>
      </c>
      <c r="F1273" s="1" t="s">
        <v>4059</v>
      </c>
      <c r="G1273" s="1" t="s">
        <v>4226</v>
      </c>
      <c r="I1273" s="1" t="s">
        <v>94</v>
      </c>
      <c r="K1273" s="1" t="s">
        <v>576</v>
      </c>
      <c r="L1273" s="2" t="s">
        <v>4085</v>
      </c>
      <c r="N1273" s="54">
        <v>37</v>
      </c>
      <c r="O1273" s="55">
        <v>3</v>
      </c>
      <c r="Q1273" s="57">
        <v>5</v>
      </c>
      <c r="R1273" s="58">
        <v>2</v>
      </c>
      <c r="S1273" s="59">
        <v>4</v>
      </c>
      <c r="V1273" s="4" t="s">
        <v>4227</v>
      </c>
      <c r="AL1273" s="60" t="s">
        <v>30</v>
      </c>
    </row>
    <row r="1274" spans="1:38" ht="24" x14ac:dyDescent="0.2">
      <c r="A1274" s="1" t="s">
        <v>4034</v>
      </c>
      <c r="B1274" s="1" t="s">
        <v>4221</v>
      </c>
      <c r="C1274" s="1" t="s">
        <v>5720</v>
      </c>
      <c r="D1274" s="48">
        <v>29</v>
      </c>
      <c r="E1274" s="1">
        <v>3</v>
      </c>
      <c r="F1274" s="1" t="s">
        <v>4059</v>
      </c>
      <c r="G1274" s="1" t="s">
        <v>4222</v>
      </c>
      <c r="I1274" s="1" t="s">
        <v>94</v>
      </c>
      <c r="K1274" s="1" t="s">
        <v>576</v>
      </c>
      <c r="L1274" s="2" t="s">
        <v>4085</v>
      </c>
      <c r="N1274" s="54">
        <v>30</v>
      </c>
      <c r="O1274" s="55">
        <v>2</v>
      </c>
      <c r="Q1274" s="57">
        <v>3</v>
      </c>
      <c r="R1274" s="58">
        <v>2</v>
      </c>
      <c r="S1274" s="59">
        <v>2</v>
      </c>
      <c r="V1274" s="4" t="s">
        <v>4223</v>
      </c>
      <c r="W1274" s="4" t="s">
        <v>4224</v>
      </c>
      <c r="AL1274" s="60" t="s">
        <v>30</v>
      </c>
    </row>
    <row r="1275" spans="1:38" ht="24" x14ac:dyDescent="0.2">
      <c r="A1275" s="1" t="s">
        <v>4034</v>
      </c>
      <c r="B1275" s="1" t="s">
        <v>4189</v>
      </c>
      <c r="C1275" s="1" t="s">
        <v>5720</v>
      </c>
      <c r="D1275" s="48">
        <v>30</v>
      </c>
      <c r="E1275" s="1">
        <v>3</v>
      </c>
      <c r="F1275" s="1" t="s">
        <v>4059</v>
      </c>
      <c r="G1275" s="1" t="s">
        <v>4190</v>
      </c>
      <c r="I1275" s="1" t="s">
        <v>94</v>
      </c>
      <c r="K1275" s="1" t="s">
        <v>576</v>
      </c>
      <c r="L1275" s="2" t="s">
        <v>4085</v>
      </c>
      <c r="N1275" s="54">
        <v>33</v>
      </c>
      <c r="O1275" s="55">
        <v>3</v>
      </c>
      <c r="Q1275" s="57">
        <v>3</v>
      </c>
      <c r="R1275" s="58">
        <v>0</v>
      </c>
      <c r="S1275" s="59">
        <v>3</v>
      </c>
      <c r="V1275" s="4" t="s">
        <v>4191</v>
      </c>
      <c r="W1275" s="4" t="s">
        <v>4192</v>
      </c>
      <c r="AL1275" s="60" t="s">
        <v>30</v>
      </c>
    </row>
    <row r="1276" spans="1:38" ht="24" x14ac:dyDescent="0.2">
      <c r="A1276" s="1" t="s">
        <v>4034</v>
      </c>
      <c r="B1276" s="1" t="s">
        <v>4125</v>
      </c>
      <c r="C1276" s="1" t="s">
        <v>5720</v>
      </c>
      <c r="D1276" s="48">
        <v>31</v>
      </c>
      <c r="E1276" s="1">
        <v>4</v>
      </c>
      <c r="F1276" s="1" t="s">
        <v>4059</v>
      </c>
      <c r="G1276" s="1" t="s">
        <v>4126</v>
      </c>
      <c r="I1276" s="1" t="s">
        <v>94</v>
      </c>
      <c r="K1276" s="1" t="s">
        <v>576</v>
      </c>
      <c r="L1276" s="2" t="s">
        <v>4085</v>
      </c>
      <c r="N1276" s="54">
        <v>28</v>
      </c>
      <c r="O1276" s="55">
        <v>2</v>
      </c>
      <c r="Q1276" s="57">
        <v>1</v>
      </c>
      <c r="R1276" s="58">
        <v>1</v>
      </c>
      <c r="S1276" s="59">
        <v>6</v>
      </c>
      <c r="V1276" s="4" t="s">
        <v>4127</v>
      </c>
      <c r="W1276" s="4" t="s">
        <v>4128</v>
      </c>
      <c r="AL1276" s="60" t="s">
        <v>30</v>
      </c>
    </row>
    <row r="1277" spans="1:38" ht="24" x14ac:dyDescent="0.2">
      <c r="A1277" s="1" t="s">
        <v>4034</v>
      </c>
      <c r="B1277" s="1" t="s">
        <v>4083</v>
      </c>
      <c r="C1277" s="1" t="s">
        <v>5720</v>
      </c>
      <c r="D1277" s="48">
        <v>32</v>
      </c>
      <c r="E1277" s="1">
        <v>5</v>
      </c>
      <c r="F1277" s="1" t="s">
        <v>4059</v>
      </c>
      <c r="G1277" s="1" t="s">
        <v>4084</v>
      </c>
      <c r="I1277" s="1" t="s">
        <v>94</v>
      </c>
      <c r="K1277" s="1" t="s">
        <v>576</v>
      </c>
      <c r="L1277" s="2" t="s">
        <v>4085</v>
      </c>
      <c r="N1277" s="54">
        <v>25</v>
      </c>
      <c r="O1277" s="55">
        <v>1</v>
      </c>
      <c r="Q1277" s="57">
        <v>4</v>
      </c>
      <c r="R1277" s="58">
        <v>1</v>
      </c>
      <c r="S1277" s="59">
        <v>3</v>
      </c>
      <c r="V1277" s="4" t="s">
        <v>4086</v>
      </c>
      <c r="W1277" s="4" t="s">
        <v>4087</v>
      </c>
      <c r="AL1277" s="60" t="s">
        <v>30</v>
      </c>
    </row>
    <row r="1278" spans="1:38" ht="36" x14ac:dyDescent="0.2">
      <c r="A1278" s="1" t="s">
        <v>4034</v>
      </c>
      <c r="B1278" s="1" t="s">
        <v>4161</v>
      </c>
      <c r="C1278" s="1" t="s">
        <v>5720</v>
      </c>
      <c r="D1278" s="48">
        <v>33</v>
      </c>
      <c r="E1278" s="1">
        <v>2</v>
      </c>
      <c r="F1278" s="1" t="s">
        <v>4059</v>
      </c>
      <c r="G1278" s="1" t="s">
        <v>4162</v>
      </c>
      <c r="I1278" s="1" t="s">
        <v>82</v>
      </c>
      <c r="V1278" s="4" t="s">
        <v>4163</v>
      </c>
      <c r="AL1278" s="60" t="s">
        <v>30</v>
      </c>
    </row>
    <row r="1279" spans="1:38" ht="36" x14ac:dyDescent="0.2">
      <c r="A1279" s="1" t="s">
        <v>4034</v>
      </c>
      <c r="B1279" s="1" t="s">
        <v>4092</v>
      </c>
      <c r="C1279" s="1" t="s">
        <v>5720</v>
      </c>
      <c r="D1279" s="48">
        <v>34</v>
      </c>
      <c r="E1279" s="1">
        <v>2</v>
      </c>
      <c r="F1279" s="1" t="s">
        <v>4059</v>
      </c>
      <c r="G1279" s="1" t="s">
        <v>4093</v>
      </c>
      <c r="I1279" s="1" t="s">
        <v>82</v>
      </c>
      <c r="V1279" s="4" t="s">
        <v>4094</v>
      </c>
      <c r="W1279" s="4" t="s">
        <v>4095</v>
      </c>
      <c r="AL1279" s="60" t="s">
        <v>30</v>
      </c>
    </row>
    <row r="1280" spans="1:38" ht="48" x14ac:dyDescent="0.2">
      <c r="A1280" s="111" t="s">
        <v>4034</v>
      </c>
      <c r="B1280" s="111" t="s">
        <v>4100</v>
      </c>
      <c r="C1280" s="111" t="s">
        <v>5720</v>
      </c>
      <c r="D1280" s="112">
        <v>35</v>
      </c>
      <c r="E1280" s="111">
        <v>3</v>
      </c>
      <c r="F1280" s="111" t="s">
        <v>4047</v>
      </c>
      <c r="G1280" s="111" t="s">
        <v>4101</v>
      </c>
      <c r="I1280" s="1" t="s">
        <v>104</v>
      </c>
      <c r="K1280" s="1" t="s">
        <v>594</v>
      </c>
      <c r="O1280" s="55">
        <v>3</v>
      </c>
      <c r="T1280" s="60">
        <v>1</v>
      </c>
      <c r="V1280" s="4" t="s">
        <v>4102</v>
      </c>
      <c r="AL1280" s="60" t="s">
        <v>30</v>
      </c>
    </row>
    <row r="1281" spans="1:47" ht="36" x14ac:dyDescent="0.2">
      <c r="A1281" s="1" t="s">
        <v>4034</v>
      </c>
      <c r="B1281" s="1" t="s">
        <v>4096</v>
      </c>
      <c r="C1281" s="1" t="s">
        <v>5720</v>
      </c>
      <c r="D1281" s="48">
        <v>36</v>
      </c>
      <c r="E1281" s="1">
        <v>3</v>
      </c>
      <c r="F1281" s="1" t="s">
        <v>4047</v>
      </c>
      <c r="G1281" s="1" t="s">
        <v>4097</v>
      </c>
      <c r="I1281" s="1" t="s">
        <v>94</v>
      </c>
      <c r="K1281" s="1" t="s">
        <v>95</v>
      </c>
      <c r="N1281" s="54">
        <v>15</v>
      </c>
      <c r="O1281" s="55">
        <v>2</v>
      </c>
      <c r="Q1281" s="57">
        <v>2</v>
      </c>
      <c r="R1281" s="58">
        <v>0</v>
      </c>
      <c r="S1281" s="59">
        <v>1</v>
      </c>
      <c r="V1281" s="4" t="s">
        <v>4098</v>
      </c>
      <c r="W1281" s="4" t="s">
        <v>4099</v>
      </c>
      <c r="AL1281" s="60" t="s">
        <v>30</v>
      </c>
    </row>
    <row r="1282" spans="1:47" ht="36" x14ac:dyDescent="0.2">
      <c r="A1282" s="1" t="s">
        <v>4034</v>
      </c>
      <c r="B1282" s="1" t="s">
        <v>4290</v>
      </c>
      <c r="C1282" s="1" t="s">
        <v>5720</v>
      </c>
      <c r="D1282" s="48">
        <v>37</v>
      </c>
      <c r="E1282" s="1">
        <v>2</v>
      </c>
      <c r="F1282" s="1" t="s">
        <v>4047</v>
      </c>
      <c r="G1282" s="1" t="s">
        <v>4291</v>
      </c>
      <c r="I1282" s="1" t="s">
        <v>82</v>
      </c>
      <c r="V1282" s="4" t="s">
        <v>4292</v>
      </c>
      <c r="W1282" s="4" t="s">
        <v>2276</v>
      </c>
      <c r="AL1282" s="60" t="s">
        <v>30</v>
      </c>
    </row>
    <row r="1283" spans="1:47" ht="24" x14ac:dyDescent="0.2">
      <c r="A1283" s="1" t="s">
        <v>4034</v>
      </c>
      <c r="B1283" s="1" t="s">
        <v>4043</v>
      </c>
      <c r="C1283" s="1" t="s">
        <v>5720</v>
      </c>
      <c r="D1283" s="48">
        <v>38</v>
      </c>
      <c r="E1283" s="1">
        <v>2</v>
      </c>
      <c r="F1283" s="1" t="s">
        <v>4047</v>
      </c>
      <c r="G1283" s="1" t="s">
        <v>4044</v>
      </c>
      <c r="I1283" s="1" t="s">
        <v>82</v>
      </c>
      <c r="V1283" s="4" t="s">
        <v>4045</v>
      </c>
      <c r="W1283" s="4" t="s">
        <v>4046</v>
      </c>
      <c r="AL1283" s="60" t="s">
        <v>30</v>
      </c>
    </row>
    <row r="1284" spans="1:47" ht="60" x14ac:dyDescent="0.2">
      <c r="A1284" s="111" t="s">
        <v>4034</v>
      </c>
      <c r="B1284" s="111" t="s">
        <v>4196</v>
      </c>
      <c r="C1284" s="111" t="s">
        <v>5720</v>
      </c>
      <c r="D1284" s="112">
        <v>39</v>
      </c>
      <c r="E1284" s="111">
        <v>1</v>
      </c>
      <c r="F1284" s="111" t="s">
        <v>4036</v>
      </c>
      <c r="G1284" s="111" t="s">
        <v>4197</v>
      </c>
      <c r="I1284" s="1" t="s">
        <v>88</v>
      </c>
      <c r="K1284" s="1" t="s">
        <v>4198</v>
      </c>
      <c r="V1284" s="4" t="s">
        <v>4199</v>
      </c>
      <c r="AL1284" s="60" t="s">
        <v>30</v>
      </c>
    </row>
    <row r="1285" spans="1:47" ht="72" x14ac:dyDescent="0.2">
      <c r="A1285" s="1" t="s">
        <v>4034</v>
      </c>
      <c r="B1285" s="1" t="s">
        <v>4171</v>
      </c>
      <c r="C1285" s="1" t="s">
        <v>5720</v>
      </c>
      <c r="D1285" s="48">
        <v>40</v>
      </c>
      <c r="E1285" s="1">
        <v>1</v>
      </c>
      <c r="F1285" s="1" t="s">
        <v>4036</v>
      </c>
      <c r="G1285" s="1" t="s">
        <v>4172</v>
      </c>
      <c r="H1285" s="1" t="s">
        <v>26</v>
      </c>
      <c r="I1285" s="1" t="s">
        <v>94</v>
      </c>
      <c r="K1285" s="1" t="s">
        <v>1142</v>
      </c>
      <c r="L1285" s="2" t="s">
        <v>931</v>
      </c>
      <c r="N1285" s="54">
        <v>50</v>
      </c>
      <c r="O1285" s="55" t="s">
        <v>113</v>
      </c>
      <c r="Q1285" s="57">
        <v>6</v>
      </c>
      <c r="R1285" s="58">
        <v>9</v>
      </c>
      <c r="S1285" s="59">
        <v>20</v>
      </c>
      <c r="V1285" s="4" t="s">
        <v>4173</v>
      </c>
      <c r="AL1285" s="60" t="s">
        <v>30</v>
      </c>
    </row>
    <row r="1286" spans="1:47" ht="60" x14ac:dyDescent="0.2">
      <c r="A1286" s="1" t="s">
        <v>4034</v>
      </c>
      <c r="B1286" s="1" t="s">
        <v>4135</v>
      </c>
      <c r="C1286" s="1" t="s">
        <v>5720</v>
      </c>
      <c r="D1286" s="48">
        <v>41</v>
      </c>
      <c r="E1286" s="1">
        <v>1</v>
      </c>
      <c r="F1286" s="1" t="s">
        <v>4036</v>
      </c>
      <c r="G1286" s="1" t="s">
        <v>3421</v>
      </c>
      <c r="H1286" s="1" t="s">
        <v>26</v>
      </c>
      <c r="I1286" s="1" t="s">
        <v>94</v>
      </c>
      <c r="K1286" s="1" t="s">
        <v>1142</v>
      </c>
      <c r="L1286" s="2" t="s">
        <v>931</v>
      </c>
      <c r="N1286" s="54">
        <v>50</v>
      </c>
      <c r="O1286" s="55">
        <v>6</v>
      </c>
      <c r="Q1286" s="57">
        <v>8</v>
      </c>
      <c r="R1286" s="58">
        <v>8</v>
      </c>
      <c r="S1286" s="59">
        <v>20</v>
      </c>
      <c r="V1286" s="4" t="s">
        <v>4136</v>
      </c>
      <c r="AL1286" s="60" t="s">
        <v>30</v>
      </c>
    </row>
    <row r="1287" spans="1:47" ht="72" x14ac:dyDescent="0.2">
      <c r="A1287" s="1" t="s">
        <v>4034</v>
      </c>
      <c r="B1287" s="1" t="s">
        <v>4234</v>
      </c>
      <c r="C1287" s="1" t="s">
        <v>5720</v>
      </c>
      <c r="D1287" s="48">
        <v>42</v>
      </c>
      <c r="E1287" s="1">
        <v>3</v>
      </c>
      <c r="F1287" s="1" t="s">
        <v>4036</v>
      </c>
      <c r="G1287" s="1" t="s">
        <v>4235</v>
      </c>
      <c r="I1287" s="1" t="s">
        <v>94</v>
      </c>
      <c r="K1287" s="1" t="s">
        <v>95</v>
      </c>
      <c r="L1287" s="2" t="s">
        <v>155</v>
      </c>
      <c r="N1287" s="54">
        <v>33</v>
      </c>
      <c r="O1287" s="55">
        <v>1</v>
      </c>
      <c r="Q1287" s="57">
        <v>1</v>
      </c>
      <c r="R1287" s="58">
        <v>1</v>
      </c>
      <c r="S1287" s="59">
        <v>2</v>
      </c>
      <c r="V1287" s="4" t="s">
        <v>4236</v>
      </c>
      <c r="AL1287" s="60" t="s">
        <v>30</v>
      </c>
      <c r="AU1287" s="1" t="s">
        <v>6259</v>
      </c>
    </row>
    <row r="1288" spans="1:47" ht="84" x14ac:dyDescent="0.2">
      <c r="A1288" s="1" t="s">
        <v>4034</v>
      </c>
      <c r="B1288" s="1" t="s">
        <v>4035</v>
      </c>
      <c r="C1288" s="1" t="s">
        <v>5720</v>
      </c>
      <c r="D1288" s="48">
        <v>43</v>
      </c>
      <c r="E1288" s="1">
        <v>1</v>
      </c>
      <c r="F1288" s="1" t="s">
        <v>4036</v>
      </c>
      <c r="G1288" s="1" t="s">
        <v>4036</v>
      </c>
      <c r="H1288" s="1" t="s">
        <v>26</v>
      </c>
      <c r="I1288" s="1" t="s">
        <v>104</v>
      </c>
      <c r="K1288" s="1" t="s">
        <v>1178</v>
      </c>
      <c r="O1288" s="55">
        <v>12</v>
      </c>
      <c r="T1288" s="60">
        <v>4</v>
      </c>
      <c r="U1288" s="1">
        <v>10</v>
      </c>
      <c r="V1288" s="4" t="s">
        <v>4037</v>
      </c>
      <c r="AL1288" s="60" t="s">
        <v>30</v>
      </c>
    </row>
    <row r="1289" spans="1:47" ht="60" x14ac:dyDescent="0.2">
      <c r="A1289" s="1" t="s">
        <v>4034</v>
      </c>
      <c r="B1289" s="1" t="s">
        <v>4068</v>
      </c>
      <c r="C1289" s="1" t="s">
        <v>5720</v>
      </c>
      <c r="D1289" s="48">
        <v>44</v>
      </c>
      <c r="E1289" s="1">
        <v>3</v>
      </c>
      <c r="F1289" s="1" t="s">
        <v>4036</v>
      </c>
      <c r="G1289" s="1" t="s">
        <v>4069</v>
      </c>
      <c r="I1289" s="1" t="s">
        <v>104</v>
      </c>
      <c r="K1289" s="1" t="s">
        <v>1112</v>
      </c>
      <c r="O1289" s="55">
        <v>4</v>
      </c>
      <c r="T1289" s="60">
        <v>4</v>
      </c>
      <c r="V1289" s="4" t="s">
        <v>4070</v>
      </c>
      <c r="AL1289" s="60" t="s">
        <v>30</v>
      </c>
    </row>
    <row r="1290" spans="1:47" ht="84" x14ac:dyDescent="0.2">
      <c r="A1290" s="1" t="s">
        <v>4034</v>
      </c>
      <c r="B1290" s="1" t="s">
        <v>4256</v>
      </c>
      <c r="C1290" s="1" t="s">
        <v>5720</v>
      </c>
      <c r="D1290" s="48">
        <v>45</v>
      </c>
      <c r="E1290" s="1">
        <v>2</v>
      </c>
      <c r="F1290" s="1" t="s">
        <v>4036</v>
      </c>
      <c r="G1290" s="1" t="s">
        <v>4257</v>
      </c>
      <c r="I1290" s="1" t="s">
        <v>104</v>
      </c>
      <c r="K1290" s="1" t="s">
        <v>1178</v>
      </c>
      <c r="O1290" s="55">
        <v>1</v>
      </c>
      <c r="T1290" s="60">
        <v>1</v>
      </c>
      <c r="V1290" s="4" t="s">
        <v>4258</v>
      </c>
      <c r="AL1290" s="60" t="s">
        <v>30</v>
      </c>
    </row>
    <row r="1291" spans="1:47" ht="60" x14ac:dyDescent="0.2">
      <c r="A1291" s="1" t="s">
        <v>4034</v>
      </c>
      <c r="B1291" s="1" t="s">
        <v>4105</v>
      </c>
      <c r="C1291" s="1" t="s">
        <v>5720</v>
      </c>
      <c r="D1291" s="48">
        <v>46</v>
      </c>
      <c r="E1291" s="1">
        <v>3</v>
      </c>
      <c r="F1291" s="1" t="s">
        <v>4036</v>
      </c>
      <c r="G1291" s="1" t="s">
        <v>4106</v>
      </c>
      <c r="I1291" s="1" t="s">
        <v>104</v>
      </c>
      <c r="K1291" s="1" t="s">
        <v>626</v>
      </c>
      <c r="O1291" s="55">
        <v>3</v>
      </c>
      <c r="T1291" s="60">
        <v>3</v>
      </c>
      <c r="V1291" s="4" t="s">
        <v>4107</v>
      </c>
      <c r="AL1291" s="60" t="s">
        <v>30</v>
      </c>
    </row>
    <row r="1292" spans="1:47" ht="84" x14ac:dyDescent="0.2">
      <c r="A1292" s="1" t="s">
        <v>4034</v>
      </c>
      <c r="B1292" s="1" t="s">
        <v>4071</v>
      </c>
      <c r="C1292" s="1" t="s">
        <v>5720</v>
      </c>
      <c r="D1292" s="48">
        <v>47</v>
      </c>
      <c r="E1292" s="1">
        <v>3</v>
      </c>
      <c r="F1292" s="1" t="s">
        <v>4036</v>
      </c>
      <c r="G1292" s="1" t="s">
        <v>4072</v>
      </c>
      <c r="I1292" s="1" t="s">
        <v>104</v>
      </c>
      <c r="K1292" s="1" t="s">
        <v>1178</v>
      </c>
      <c r="O1292" s="55">
        <v>2</v>
      </c>
      <c r="T1292" s="60">
        <v>5</v>
      </c>
      <c r="V1292" s="4" t="s">
        <v>4073</v>
      </c>
      <c r="AL1292" s="60" t="s">
        <v>30</v>
      </c>
    </row>
    <row r="1293" spans="1:47" ht="72" x14ac:dyDescent="0.2">
      <c r="A1293" s="1" t="s">
        <v>4034</v>
      </c>
      <c r="B1293" s="1" t="s">
        <v>4231</v>
      </c>
      <c r="C1293" s="1" t="s">
        <v>5720</v>
      </c>
      <c r="D1293" s="48">
        <v>48</v>
      </c>
      <c r="E1293" s="1">
        <v>3</v>
      </c>
      <c r="F1293" s="1" t="s">
        <v>4036</v>
      </c>
      <c r="G1293" s="1" t="s">
        <v>4232</v>
      </c>
      <c r="I1293" s="1" t="s">
        <v>82</v>
      </c>
      <c r="L1293" s="2" t="s">
        <v>155</v>
      </c>
      <c r="V1293" s="4" t="s">
        <v>4233</v>
      </c>
      <c r="AL1293" s="60" t="s">
        <v>30</v>
      </c>
    </row>
    <row r="1294" spans="1:47" ht="84" x14ac:dyDescent="0.2">
      <c r="A1294" s="1" t="s">
        <v>4034</v>
      </c>
      <c r="B1294" s="1" t="s">
        <v>4250</v>
      </c>
      <c r="C1294" s="1" t="s">
        <v>5720</v>
      </c>
      <c r="D1294" s="48">
        <v>49</v>
      </c>
      <c r="E1294" s="1">
        <v>2</v>
      </c>
      <c r="F1294" s="1" t="s">
        <v>4036</v>
      </c>
      <c r="G1294" s="1" t="s">
        <v>4251</v>
      </c>
      <c r="I1294" s="1" t="s">
        <v>82</v>
      </c>
      <c r="V1294" s="4" t="s">
        <v>4252</v>
      </c>
      <c r="AL1294" s="60" t="s">
        <v>30</v>
      </c>
    </row>
    <row r="1295" spans="1:47" ht="84" x14ac:dyDescent="0.2">
      <c r="A1295" s="1" t="s">
        <v>4034</v>
      </c>
      <c r="B1295" s="1" t="s">
        <v>4152</v>
      </c>
      <c r="C1295" s="1" t="s">
        <v>5720</v>
      </c>
      <c r="D1295" s="48">
        <v>50</v>
      </c>
      <c r="E1295" s="1">
        <v>4</v>
      </c>
      <c r="F1295" s="1" t="s">
        <v>4036</v>
      </c>
      <c r="G1295" s="1" t="s">
        <v>4153</v>
      </c>
      <c r="I1295" s="1" t="s">
        <v>82</v>
      </c>
      <c r="V1295" s="4" t="s">
        <v>4154</v>
      </c>
      <c r="AL1295" s="60" t="s">
        <v>30</v>
      </c>
    </row>
    <row r="1296" spans="1:47" ht="60" x14ac:dyDescent="0.2">
      <c r="A1296" s="1" t="s">
        <v>4034</v>
      </c>
      <c r="B1296" s="1" t="s">
        <v>4253</v>
      </c>
      <c r="C1296" s="1" t="s">
        <v>5720</v>
      </c>
      <c r="D1296" s="48">
        <v>51</v>
      </c>
      <c r="E1296" s="1">
        <v>2</v>
      </c>
      <c r="F1296" s="1" t="s">
        <v>4036</v>
      </c>
      <c r="G1296" s="1" t="s">
        <v>4254</v>
      </c>
      <c r="I1296" s="1" t="s">
        <v>82</v>
      </c>
      <c r="K1296" s="1" t="s">
        <v>1077</v>
      </c>
      <c r="V1296" s="4" t="s">
        <v>4255</v>
      </c>
      <c r="AL1296" s="60" t="s">
        <v>30</v>
      </c>
    </row>
    <row r="1297" spans="1:40" ht="36" x14ac:dyDescent="0.2">
      <c r="A1297" s="111" t="s">
        <v>4034</v>
      </c>
      <c r="B1297" s="111" t="s">
        <v>4148</v>
      </c>
      <c r="C1297" s="111" t="s">
        <v>5720</v>
      </c>
      <c r="D1297" s="112">
        <v>52</v>
      </c>
      <c r="E1297" s="111">
        <v>1</v>
      </c>
      <c r="F1297" s="111" t="s">
        <v>4042</v>
      </c>
      <c r="G1297" s="111" t="s">
        <v>4149</v>
      </c>
      <c r="I1297" s="1" t="s">
        <v>88</v>
      </c>
      <c r="K1297" s="1" t="s">
        <v>51</v>
      </c>
      <c r="P1297" s="56">
        <v>3</v>
      </c>
      <c r="Q1297" s="57">
        <v>3</v>
      </c>
      <c r="R1297" s="58">
        <v>3</v>
      </c>
      <c r="S1297" s="59">
        <v>2</v>
      </c>
      <c r="V1297" s="4" t="s">
        <v>4150</v>
      </c>
      <c r="W1297" s="4" t="s">
        <v>4151</v>
      </c>
      <c r="AL1297" s="60" t="s">
        <v>30</v>
      </c>
    </row>
    <row r="1298" spans="1:40" ht="60" x14ac:dyDescent="0.2">
      <c r="A1298" s="1" t="s">
        <v>4034</v>
      </c>
      <c r="B1298" s="1" t="s">
        <v>4129</v>
      </c>
      <c r="C1298" s="1" t="s">
        <v>5720</v>
      </c>
      <c r="D1298" s="48">
        <v>53</v>
      </c>
      <c r="E1298" s="1">
        <v>1</v>
      </c>
      <c r="F1298" s="1" t="s">
        <v>4042</v>
      </c>
      <c r="G1298" s="1" t="s">
        <v>4130</v>
      </c>
      <c r="H1298" s="1" t="s">
        <v>26</v>
      </c>
      <c r="I1298" s="1" t="s">
        <v>94</v>
      </c>
      <c r="K1298" s="1" t="s">
        <v>604</v>
      </c>
      <c r="L1298" s="2" t="s">
        <v>331</v>
      </c>
      <c r="N1298" s="54">
        <v>50</v>
      </c>
      <c r="O1298" s="55" t="s">
        <v>113</v>
      </c>
      <c r="Q1298" s="57">
        <v>6</v>
      </c>
      <c r="R1298" s="58">
        <v>3</v>
      </c>
      <c r="S1298" s="59">
        <v>8</v>
      </c>
      <c r="V1298" s="4" t="s">
        <v>4131</v>
      </c>
      <c r="AL1298" s="60" t="s">
        <v>30</v>
      </c>
    </row>
    <row r="1299" spans="1:40" ht="24" x14ac:dyDescent="0.2">
      <c r="A1299" s="1" t="s">
        <v>4034</v>
      </c>
      <c r="B1299" s="1" t="s">
        <v>4137</v>
      </c>
      <c r="C1299" s="1" t="s">
        <v>5720</v>
      </c>
      <c r="D1299" s="48">
        <v>54</v>
      </c>
      <c r="E1299" s="1">
        <v>4</v>
      </c>
      <c r="F1299" s="1" t="s">
        <v>4042</v>
      </c>
      <c r="G1299" s="1" t="s">
        <v>4138</v>
      </c>
      <c r="I1299" s="1" t="s">
        <v>94</v>
      </c>
      <c r="K1299" s="1" t="s">
        <v>604</v>
      </c>
      <c r="L1299" s="2" t="s">
        <v>4139</v>
      </c>
      <c r="N1299" s="54">
        <v>35</v>
      </c>
      <c r="O1299" s="55">
        <v>2</v>
      </c>
      <c r="Q1299" s="57">
        <v>4</v>
      </c>
      <c r="R1299" s="58">
        <v>2</v>
      </c>
      <c r="S1299" s="59">
        <v>5</v>
      </c>
      <c r="V1299" s="4" t="s">
        <v>4140</v>
      </c>
      <c r="AL1299" s="60" t="s">
        <v>30</v>
      </c>
    </row>
    <row r="1300" spans="1:40" ht="24" x14ac:dyDescent="0.2">
      <c r="A1300" s="1" t="s">
        <v>4034</v>
      </c>
      <c r="B1300" s="1" t="s">
        <v>4038</v>
      </c>
      <c r="C1300" s="1" t="s">
        <v>5720</v>
      </c>
      <c r="D1300" s="48">
        <v>55</v>
      </c>
      <c r="E1300" s="1">
        <v>3</v>
      </c>
      <c r="F1300" s="1" t="s">
        <v>4042</v>
      </c>
      <c r="G1300" s="1" t="s">
        <v>4039</v>
      </c>
      <c r="I1300" s="1" t="s">
        <v>94</v>
      </c>
      <c r="K1300" s="1" t="s">
        <v>604</v>
      </c>
      <c r="N1300" s="54">
        <v>15</v>
      </c>
      <c r="O1300" s="55">
        <v>1</v>
      </c>
      <c r="Q1300" s="57">
        <v>3</v>
      </c>
      <c r="R1300" s="58">
        <v>0</v>
      </c>
      <c r="S1300" s="59">
        <v>3</v>
      </c>
      <c r="V1300" s="4" t="s">
        <v>4040</v>
      </c>
      <c r="W1300" s="4" t="s">
        <v>4041</v>
      </c>
      <c r="AL1300" s="60" t="s">
        <v>30</v>
      </c>
    </row>
    <row r="1301" spans="1:40" ht="24" x14ac:dyDescent="0.2">
      <c r="A1301" s="1" t="s">
        <v>4034</v>
      </c>
      <c r="B1301" s="1" t="s">
        <v>4158</v>
      </c>
      <c r="C1301" s="1" t="s">
        <v>5720</v>
      </c>
      <c r="D1301" s="48">
        <v>56</v>
      </c>
      <c r="E1301" s="1">
        <v>4</v>
      </c>
      <c r="F1301" s="1" t="s">
        <v>4042</v>
      </c>
      <c r="G1301" s="1" t="s">
        <v>4159</v>
      </c>
      <c r="I1301" s="1" t="s">
        <v>94</v>
      </c>
      <c r="K1301" s="1" t="s">
        <v>604</v>
      </c>
      <c r="N1301" s="54">
        <v>33</v>
      </c>
      <c r="O1301" s="55">
        <v>1</v>
      </c>
      <c r="Q1301" s="57">
        <v>2</v>
      </c>
      <c r="R1301" s="58">
        <v>2</v>
      </c>
      <c r="S1301" s="59">
        <v>2</v>
      </c>
      <c r="V1301" s="4" t="s">
        <v>4160</v>
      </c>
      <c r="AL1301" s="60" t="s">
        <v>30</v>
      </c>
    </row>
    <row r="1302" spans="1:40" ht="24" x14ac:dyDescent="0.2">
      <c r="A1302" s="1" t="s">
        <v>4034</v>
      </c>
      <c r="B1302" s="1" t="s">
        <v>4119</v>
      </c>
      <c r="C1302" s="1" t="s">
        <v>5720</v>
      </c>
      <c r="D1302" s="48">
        <v>57</v>
      </c>
      <c r="E1302" s="1">
        <v>4</v>
      </c>
      <c r="F1302" s="1" t="s">
        <v>4042</v>
      </c>
      <c r="G1302" s="1" t="s">
        <v>4120</v>
      </c>
      <c r="I1302" s="1" t="s">
        <v>94</v>
      </c>
      <c r="K1302" s="1" t="s">
        <v>604</v>
      </c>
      <c r="N1302" s="54">
        <v>20</v>
      </c>
      <c r="O1302" s="55">
        <v>1</v>
      </c>
      <c r="Q1302" s="57">
        <v>1</v>
      </c>
      <c r="R1302" s="58">
        <v>1</v>
      </c>
      <c r="S1302" s="59">
        <v>4</v>
      </c>
      <c r="V1302" s="4" t="s">
        <v>4121</v>
      </c>
      <c r="W1302" s="4" t="s">
        <v>3474</v>
      </c>
      <c r="AL1302" s="60" t="s">
        <v>30</v>
      </c>
    </row>
    <row r="1303" spans="1:40" ht="24" x14ac:dyDescent="0.2">
      <c r="A1303" s="1" t="s">
        <v>4034</v>
      </c>
      <c r="B1303" s="1" t="s">
        <v>4283</v>
      </c>
      <c r="C1303" s="1" t="s">
        <v>5720</v>
      </c>
      <c r="D1303" s="48">
        <v>58</v>
      </c>
      <c r="E1303" s="1">
        <v>2</v>
      </c>
      <c r="F1303" s="1" t="s">
        <v>4042</v>
      </c>
      <c r="G1303" s="1" t="s">
        <v>4284</v>
      </c>
      <c r="I1303" s="1" t="s">
        <v>94</v>
      </c>
      <c r="K1303" s="1" t="s">
        <v>604</v>
      </c>
      <c r="N1303" s="54">
        <v>40</v>
      </c>
      <c r="O1303" s="55">
        <v>2</v>
      </c>
      <c r="Q1303" s="57">
        <v>2</v>
      </c>
      <c r="R1303" s="58">
        <v>1</v>
      </c>
      <c r="S1303" s="59">
        <v>3</v>
      </c>
      <c r="V1303" s="4" t="s">
        <v>4285</v>
      </c>
      <c r="W1303" s="4" t="s">
        <v>4286</v>
      </c>
      <c r="AL1303" s="60" t="s">
        <v>30</v>
      </c>
    </row>
    <row r="1304" spans="1:40" ht="36" x14ac:dyDescent="0.2">
      <c r="A1304" s="1" t="s">
        <v>4034</v>
      </c>
      <c r="B1304" s="1" t="s">
        <v>4273</v>
      </c>
      <c r="C1304" s="1" t="s">
        <v>5720</v>
      </c>
      <c r="D1304" s="48">
        <v>59</v>
      </c>
      <c r="E1304" s="1">
        <v>3</v>
      </c>
      <c r="F1304" s="1" t="s">
        <v>4042</v>
      </c>
      <c r="G1304" s="1" t="s">
        <v>4274</v>
      </c>
      <c r="I1304" s="1" t="s">
        <v>94</v>
      </c>
      <c r="K1304" s="1" t="s">
        <v>95</v>
      </c>
      <c r="N1304" s="54">
        <v>30</v>
      </c>
      <c r="O1304" s="55">
        <v>2</v>
      </c>
      <c r="Q1304" s="57">
        <v>3</v>
      </c>
      <c r="R1304" s="58">
        <v>1</v>
      </c>
      <c r="S1304" s="59">
        <v>3</v>
      </c>
      <c r="V1304" s="4" t="s">
        <v>4275</v>
      </c>
      <c r="W1304" s="4" t="s">
        <v>4276</v>
      </c>
      <c r="AL1304" s="60" t="s">
        <v>30</v>
      </c>
    </row>
    <row r="1305" spans="1:40" ht="72" x14ac:dyDescent="0.2">
      <c r="A1305" s="1" t="s">
        <v>4034</v>
      </c>
      <c r="B1305" s="1" t="s">
        <v>4080</v>
      </c>
      <c r="C1305" s="1" t="s">
        <v>5720</v>
      </c>
      <c r="D1305" s="48">
        <v>60</v>
      </c>
      <c r="E1305" s="1">
        <v>3</v>
      </c>
      <c r="F1305" s="1" t="s">
        <v>4042</v>
      </c>
      <c r="G1305" s="1" t="s">
        <v>4081</v>
      </c>
      <c r="I1305" s="1" t="s">
        <v>104</v>
      </c>
      <c r="K1305" s="1" t="s">
        <v>1178</v>
      </c>
      <c r="O1305" s="55">
        <v>3</v>
      </c>
      <c r="T1305" s="60">
        <v>3</v>
      </c>
      <c r="V1305" s="4" t="s">
        <v>4082</v>
      </c>
      <c r="AL1305" s="60" t="s">
        <v>30</v>
      </c>
    </row>
    <row r="1306" spans="1:40" ht="60" x14ac:dyDescent="0.2">
      <c r="A1306" s="1" t="s">
        <v>4034</v>
      </c>
      <c r="B1306" s="1" t="s">
        <v>4269</v>
      </c>
      <c r="C1306" s="1" t="s">
        <v>5720</v>
      </c>
      <c r="D1306" s="48">
        <v>61</v>
      </c>
      <c r="E1306" s="1">
        <v>1</v>
      </c>
      <c r="F1306" s="1" t="s">
        <v>4042</v>
      </c>
      <c r="G1306" s="1" t="s">
        <v>4270</v>
      </c>
      <c r="H1306" s="1" t="s">
        <v>26</v>
      </c>
      <c r="I1306" s="1" t="s">
        <v>104</v>
      </c>
      <c r="K1306" s="1" t="s">
        <v>4271</v>
      </c>
      <c r="L1306" s="2" t="s">
        <v>331</v>
      </c>
      <c r="O1306" s="55">
        <v>2</v>
      </c>
      <c r="T1306" s="60">
        <v>2</v>
      </c>
      <c r="U1306" s="1">
        <v>3</v>
      </c>
      <c r="V1306" s="4" t="s">
        <v>4272</v>
      </c>
      <c r="AL1306" s="60" t="s">
        <v>30</v>
      </c>
    </row>
    <row r="1307" spans="1:40" ht="60" x14ac:dyDescent="0.2">
      <c r="A1307" s="1" t="s">
        <v>4034</v>
      </c>
      <c r="B1307" s="1" t="s">
        <v>4277</v>
      </c>
      <c r="C1307" s="1" t="s">
        <v>5720</v>
      </c>
      <c r="D1307" s="48">
        <v>62</v>
      </c>
      <c r="E1307" s="1">
        <v>1</v>
      </c>
      <c r="F1307" s="1" t="s">
        <v>4042</v>
      </c>
      <c r="G1307" s="1" t="s">
        <v>4278</v>
      </c>
      <c r="H1307" s="1" t="s">
        <v>26</v>
      </c>
      <c r="I1307" s="1" t="s">
        <v>104</v>
      </c>
      <c r="K1307" s="1" t="s">
        <v>4066</v>
      </c>
      <c r="L1307" s="2" t="s">
        <v>331</v>
      </c>
      <c r="O1307" s="55">
        <v>2</v>
      </c>
      <c r="T1307" s="60">
        <v>2</v>
      </c>
      <c r="U1307" s="1">
        <v>3</v>
      </c>
      <c r="V1307" s="4" t="s">
        <v>4279</v>
      </c>
      <c r="AL1307" s="60" t="s">
        <v>30</v>
      </c>
    </row>
    <row r="1308" spans="1:40" ht="60" x14ac:dyDescent="0.2">
      <c r="A1308" s="1" t="s">
        <v>4034</v>
      </c>
      <c r="B1308" s="1" t="s">
        <v>4064</v>
      </c>
      <c r="C1308" s="1" t="s">
        <v>5720</v>
      </c>
      <c r="D1308" s="48">
        <v>63</v>
      </c>
      <c r="E1308" s="1">
        <v>1</v>
      </c>
      <c r="F1308" s="1" t="s">
        <v>4042</v>
      </c>
      <c r="G1308" s="1" t="s">
        <v>4065</v>
      </c>
      <c r="H1308" s="1" t="s">
        <v>26</v>
      </c>
      <c r="I1308" s="1" t="s">
        <v>104</v>
      </c>
      <c r="K1308" s="1" t="s">
        <v>4066</v>
      </c>
      <c r="L1308" s="2" t="s">
        <v>331</v>
      </c>
      <c r="O1308" s="55">
        <v>2</v>
      </c>
      <c r="T1308" s="60">
        <v>2</v>
      </c>
      <c r="U1308" s="1">
        <v>3</v>
      </c>
      <c r="V1308" s="4" t="s">
        <v>4067</v>
      </c>
      <c r="AL1308" s="60" t="s">
        <v>30</v>
      </c>
    </row>
    <row r="1309" spans="1:40" ht="36" x14ac:dyDescent="0.2">
      <c r="A1309" s="1" t="s">
        <v>4034</v>
      </c>
      <c r="B1309" s="1" t="s">
        <v>4185</v>
      </c>
      <c r="C1309" s="1" t="s">
        <v>5720</v>
      </c>
      <c r="D1309" s="48">
        <v>64</v>
      </c>
      <c r="E1309" s="1">
        <v>2</v>
      </c>
      <c r="F1309" s="1" t="s">
        <v>4042</v>
      </c>
      <c r="G1309" s="1" t="s">
        <v>4186</v>
      </c>
      <c r="I1309" s="1" t="s">
        <v>82</v>
      </c>
      <c r="V1309" s="4" t="s">
        <v>4187</v>
      </c>
      <c r="W1309" s="4" t="s">
        <v>4188</v>
      </c>
      <c r="AL1309" s="60" t="s">
        <v>30</v>
      </c>
    </row>
    <row r="1310" spans="1:40" ht="48" x14ac:dyDescent="0.2">
      <c r="A1310" s="1" t="s">
        <v>4034</v>
      </c>
      <c r="B1310" s="1" t="s">
        <v>4210</v>
      </c>
      <c r="C1310" s="1" t="s">
        <v>5720</v>
      </c>
      <c r="D1310" s="48">
        <v>65</v>
      </c>
      <c r="E1310" s="1">
        <v>2</v>
      </c>
      <c r="F1310" s="1" t="s">
        <v>4042</v>
      </c>
      <c r="G1310" s="1" t="s">
        <v>4211</v>
      </c>
      <c r="I1310" s="1" t="s">
        <v>82</v>
      </c>
      <c r="V1310" s="4" t="s">
        <v>4212</v>
      </c>
      <c r="W1310" s="4" t="s">
        <v>4213</v>
      </c>
      <c r="AL1310" s="60" t="s">
        <v>30</v>
      </c>
    </row>
    <row r="1311" spans="1:40" ht="36" x14ac:dyDescent="0.2">
      <c r="A1311" s="1" t="s">
        <v>4034</v>
      </c>
      <c r="B1311" s="1" t="s">
        <v>4061</v>
      </c>
      <c r="C1311" s="1" t="s">
        <v>5720</v>
      </c>
      <c r="D1311" s="48">
        <v>66</v>
      </c>
      <c r="E1311" s="1">
        <v>2</v>
      </c>
      <c r="F1311" s="1" t="s">
        <v>4042</v>
      </c>
      <c r="G1311" s="1" t="s">
        <v>4062</v>
      </c>
      <c r="I1311" s="1" t="s">
        <v>82</v>
      </c>
      <c r="L1311" s="2" t="s">
        <v>155</v>
      </c>
      <c r="V1311" s="4" t="s">
        <v>4063</v>
      </c>
      <c r="AL1311" s="60" t="s">
        <v>30</v>
      </c>
    </row>
    <row r="1312" spans="1:40" ht="48" x14ac:dyDescent="0.2">
      <c r="A1312" s="1" t="s">
        <v>4034</v>
      </c>
      <c r="B1312" s="1" t="s">
        <v>4057</v>
      </c>
      <c r="C1312" s="1" t="s">
        <v>5720</v>
      </c>
      <c r="D1312" s="48">
        <v>67</v>
      </c>
      <c r="E1312" s="1">
        <v>1</v>
      </c>
      <c r="F1312" s="1" t="s">
        <v>4059</v>
      </c>
      <c r="G1312" s="1" t="s">
        <v>9568</v>
      </c>
      <c r="I1312" s="1" t="s">
        <v>125</v>
      </c>
      <c r="M1312" s="18">
        <v>1</v>
      </c>
      <c r="N1312" s="54" t="s">
        <v>9529</v>
      </c>
      <c r="V1312" s="4" t="s">
        <v>4058</v>
      </c>
      <c r="X1312" s="1" t="s">
        <v>1681</v>
      </c>
      <c r="Y1312" s="1" t="s">
        <v>9568</v>
      </c>
      <c r="AA1312" s="1" t="s">
        <v>125</v>
      </c>
      <c r="AE1312" s="1">
        <v>1</v>
      </c>
      <c r="AF1312" s="54" t="s">
        <v>9530</v>
      </c>
      <c r="AL1312" s="60" t="s">
        <v>346</v>
      </c>
      <c r="AN1312" s="4" t="s">
        <v>4060</v>
      </c>
    </row>
    <row r="1313" spans="1:40" ht="36" x14ac:dyDescent="0.2">
      <c r="A1313" s="1" t="s">
        <v>4034</v>
      </c>
      <c r="B1313" s="1" t="s">
        <v>4203</v>
      </c>
      <c r="C1313" s="1" t="s">
        <v>5720</v>
      </c>
      <c r="D1313" s="48">
        <v>68</v>
      </c>
      <c r="E1313" s="1">
        <v>1</v>
      </c>
      <c r="F1313" s="1" t="s">
        <v>4059</v>
      </c>
      <c r="G1313" s="1" t="s">
        <v>9627</v>
      </c>
      <c r="I1313" s="1" t="s">
        <v>125</v>
      </c>
      <c r="M1313" s="18">
        <v>2</v>
      </c>
      <c r="N1313" s="54" t="s">
        <v>9529</v>
      </c>
      <c r="Y1313" s="1" t="s">
        <v>9627</v>
      </c>
      <c r="AA1313" s="1" t="s">
        <v>125</v>
      </c>
      <c r="AE1313" s="1">
        <v>2</v>
      </c>
      <c r="AF1313" s="54" t="s">
        <v>9530</v>
      </c>
      <c r="AL1313" s="60" t="s">
        <v>799</v>
      </c>
      <c r="AN1313" s="4" t="s">
        <v>4204</v>
      </c>
    </row>
    <row r="1314" spans="1:40" ht="108" x14ac:dyDescent="0.2">
      <c r="A1314" s="1" t="s">
        <v>4034</v>
      </c>
      <c r="B1314" s="1" t="s">
        <v>4247</v>
      </c>
      <c r="C1314" s="1" t="s">
        <v>5720</v>
      </c>
      <c r="D1314" s="48">
        <v>69</v>
      </c>
      <c r="E1314" s="1">
        <v>1</v>
      </c>
      <c r="F1314" s="1" t="s">
        <v>4059</v>
      </c>
      <c r="G1314" s="1" t="s">
        <v>9688</v>
      </c>
      <c r="I1314" s="1" t="s">
        <v>125</v>
      </c>
      <c r="M1314" s="18">
        <v>3</v>
      </c>
      <c r="N1314" s="54" t="s">
        <v>9529</v>
      </c>
      <c r="V1314" s="4" t="s">
        <v>4248</v>
      </c>
      <c r="Y1314" s="1" t="s">
        <v>9688</v>
      </c>
      <c r="AA1314" s="1" t="s">
        <v>125</v>
      </c>
      <c r="AE1314" s="1">
        <v>3</v>
      </c>
      <c r="AF1314" s="54" t="s">
        <v>9530</v>
      </c>
      <c r="AL1314" s="60" t="s">
        <v>31</v>
      </c>
      <c r="AN1314" s="4" t="s">
        <v>4249</v>
      </c>
    </row>
    <row r="1315" spans="1:40" ht="120" x14ac:dyDescent="0.2">
      <c r="A1315" s="1" t="s">
        <v>4034</v>
      </c>
      <c r="B1315" s="1" t="s">
        <v>4074</v>
      </c>
      <c r="C1315" s="1" t="s">
        <v>5720</v>
      </c>
      <c r="D1315" s="48">
        <v>70</v>
      </c>
      <c r="E1315" s="1">
        <v>1</v>
      </c>
      <c r="F1315" s="1" t="s">
        <v>4059</v>
      </c>
      <c r="G1315" s="1" t="s">
        <v>9712</v>
      </c>
      <c r="I1315" s="1" t="s">
        <v>125</v>
      </c>
      <c r="M1315" s="18">
        <v>4</v>
      </c>
      <c r="N1315" s="54" t="s">
        <v>9529</v>
      </c>
      <c r="V1315" s="4" t="s">
        <v>4075</v>
      </c>
      <c r="Y1315" s="1" t="s">
        <v>9712</v>
      </c>
      <c r="AA1315" s="1" t="s">
        <v>125</v>
      </c>
      <c r="AE1315" s="1">
        <v>4</v>
      </c>
      <c r="AF1315" s="54" t="s">
        <v>9530</v>
      </c>
      <c r="AL1315" s="60" t="s">
        <v>33</v>
      </c>
      <c r="AN1315" s="4" t="s">
        <v>4076</v>
      </c>
    </row>
    <row r="1316" spans="1:40" ht="72" x14ac:dyDescent="0.2">
      <c r="A1316" s="1" t="s">
        <v>4034</v>
      </c>
      <c r="B1316" s="1" t="s">
        <v>4122</v>
      </c>
      <c r="C1316" s="1" t="s">
        <v>5720</v>
      </c>
      <c r="D1316" s="48">
        <v>71</v>
      </c>
      <c r="E1316" s="1">
        <v>1</v>
      </c>
      <c r="F1316" s="1" t="s">
        <v>4036</v>
      </c>
      <c r="G1316" s="1" t="s">
        <v>9569</v>
      </c>
      <c r="I1316" s="1" t="s">
        <v>125</v>
      </c>
      <c r="M1316" s="18">
        <v>1</v>
      </c>
      <c r="N1316" s="54" t="s">
        <v>9529</v>
      </c>
      <c r="V1316" s="4" t="s">
        <v>4123</v>
      </c>
      <c r="X1316" s="1" t="s">
        <v>3774</v>
      </c>
      <c r="Y1316" s="1" t="s">
        <v>9569</v>
      </c>
      <c r="AA1316" s="1" t="s">
        <v>125</v>
      </c>
      <c r="AE1316" s="1">
        <v>1</v>
      </c>
      <c r="AF1316" s="54" t="s">
        <v>9530</v>
      </c>
      <c r="AL1316" s="60" t="s">
        <v>799</v>
      </c>
      <c r="AN1316" s="4" t="s">
        <v>4124</v>
      </c>
    </row>
    <row r="1317" spans="1:40" ht="84" x14ac:dyDescent="0.2">
      <c r="A1317" s="1" t="s">
        <v>4034</v>
      </c>
      <c r="B1317" s="1" t="s">
        <v>4103</v>
      </c>
      <c r="C1317" s="1" t="s">
        <v>5720</v>
      </c>
      <c r="D1317" s="48">
        <v>72</v>
      </c>
      <c r="E1317" s="1">
        <v>1</v>
      </c>
      <c r="F1317" s="1" t="s">
        <v>4036</v>
      </c>
      <c r="G1317" s="1" t="s">
        <v>9628</v>
      </c>
      <c r="I1317" s="1" t="s">
        <v>125</v>
      </c>
      <c r="M1317" s="18">
        <v>2</v>
      </c>
      <c r="N1317" s="54" t="s">
        <v>9529</v>
      </c>
      <c r="Y1317" s="1" t="s">
        <v>9628</v>
      </c>
      <c r="AA1317" s="1" t="s">
        <v>125</v>
      </c>
      <c r="AE1317" s="1">
        <v>2</v>
      </c>
      <c r="AF1317" s="54" t="s">
        <v>9530</v>
      </c>
      <c r="AL1317" s="60" t="s">
        <v>799</v>
      </c>
      <c r="AN1317" s="4" t="s">
        <v>4104</v>
      </c>
    </row>
    <row r="1318" spans="1:40" ht="96" x14ac:dyDescent="0.2">
      <c r="A1318" s="1" t="s">
        <v>4034</v>
      </c>
      <c r="B1318" s="1" t="s">
        <v>4205</v>
      </c>
      <c r="C1318" s="1" t="s">
        <v>5720</v>
      </c>
      <c r="D1318" s="48">
        <v>73</v>
      </c>
      <c r="E1318" s="1">
        <v>1</v>
      </c>
      <c r="F1318" s="1" t="s">
        <v>4036</v>
      </c>
      <c r="G1318" s="1" t="s">
        <v>9689</v>
      </c>
      <c r="I1318" s="1" t="s">
        <v>125</v>
      </c>
      <c r="M1318" s="18">
        <v>3</v>
      </c>
      <c r="N1318" s="54" t="s">
        <v>9529</v>
      </c>
      <c r="V1318" s="4" t="s">
        <v>4206</v>
      </c>
      <c r="Y1318" s="1" t="s">
        <v>9689</v>
      </c>
      <c r="AA1318" s="1" t="s">
        <v>125</v>
      </c>
      <c r="AE1318" s="1">
        <v>3</v>
      </c>
      <c r="AF1318" s="54" t="s">
        <v>9530</v>
      </c>
      <c r="AL1318" s="60" t="s">
        <v>122</v>
      </c>
      <c r="AN1318" s="4" t="s">
        <v>4207</v>
      </c>
    </row>
    <row r="1319" spans="1:40" ht="36" x14ac:dyDescent="0.2">
      <c r="A1319" s="1" t="s">
        <v>4034</v>
      </c>
      <c r="B1319" s="1" t="s">
        <v>4077</v>
      </c>
      <c r="C1319" s="1" t="s">
        <v>5720</v>
      </c>
      <c r="D1319" s="48">
        <v>74</v>
      </c>
      <c r="E1319" s="1">
        <v>1</v>
      </c>
      <c r="F1319" s="1" t="s">
        <v>4036</v>
      </c>
      <c r="G1319" s="1" t="s">
        <v>9713</v>
      </c>
      <c r="I1319" s="1" t="s">
        <v>125</v>
      </c>
      <c r="M1319" s="18">
        <v>4</v>
      </c>
      <c r="N1319" s="54" t="s">
        <v>9529</v>
      </c>
      <c r="V1319" s="4" t="s">
        <v>4078</v>
      </c>
      <c r="Y1319" s="1" t="s">
        <v>9713</v>
      </c>
      <c r="AA1319" s="1" t="s">
        <v>125</v>
      </c>
      <c r="AE1319" s="1">
        <v>4</v>
      </c>
      <c r="AF1319" s="54" t="s">
        <v>9530</v>
      </c>
      <c r="AL1319" s="60" t="s">
        <v>243</v>
      </c>
      <c r="AN1319" s="4" t="s">
        <v>4079</v>
      </c>
    </row>
    <row r="1320" spans="1:40" ht="36" x14ac:dyDescent="0.2">
      <c r="A1320" s="1" t="s">
        <v>4034</v>
      </c>
      <c r="B1320" s="1" t="s">
        <v>4259</v>
      </c>
      <c r="C1320" s="1" t="s">
        <v>5720</v>
      </c>
      <c r="D1320" s="48">
        <v>75</v>
      </c>
      <c r="E1320" s="1">
        <v>1</v>
      </c>
      <c r="F1320" s="1" t="s">
        <v>4042</v>
      </c>
      <c r="G1320" s="1" t="s">
        <v>9570</v>
      </c>
      <c r="I1320" s="1" t="s">
        <v>125</v>
      </c>
      <c r="M1320" s="18">
        <v>1</v>
      </c>
      <c r="N1320" s="54" t="s">
        <v>9529</v>
      </c>
      <c r="V1320" s="4" t="s">
        <v>4260</v>
      </c>
      <c r="X1320" s="1" t="s">
        <v>1629</v>
      </c>
      <c r="Y1320" s="1" t="s">
        <v>9570</v>
      </c>
      <c r="AA1320" s="1" t="s">
        <v>125</v>
      </c>
      <c r="AE1320" s="1">
        <v>1</v>
      </c>
      <c r="AF1320" s="54" t="s">
        <v>9530</v>
      </c>
      <c r="AL1320" s="60" t="s">
        <v>799</v>
      </c>
      <c r="AN1320" s="4" t="s">
        <v>4261</v>
      </c>
    </row>
    <row r="1321" spans="1:40" ht="48" x14ac:dyDescent="0.2">
      <c r="A1321" s="1" t="s">
        <v>4034</v>
      </c>
      <c r="B1321" s="1" t="s">
        <v>4208</v>
      </c>
      <c r="C1321" s="1" t="s">
        <v>5720</v>
      </c>
      <c r="D1321" s="48">
        <v>76</v>
      </c>
      <c r="E1321" s="1">
        <v>1</v>
      </c>
      <c r="F1321" s="1" t="s">
        <v>4042</v>
      </c>
      <c r="G1321" s="1" t="s">
        <v>9629</v>
      </c>
      <c r="I1321" s="1" t="s">
        <v>125</v>
      </c>
      <c r="M1321" s="18">
        <v>2</v>
      </c>
      <c r="N1321" s="54" t="s">
        <v>9529</v>
      </c>
      <c r="Y1321" s="1" t="s">
        <v>9629</v>
      </c>
      <c r="AA1321" s="1" t="s">
        <v>125</v>
      </c>
      <c r="AE1321" s="1">
        <v>2</v>
      </c>
      <c r="AF1321" s="54" t="s">
        <v>9530</v>
      </c>
      <c r="AL1321" s="60" t="s">
        <v>341</v>
      </c>
      <c r="AN1321" s="4" t="s">
        <v>4209</v>
      </c>
    </row>
    <row r="1322" spans="1:40" ht="48" x14ac:dyDescent="0.2">
      <c r="A1322" s="1" t="s">
        <v>4034</v>
      </c>
      <c r="B1322" s="1" t="s">
        <v>4174</v>
      </c>
      <c r="C1322" s="1" t="s">
        <v>5720</v>
      </c>
      <c r="D1322" s="48">
        <v>77</v>
      </c>
      <c r="E1322" s="1">
        <v>1</v>
      </c>
      <c r="F1322" s="1" t="s">
        <v>4042</v>
      </c>
      <c r="G1322" s="1" t="s">
        <v>9690</v>
      </c>
      <c r="I1322" s="1" t="s">
        <v>125</v>
      </c>
      <c r="M1322" s="18">
        <v>3</v>
      </c>
      <c r="N1322" s="54" t="s">
        <v>9529</v>
      </c>
      <c r="Y1322" s="1" t="s">
        <v>9690</v>
      </c>
      <c r="AA1322" s="1" t="s">
        <v>125</v>
      </c>
      <c r="AE1322" s="1">
        <v>3</v>
      </c>
      <c r="AF1322" s="54" t="s">
        <v>9530</v>
      </c>
      <c r="AL1322" s="60" t="s">
        <v>341</v>
      </c>
      <c r="AN1322" s="4" t="s">
        <v>4175</v>
      </c>
    </row>
    <row r="1323" spans="1:40" ht="48" x14ac:dyDescent="0.2">
      <c r="A1323" s="1" t="s">
        <v>4034</v>
      </c>
      <c r="B1323" s="1" t="s">
        <v>4117</v>
      </c>
      <c r="C1323" s="1" t="s">
        <v>5720</v>
      </c>
      <c r="D1323" s="48">
        <v>78</v>
      </c>
      <c r="E1323" s="1">
        <v>1</v>
      </c>
      <c r="F1323" s="1" t="s">
        <v>4042</v>
      </c>
      <c r="G1323" s="1" t="s">
        <v>9714</v>
      </c>
      <c r="I1323" s="1" t="s">
        <v>125</v>
      </c>
      <c r="M1323" s="18">
        <v>4</v>
      </c>
      <c r="N1323" s="54" t="s">
        <v>9529</v>
      </c>
      <c r="Y1323" s="1" t="s">
        <v>9714</v>
      </c>
      <c r="AA1323" s="1" t="s">
        <v>125</v>
      </c>
      <c r="AE1323" s="1">
        <v>4</v>
      </c>
      <c r="AF1323" s="54" t="s">
        <v>9530</v>
      </c>
      <c r="AL1323" s="60" t="s">
        <v>341</v>
      </c>
      <c r="AN1323" s="4" t="s">
        <v>4118</v>
      </c>
    </row>
    <row r="1324" spans="1:40" ht="96" x14ac:dyDescent="0.2">
      <c r="A1324" s="1" t="s">
        <v>4034</v>
      </c>
      <c r="B1324" s="1" t="s">
        <v>4176</v>
      </c>
      <c r="C1324" s="1" t="s">
        <v>5720</v>
      </c>
      <c r="D1324" s="48">
        <v>79</v>
      </c>
      <c r="E1324" s="1">
        <v>1</v>
      </c>
      <c r="F1324" s="1" t="s">
        <v>4042</v>
      </c>
      <c r="G1324" s="1" t="s">
        <v>9722</v>
      </c>
      <c r="I1324" s="1" t="s">
        <v>125</v>
      </c>
      <c r="M1324" s="18">
        <v>5</v>
      </c>
      <c r="N1324" s="54" t="s">
        <v>9529</v>
      </c>
      <c r="Y1324" s="1" t="s">
        <v>9722</v>
      </c>
      <c r="AA1324" s="1" t="s">
        <v>125</v>
      </c>
      <c r="AE1324" s="1">
        <v>5</v>
      </c>
      <c r="AF1324" s="54" t="s">
        <v>9530</v>
      </c>
      <c r="AL1324" s="60" t="s">
        <v>799</v>
      </c>
      <c r="AN1324" s="4" t="s">
        <v>4177</v>
      </c>
    </row>
    <row r="1325" spans="1:40" ht="48" x14ac:dyDescent="0.2">
      <c r="A1325" s="121" t="s">
        <v>3452</v>
      </c>
      <c r="B1325" s="121" t="s">
        <v>3532</v>
      </c>
      <c r="C1325" s="121" t="s">
        <v>5721</v>
      </c>
      <c r="D1325" s="122">
        <v>1</v>
      </c>
      <c r="E1325" s="121">
        <v>1</v>
      </c>
      <c r="F1325" s="121"/>
      <c r="G1325" s="121" t="s">
        <v>241</v>
      </c>
      <c r="H1325" s="1" t="s">
        <v>26</v>
      </c>
      <c r="I1325" s="1" t="s">
        <v>27</v>
      </c>
      <c r="J1325" s="1" t="s">
        <v>3533</v>
      </c>
      <c r="K1325" s="1" t="s">
        <v>3534</v>
      </c>
      <c r="M1325" s="18">
        <v>0</v>
      </c>
      <c r="P1325" s="56">
        <v>2</v>
      </c>
      <c r="Q1325" s="57">
        <v>1</v>
      </c>
      <c r="R1325" s="58">
        <v>2</v>
      </c>
      <c r="S1325" s="59">
        <v>2</v>
      </c>
      <c r="V1325" s="4" t="s">
        <v>3535</v>
      </c>
      <c r="AL1325" s="60" t="s">
        <v>30</v>
      </c>
    </row>
    <row r="1326" spans="1:40" ht="36" x14ac:dyDescent="0.2">
      <c r="A1326" s="1" t="s">
        <v>3452</v>
      </c>
      <c r="B1326" s="1" t="s">
        <v>3560</v>
      </c>
      <c r="C1326" s="1" t="s">
        <v>5721</v>
      </c>
      <c r="D1326" s="48">
        <v>2</v>
      </c>
      <c r="E1326" s="1">
        <v>1</v>
      </c>
      <c r="G1326" s="1" t="s">
        <v>3561</v>
      </c>
      <c r="H1326" s="1" t="s">
        <v>26</v>
      </c>
      <c r="I1326" s="1" t="s">
        <v>27</v>
      </c>
      <c r="J1326" s="1" t="s">
        <v>28</v>
      </c>
      <c r="K1326" s="1" t="s">
        <v>242</v>
      </c>
      <c r="M1326" s="18">
        <v>8</v>
      </c>
      <c r="P1326" s="56">
        <v>3</v>
      </c>
      <c r="Q1326" s="57">
        <v>1</v>
      </c>
      <c r="R1326" s="58">
        <v>1</v>
      </c>
      <c r="S1326" s="59">
        <v>3</v>
      </c>
      <c r="V1326" s="4" t="s">
        <v>3562</v>
      </c>
      <c r="AL1326" s="60" t="s">
        <v>30</v>
      </c>
    </row>
    <row r="1327" spans="1:40" ht="48" x14ac:dyDescent="0.2">
      <c r="A1327" s="1" t="s">
        <v>3452</v>
      </c>
      <c r="B1327" s="1" t="s">
        <v>3453</v>
      </c>
      <c r="C1327" s="1" t="s">
        <v>5721</v>
      </c>
      <c r="D1327" s="48">
        <v>3</v>
      </c>
      <c r="E1327" s="1">
        <v>1</v>
      </c>
      <c r="G1327" s="1" t="s">
        <v>3454</v>
      </c>
      <c r="H1327" s="1" t="s">
        <v>26</v>
      </c>
      <c r="I1327" s="1" t="s">
        <v>27</v>
      </c>
      <c r="J1327" s="1" t="s">
        <v>50</v>
      </c>
      <c r="K1327" s="1" t="s">
        <v>242</v>
      </c>
      <c r="M1327" s="18">
        <v>6</v>
      </c>
      <c r="P1327" s="56">
        <v>2</v>
      </c>
      <c r="Q1327" s="57">
        <v>0</v>
      </c>
      <c r="R1327" s="58">
        <v>1</v>
      </c>
      <c r="S1327" s="59">
        <v>2</v>
      </c>
      <c r="V1327" s="4" t="s">
        <v>3455</v>
      </c>
      <c r="AL1327" s="60" t="s">
        <v>30</v>
      </c>
    </row>
    <row r="1328" spans="1:40" ht="60" x14ac:dyDescent="0.2">
      <c r="A1328" s="1" t="s">
        <v>3452</v>
      </c>
      <c r="B1328" s="1" t="s">
        <v>3719</v>
      </c>
      <c r="C1328" s="1" t="s">
        <v>5721</v>
      </c>
      <c r="D1328" s="48">
        <v>4</v>
      </c>
      <c r="E1328" s="1">
        <v>1</v>
      </c>
      <c r="G1328" s="1" t="s">
        <v>2215</v>
      </c>
      <c r="H1328" s="1" t="s">
        <v>26</v>
      </c>
      <c r="I1328" s="1" t="s">
        <v>27</v>
      </c>
      <c r="J1328" s="1" t="s">
        <v>39</v>
      </c>
      <c r="K1328" s="1" t="s">
        <v>242</v>
      </c>
      <c r="M1328" s="18">
        <v>6</v>
      </c>
      <c r="P1328" s="56">
        <v>2</v>
      </c>
      <c r="Q1328" s="57">
        <v>1</v>
      </c>
      <c r="R1328" s="58">
        <v>1</v>
      </c>
      <c r="S1328" s="59">
        <v>2</v>
      </c>
      <c r="V1328" s="4" t="s">
        <v>3720</v>
      </c>
      <c r="AL1328" s="60" t="s">
        <v>30</v>
      </c>
    </row>
    <row r="1329" spans="1:47" ht="36" x14ac:dyDescent="0.2">
      <c r="A1329" s="1" t="s">
        <v>3452</v>
      </c>
      <c r="B1329" s="1" t="s">
        <v>3594</v>
      </c>
      <c r="C1329" s="1" t="s">
        <v>5721</v>
      </c>
      <c r="D1329" s="48">
        <v>5</v>
      </c>
      <c r="E1329" s="1">
        <v>1</v>
      </c>
      <c r="G1329" s="1" t="s">
        <v>3595</v>
      </c>
      <c r="H1329" s="1" t="s">
        <v>26</v>
      </c>
      <c r="I1329" s="1" t="s">
        <v>27</v>
      </c>
      <c r="J1329" s="1" t="s">
        <v>57</v>
      </c>
      <c r="K1329" s="1" t="s">
        <v>242</v>
      </c>
      <c r="M1329" s="18">
        <v>7</v>
      </c>
      <c r="P1329" s="56">
        <v>1</v>
      </c>
      <c r="Q1329" s="57">
        <v>1</v>
      </c>
      <c r="R1329" s="58">
        <v>2</v>
      </c>
      <c r="S1329" s="59">
        <v>3</v>
      </c>
      <c r="V1329" s="4" t="s">
        <v>3596</v>
      </c>
      <c r="AL1329" s="60" t="s">
        <v>30</v>
      </c>
      <c r="AU1329" s="1" t="s">
        <v>6260</v>
      </c>
    </row>
    <row r="1330" spans="1:47" ht="36" x14ac:dyDescent="0.2">
      <c r="A1330" s="1" t="s">
        <v>3452</v>
      </c>
      <c r="B1330" s="1" t="s">
        <v>3501</v>
      </c>
      <c r="C1330" s="1" t="s">
        <v>5721</v>
      </c>
      <c r="D1330" s="48">
        <v>6</v>
      </c>
      <c r="E1330" s="1">
        <v>3</v>
      </c>
      <c r="G1330" s="1" t="s">
        <v>3502</v>
      </c>
      <c r="H1330" s="1" t="s">
        <v>26</v>
      </c>
      <c r="I1330" s="1" t="s">
        <v>38</v>
      </c>
      <c r="J1330" s="1" t="s">
        <v>28</v>
      </c>
      <c r="K1330" s="1" t="s">
        <v>3503</v>
      </c>
      <c r="L1330" s="2" t="s">
        <v>3504</v>
      </c>
      <c r="M1330" s="18">
        <v>2</v>
      </c>
      <c r="P1330" s="56">
        <v>1</v>
      </c>
      <c r="Q1330" s="57">
        <v>1</v>
      </c>
      <c r="R1330" s="58">
        <v>0</v>
      </c>
      <c r="S1330" s="59">
        <v>2</v>
      </c>
      <c r="V1330" s="4" t="s">
        <v>3505</v>
      </c>
      <c r="AL1330" s="60" t="s">
        <v>30</v>
      </c>
    </row>
    <row r="1331" spans="1:47" ht="36" x14ac:dyDescent="0.2">
      <c r="A1331" s="1" t="s">
        <v>3452</v>
      </c>
      <c r="B1331" s="1" t="s">
        <v>3622</v>
      </c>
      <c r="C1331" s="1" t="s">
        <v>5721</v>
      </c>
      <c r="D1331" s="48">
        <v>7</v>
      </c>
      <c r="E1331" s="1">
        <v>3</v>
      </c>
      <c r="G1331" s="1" t="s">
        <v>3623</v>
      </c>
      <c r="H1331" s="1" t="s">
        <v>26</v>
      </c>
      <c r="I1331" s="1" t="s">
        <v>38</v>
      </c>
      <c r="J1331" s="1" t="s">
        <v>39</v>
      </c>
      <c r="K1331" s="1" t="s">
        <v>3624</v>
      </c>
      <c r="M1331" s="18">
        <v>2</v>
      </c>
      <c r="P1331" s="56">
        <v>1</v>
      </c>
      <c r="Q1331" s="57">
        <v>0</v>
      </c>
      <c r="R1331" s="58">
        <v>1</v>
      </c>
      <c r="S1331" s="59">
        <v>3</v>
      </c>
      <c r="V1331" s="4" t="s">
        <v>3625</v>
      </c>
      <c r="AL1331" s="60" t="s">
        <v>30</v>
      </c>
    </row>
    <row r="1332" spans="1:47" ht="36" x14ac:dyDescent="0.2">
      <c r="A1332" s="1" t="s">
        <v>3452</v>
      </c>
      <c r="B1332" s="1" t="s">
        <v>3685</v>
      </c>
      <c r="C1332" s="1" t="s">
        <v>5721</v>
      </c>
      <c r="D1332" s="48">
        <v>8</v>
      </c>
      <c r="E1332" s="1">
        <v>3</v>
      </c>
      <c r="G1332" s="1" t="s">
        <v>3686</v>
      </c>
      <c r="H1332" s="1" t="s">
        <v>26</v>
      </c>
      <c r="I1332" s="1" t="s">
        <v>38</v>
      </c>
      <c r="J1332" s="1" t="s">
        <v>50</v>
      </c>
      <c r="K1332" s="1" t="s">
        <v>242</v>
      </c>
      <c r="M1332" s="18">
        <v>3</v>
      </c>
      <c r="P1332" s="56">
        <v>1</v>
      </c>
      <c r="Q1332" s="57">
        <v>2</v>
      </c>
      <c r="R1332" s="58">
        <v>0</v>
      </c>
      <c r="S1332" s="59">
        <v>2</v>
      </c>
      <c r="V1332" s="4" t="s">
        <v>3687</v>
      </c>
      <c r="AL1332" s="60" t="s">
        <v>30</v>
      </c>
    </row>
    <row r="1333" spans="1:47" ht="24" x14ac:dyDescent="0.2">
      <c r="A1333" s="1" t="s">
        <v>3452</v>
      </c>
      <c r="B1333" s="1" t="s">
        <v>3652</v>
      </c>
      <c r="C1333" s="1" t="s">
        <v>5721</v>
      </c>
      <c r="D1333" s="48">
        <v>9</v>
      </c>
      <c r="E1333" s="1">
        <v>3</v>
      </c>
      <c r="G1333" s="1" t="s">
        <v>3653</v>
      </c>
      <c r="I1333" s="1" t="s">
        <v>63</v>
      </c>
      <c r="J1333" s="1" t="s">
        <v>50</v>
      </c>
      <c r="M1333" s="18">
        <v>1</v>
      </c>
      <c r="V1333" s="4" t="s">
        <v>3654</v>
      </c>
      <c r="AL1333" s="60" t="s">
        <v>30</v>
      </c>
    </row>
    <row r="1334" spans="1:47" ht="24" x14ac:dyDescent="0.2">
      <c r="A1334" s="1" t="s">
        <v>3452</v>
      </c>
      <c r="B1334" s="1" t="s">
        <v>3658</v>
      </c>
      <c r="C1334" s="1" t="s">
        <v>5721</v>
      </c>
      <c r="D1334" s="48">
        <v>10</v>
      </c>
      <c r="E1334" s="1">
        <v>3</v>
      </c>
      <c r="G1334" s="1" t="s">
        <v>3659</v>
      </c>
      <c r="I1334" s="1" t="s">
        <v>63</v>
      </c>
      <c r="J1334" s="1" t="s">
        <v>57</v>
      </c>
      <c r="M1334" s="18">
        <v>2</v>
      </c>
      <c r="V1334" s="4" t="s">
        <v>3660</v>
      </c>
      <c r="AL1334" s="60" t="s">
        <v>30</v>
      </c>
    </row>
    <row r="1335" spans="1:47" ht="60" x14ac:dyDescent="0.2">
      <c r="A1335" s="1" t="s">
        <v>3452</v>
      </c>
      <c r="B1335" s="1" t="s">
        <v>3619</v>
      </c>
      <c r="C1335" s="1" t="s">
        <v>5721</v>
      </c>
      <c r="D1335" s="48">
        <v>11</v>
      </c>
      <c r="E1335" s="1">
        <v>3</v>
      </c>
      <c r="G1335" s="1" t="s">
        <v>3620</v>
      </c>
      <c r="I1335" s="1" t="s">
        <v>63</v>
      </c>
      <c r="J1335" s="1" t="s">
        <v>39</v>
      </c>
      <c r="M1335" s="18">
        <v>3</v>
      </c>
      <c r="V1335" s="4" t="s">
        <v>3621</v>
      </c>
      <c r="AL1335" s="60" t="s">
        <v>30</v>
      </c>
    </row>
    <row r="1336" spans="1:47" ht="24" x14ac:dyDescent="0.2">
      <c r="A1336" s="1" t="s">
        <v>3452</v>
      </c>
      <c r="B1336" s="1" t="s">
        <v>3661</v>
      </c>
      <c r="C1336" s="1" t="s">
        <v>5721</v>
      </c>
      <c r="D1336" s="48">
        <v>12</v>
      </c>
      <c r="E1336" s="1">
        <v>3</v>
      </c>
      <c r="G1336" s="1" t="s">
        <v>3662</v>
      </c>
      <c r="I1336" s="1" t="s">
        <v>63</v>
      </c>
      <c r="J1336" s="1" t="s">
        <v>3533</v>
      </c>
      <c r="M1336" s="18">
        <v>2</v>
      </c>
      <c r="V1336" s="4" t="s">
        <v>3663</v>
      </c>
      <c r="AL1336" s="60" t="s">
        <v>30</v>
      </c>
    </row>
    <row r="1337" spans="1:47" ht="24" x14ac:dyDescent="0.2">
      <c r="A1337" s="1" t="s">
        <v>3452</v>
      </c>
      <c r="B1337" s="1" t="s">
        <v>3648</v>
      </c>
      <c r="C1337" s="1" t="s">
        <v>5721</v>
      </c>
      <c r="D1337" s="48">
        <v>13</v>
      </c>
      <c r="E1337" s="1">
        <v>3</v>
      </c>
      <c r="G1337" s="1" t="s">
        <v>3649</v>
      </c>
      <c r="I1337" s="1" t="s">
        <v>56</v>
      </c>
      <c r="J1337" s="1" t="s">
        <v>28</v>
      </c>
      <c r="K1337" s="1" t="s">
        <v>89</v>
      </c>
      <c r="L1337" s="2" t="s">
        <v>3650</v>
      </c>
      <c r="M1337" s="18">
        <v>1</v>
      </c>
      <c r="V1337" s="4" t="s">
        <v>3651</v>
      </c>
      <c r="AL1337" s="60" t="s">
        <v>30</v>
      </c>
    </row>
    <row r="1338" spans="1:47" ht="24" x14ac:dyDescent="0.2">
      <c r="A1338" s="1" t="s">
        <v>3452</v>
      </c>
      <c r="B1338" s="1" t="s">
        <v>3563</v>
      </c>
      <c r="C1338" s="1" t="s">
        <v>5721</v>
      </c>
      <c r="D1338" s="48">
        <v>14</v>
      </c>
      <c r="E1338" s="1">
        <v>3</v>
      </c>
      <c r="G1338" s="1" t="s">
        <v>3564</v>
      </c>
      <c r="I1338" s="1" t="s">
        <v>56</v>
      </c>
      <c r="J1338" s="1" t="s">
        <v>50</v>
      </c>
      <c r="K1338" s="1" t="s">
        <v>3565</v>
      </c>
      <c r="L1338" s="2" t="s">
        <v>3566</v>
      </c>
      <c r="M1338" s="18">
        <v>1</v>
      </c>
      <c r="V1338" s="4" t="s">
        <v>3567</v>
      </c>
      <c r="AL1338" s="60" t="s">
        <v>30</v>
      </c>
    </row>
    <row r="1339" spans="1:47" ht="24" x14ac:dyDescent="0.2">
      <c r="A1339" s="1" t="s">
        <v>3452</v>
      </c>
      <c r="B1339" s="1" t="s">
        <v>3680</v>
      </c>
      <c r="C1339" s="1" t="s">
        <v>5721</v>
      </c>
      <c r="D1339" s="48">
        <v>15</v>
      </c>
      <c r="E1339" s="1">
        <v>3</v>
      </c>
      <c r="G1339" s="1" t="s">
        <v>3681</v>
      </c>
      <c r="I1339" s="1" t="s">
        <v>56</v>
      </c>
      <c r="J1339" s="1" t="s">
        <v>57</v>
      </c>
      <c r="K1339" s="1" t="s">
        <v>3682</v>
      </c>
      <c r="L1339" s="2" t="s">
        <v>3683</v>
      </c>
      <c r="M1339" s="18">
        <v>0</v>
      </c>
      <c r="V1339" s="4" t="s">
        <v>3684</v>
      </c>
      <c r="AL1339" s="60" t="s">
        <v>30</v>
      </c>
    </row>
    <row r="1340" spans="1:47" ht="48" x14ac:dyDescent="0.2">
      <c r="A1340" s="1" t="s">
        <v>3452</v>
      </c>
      <c r="B1340" s="1" t="s">
        <v>3677</v>
      </c>
      <c r="C1340" s="1" t="s">
        <v>5721</v>
      </c>
      <c r="D1340" s="48">
        <v>16</v>
      </c>
      <c r="E1340" s="1">
        <v>3</v>
      </c>
      <c r="G1340" s="1" t="s">
        <v>3678</v>
      </c>
      <c r="H1340" s="1" t="s">
        <v>26</v>
      </c>
      <c r="I1340" s="1" t="s">
        <v>56</v>
      </c>
      <c r="J1340" s="1" t="s">
        <v>39</v>
      </c>
      <c r="K1340" s="1" t="s">
        <v>150</v>
      </c>
      <c r="M1340" s="18">
        <v>1</v>
      </c>
      <c r="V1340" s="4" t="s">
        <v>3679</v>
      </c>
      <c r="AL1340" s="60" t="s">
        <v>30</v>
      </c>
    </row>
    <row r="1341" spans="1:47" ht="60" x14ac:dyDescent="0.2">
      <c r="A1341" s="1" t="s">
        <v>3452</v>
      </c>
      <c r="B1341" s="1" t="s">
        <v>3725</v>
      </c>
      <c r="C1341" s="1" t="s">
        <v>5721</v>
      </c>
      <c r="D1341" s="48">
        <v>17</v>
      </c>
      <c r="E1341" s="1">
        <v>1</v>
      </c>
      <c r="G1341" s="1" t="s">
        <v>5914</v>
      </c>
      <c r="H1341" s="1" t="s">
        <v>26</v>
      </c>
      <c r="I1341" s="1" t="s">
        <v>56</v>
      </c>
      <c r="J1341" s="1" t="s">
        <v>3498</v>
      </c>
      <c r="K1341" s="1" t="s">
        <v>298</v>
      </c>
      <c r="L1341" s="2" t="s">
        <v>3499</v>
      </c>
      <c r="M1341" s="18">
        <v>0</v>
      </c>
      <c r="U1341" s="1">
        <v>1</v>
      </c>
      <c r="V1341" s="4" t="s">
        <v>3726</v>
      </c>
      <c r="X1341" s="1" t="s">
        <v>1681</v>
      </c>
      <c r="AL1341" s="60" t="s">
        <v>30</v>
      </c>
    </row>
    <row r="1342" spans="1:47" ht="36" x14ac:dyDescent="0.2">
      <c r="A1342" s="1" t="s">
        <v>3452</v>
      </c>
      <c r="B1342" s="1" t="s">
        <v>3750</v>
      </c>
      <c r="C1342" s="1" t="s">
        <v>5721</v>
      </c>
      <c r="D1342" s="48">
        <v>18</v>
      </c>
      <c r="E1342" s="1">
        <v>1</v>
      </c>
      <c r="G1342" s="1" t="s">
        <v>3751</v>
      </c>
      <c r="H1342" s="1" t="s">
        <v>26</v>
      </c>
      <c r="I1342" s="1" t="s">
        <v>56</v>
      </c>
      <c r="J1342" s="1" t="s">
        <v>3498</v>
      </c>
      <c r="K1342" s="1" t="s">
        <v>298</v>
      </c>
      <c r="L1342" s="2" t="s">
        <v>3499</v>
      </c>
      <c r="M1342" s="18">
        <v>0</v>
      </c>
      <c r="V1342" s="4" t="s">
        <v>3752</v>
      </c>
      <c r="X1342" s="1" t="s">
        <v>1681</v>
      </c>
      <c r="AL1342" s="60" t="s">
        <v>30</v>
      </c>
    </row>
    <row r="1343" spans="1:47" ht="36" x14ac:dyDescent="0.2">
      <c r="A1343" s="1" t="s">
        <v>3452</v>
      </c>
      <c r="B1343" s="1" t="s">
        <v>3496</v>
      </c>
      <c r="C1343" s="1" t="s">
        <v>5721</v>
      </c>
      <c r="D1343" s="48">
        <v>19</v>
      </c>
      <c r="E1343" s="1">
        <v>1</v>
      </c>
      <c r="G1343" s="1" t="s">
        <v>3497</v>
      </c>
      <c r="H1343" s="1" t="s">
        <v>26</v>
      </c>
      <c r="I1343" s="1" t="s">
        <v>56</v>
      </c>
      <c r="J1343" s="1" t="s">
        <v>3498</v>
      </c>
      <c r="K1343" s="1" t="s">
        <v>298</v>
      </c>
      <c r="L1343" s="2" t="s">
        <v>3499</v>
      </c>
      <c r="M1343" s="18">
        <v>0</v>
      </c>
      <c r="V1343" s="4" t="s">
        <v>3500</v>
      </c>
      <c r="X1343" s="1" t="s">
        <v>1681</v>
      </c>
      <c r="AL1343" s="60" t="s">
        <v>30</v>
      </c>
    </row>
    <row r="1344" spans="1:47" ht="36" x14ac:dyDescent="0.2">
      <c r="A1344" s="1" t="s">
        <v>3452</v>
      </c>
      <c r="B1344" s="1" t="s">
        <v>3757</v>
      </c>
      <c r="C1344" s="1" t="s">
        <v>5721</v>
      </c>
      <c r="D1344" s="48">
        <v>20</v>
      </c>
      <c r="E1344" s="1">
        <v>1</v>
      </c>
      <c r="G1344" s="1" t="s">
        <v>3758</v>
      </c>
      <c r="H1344" s="1" t="s">
        <v>26</v>
      </c>
      <c r="I1344" s="1" t="s">
        <v>56</v>
      </c>
      <c r="J1344" s="1" t="s">
        <v>3498</v>
      </c>
      <c r="K1344" s="1" t="s">
        <v>298</v>
      </c>
      <c r="L1344" s="2" t="s">
        <v>3499</v>
      </c>
      <c r="M1344" s="18">
        <v>0</v>
      </c>
      <c r="V1344" s="4" t="s">
        <v>3759</v>
      </c>
      <c r="X1344" s="1" t="s">
        <v>1681</v>
      </c>
      <c r="AL1344" s="60" t="s">
        <v>30</v>
      </c>
    </row>
    <row r="1345" spans="1:47" ht="36" x14ac:dyDescent="0.2">
      <c r="A1345" s="1" t="s">
        <v>3452</v>
      </c>
      <c r="B1345" s="1" t="s">
        <v>3698</v>
      </c>
      <c r="C1345" s="1" t="s">
        <v>5721</v>
      </c>
      <c r="D1345" s="48">
        <v>21</v>
      </c>
      <c r="E1345" s="1">
        <v>1</v>
      </c>
      <c r="G1345" s="1" t="s">
        <v>3699</v>
      </c>
      <c r="H1345" s="1" t="s">
        <v>26</v>
      </c>
      <c r="I1345" s="1" t="s">
        <v>56</v>
      </c>
      <c r="J1345" s="1" t="s">
        <v>3498</v>
      </c>
      <c r="K1345" s="1" t="s">
        <v>298</v>
      </c>
      <c r="L1345" s="2" t="s">
        <v>3499</v>
      </c>
      <c r="M1345" s="18">
        <v>0</v>
      </c>
      <c r="V1345" s="4" t="s">
        <v>3700</v>
      </c>
      <c r="X1345" s="1" t="s">
        <v>1681</v>
      </c>
      <c r="AL1345" s="60" t="s">
        <v>30</v>
      </c>
    </row>
    <row r="1346" spans="1:47" ht="48" x14ac:dyDescent="0.2">
      <c r="A1346" s="1" t="s">
        <v>3452</v>
      </c>
      <c r="B1346" s="1" t="s">
        <v>3603</v>
      </c>
      <c r="C1346" s="1" t="s">
        <v>5721</v>
      </c>
      <c r="D1346" s="48">
        <v>22</v>
      </c>
      <c r="E1346" s="1">
        <v>1</v>
      </c>
      <c r="F1346" s="1" t="s">
        <v>3470</v>
      </c>
      <c r="G1346" s="1" t="s">
        <v>9571</v>
      </c>
      <c r="I1346" s="1" t="s">
        <v>125</v>
      </c>
      <c r="M1346" s="18">
        <v>1</v>
      </c>
      <c r="N1346" s="54" t="s">
        <v>9529</v>
      </c>
      <c r="V1346" s="4" t="s">
        <v>3604</v>
      </c>
      <c r="X1346" s="1" t="s">
        <v>3605</v>
      </c>
      <c r="Y1346" s="1" t="s">
        <v>9571</v>
      </c>
      <c r="AA1346" s="1" t="s">
        <v>125</v>
      </c>
      <c r="AE1346" s="1">
        <v>1</v>
      </c>
      <c r="AF1346" s="54" t="s">
        <v>9530</v>
      </c>
      <c r="AL1346" s="60" t="s">
        <v>36</v>
      </c>
      <c r="AN1346" s="4" t="s">
        <v>3606</v>
      </c>
    </row>
    <row r="1347" spans="1:47" ht="108" x14ac:dyDescent="0.2">
      <c r="A1347" s="1" t="s">
        <v>3452</v>
      </c>
      <c r="B1347" s="1" t="s">
        <v>3555</v>
      </c>
      <c r="C1347" s="1" t="s">
        <v>5721</v>
      </c>
      <c r="D1347" s="48">
        <v>23</v>
      </c>
      <c r="E1347" s="1">
        <v>1</v>
      </c>
      <c r="F1347" s="1" t="s">
        <v>3470</v>
      </c>
      <c r="G1347" s="1" t="s">
        <v>9630</v>
      </c>
      <c r="I1347" s="1" t="s">
        <v>125</v>
      </c>
      <c r="M1347" s="18">
        <v>2</v>
      </c>
      <c r="N1347" s="54" t="s">
        <v>9529</v>
      </c>
      <c r="Y1347" s="1" t="s">
        <v>9630</v>
      </c>
      <c r="AA1347" s="1" t="s">
        <v>125</v>
      </c>
      <c r="AE1347" s="1">
        <v>2</v>
      </c>
      <c r="AF1347" s="54" t="s">
        <v>9530</v>
      </c>
      <c r="AL1347" s="60" t="s">
        <v>5621</v>
      </c>
      <c r="AN1347" s="4" t="s">
        <v>3556</v>
      </c>
    </row>
    <row r="1348" spans="1:47" ht="108" x14ac:dyDescent="0.2">
      <c r="A1348" s="1" t="s">
        <v>3452</v>
      </c>
      <c r="B1348" s="1" t="s">
        <v>3616</v>
      </c>
      <c r="C1348" s="1" t="s">
        <v>5721</v>
      </c>
      <c r="D1348" s="48">
        <v>24</v>
      </c>
      <c r="E1348" s="1">
        <v>1</v>
      </c>
      <c r="F1348" s="1" t="s">
        <v>3470</v>
      </c>
      <c r="G1348" s="1" t="s">
        <v>9691</v>
      </c>
      <c r="I1348" s="1" t="s">
        <v>125</v>
      </c>
      <c r="M1348" s="18">
        <v>3</v>
      </c>
      <c r="N1348" s="54" t="s">
        <v>9529</v>
      </c>
      <c r="V1348" s="4" t="s">
        <v>3617</v>
      </c>
      <c r="Y1348" s="1" t="s">
        <v>9691</v>
      </c>
      <c r="AA1348" s="1" t="s">
        <v>125</v>
      </c>
      <c r="AE1348" s="1">
        <v>3</v>
      </c>
      <c r="AF1348" s="54" t="s">
        <v>9530</v>
      </c>
      <c r="AL1348" s="60" t="s">
        <v>799</v>
      </c>
      <c r="AN1348" s="4" t="s">
        <v>3618</v>
      </c>
      <c r="AU1348" s="1" t="s">
        <v>6261</v>
      </c>
    </row>
    <row r="1349" spans="1:47" ht="36" x14ac:dyDescent="0.2">
      <c r="A1349" s="1" t="s">
        <v>3452</v>
      </c>
      <c r="B1349" s="1" t="s">
        <v>3721</v>
      </c>
      <c r="C1349" s="1" t="s">
        <v>5721</v>
      </c>
      <c r="D1349" s="48">
        <v>25</v>
      </c>
      <c r="E1349" s="1">
        <v>1</v>
      </c>
      <c r="F1349" s="1" t="s">
        <v>3480</v>
      </c>
      <c r="G1349" s="1" t="s">
        <v>9572</v>
      </c>
      <c r="I1349" s="1" t="s">
        <v>125</v>
      </c>
      <c r="M1349" s="18">
        <v>1</v>
      </c>
      <c r="N1349" s="54" t="s">
        <v>9529</v>
      </c>
      <c r="V1349" s="4" t="s">
        <v>3722</v>
      </c>
      <c r="X1349" s="1" t="s">
        <v>3723</v>
      </c>
      <c r="Y1349" s="1" t="s">
        <v>9572</v>
      </c>
      <c r="AA1349" s="1" t="s">
        <v>125</v>
      </c>
      <c r="AE1349" s="1">
        <v>1</v>
      </c>
      <c r="AF1349" s="54" t="s">
        <v>9530</v>
      </c>
      <c r="AL1349" s="60" t="s">
        <v>341</v>
      </c>
      <c r="AN1349" s="4" t="s">
        <v>3724</v>
      </c>
    </row>
    <row r="1350" spans="1:47" ht="96" x14ac:dyDescent="0.2">
      <c r="A1350" s="1" t="s">
        <v>3452</v>
      </c>
      <c r="B1350" s="1" t="s">
        <v>3509</v>
      </c>
      <c r="C1350" s="1" t="s">
        <v>5721</v>
      </c>
      <c r="D1350" s="48">
        <v>26</v>
      </c>
      <c r="E1350" s="1">
        <v>1</v>
      </c>
      <c r="F1350" s="1" t="s">
        <v>3480</v>
      </c>
      <c r="G1350" s="1" t="s">
        <v>9631</v>
      </c>
      <c r="I1350" s="1" t="s">
        <v>125</v>
      </c>
      <c r="M1350" s="18">
        <v>2</v>
      </c>
      <c r="N1350" s="54" t="s">
        <v>9529</v>
      </c>
      <c r="Y1350" s="1" t="s">
        <v>9631</v>
      </c>
      <c r="AA1350" s="1" t="s">
        <v>125</v>
      </c>
      <c r="AE1350" s="1">
        <v>2</v>
      </c>
      <c r="AF1350" s="54" t="s">
        <v>9530</v>
      </c>
      <c r="AL1350" s="60" t="s">
        <v>166</v>
      </c>
      <c r="AN1350" s="4" t="s">
        <v>3510</v>
      </c>
    </row>
    <row r="1351" spans="1:47" ht="36" x14ac:dyDescent="0.2">
      <c r="A1351" s="1" t="s">
        <v>3452</v>
      </c>
      <c r="B1351" s="1" t="s">
        <v>3506</v>
      </c>
      <c r="C1351" s="1" t="s">
        <v>5721</v>
      </c>
      <c r="D1351" s="48">
        <v>27</v>
      </c>
      <c r="E1351" s="1">
        <v>1</v>
      </c>
      <c r="F1351" s="1" t="s">
        <v>3480</v>
      </c>
      <c r="G1351" s="1" t="s">
        <v>9692</v>
      </c>
      <c r="I1351" s="1" t="s">
        <v>125</v>
      </c>
      <c r="M1351" s="18">
        <v>3</v>
      </c>
      <c r="N1351" s="54" t="s">
        <v>9529</v>
      </c>
      <c r="V1351" s="4" t="s">
        <v>3507</v>
      </c>
      <c r="Y1351" s="1" t="s">
        <v>9692</v>
      </c>
      <c r="AA1351" s="1" t="s">
        <v>125</v>
      </c>
      <c r="AE1351" s="1">
        <v>3</v>
      </c>
      <c r="AF1351" s="54" t="s">
        <v>9530</v>
      </c>
      <c r="AL1351" s="60" t="s">
        <v>799</v>
      </c>
      <c r="AN1351" s="4" t="s">
        <v>3508</v>
      </c>
    </row>
    <row r="1352" spans="1:47" ht="60" x14ac:dyDescent="0.2">
      <c r="A1352" s="1" t="s">
        <v>3452</v>
      </c>
      <c r="B1352" s="1" t="s">
        <v>3753</v>
      </c>
      <c r="C1352" s="1" t="s">
        <v>5721</v>
      </c>
      <c r="D1352" s="48">
        <v>28</v>
      </c>
      <c r="E1352" s="1">
        <v>1</v>
      </c>
      <c r="F1352" s="1" t="s">
        <v>3461</v>
      </c>
      <c r="G1352" s="1" t="s">
        <v>9573</v>
      </c>
      <c r="I1352" s="1" t="s">
        <v>125</v>
      </c>
      <c r="M1352" s="18">
        <v>1</v>
      </c>
      <c r="N1352" s="54" t="s">
        <v>9529</v>
      </c>
      <c r="V1352" s="4" t="s">
        <v>3754</v>
      </c>
      <c r="X1352" s="1" t="s">
        <v>3755</v>
      </c>
      <c r="Y1352" s="1" t="s">
        <v>9573</v>
      </c>
      <c r="AA1352" s="1" t="s">
        <v>125</v>
      </c>
      <c r="AE1352" s="1">
        <v>1</v>
      </c>
      <c r="AF1352" s="54" t="s">
        <v>9530</v>
      </c>
      <c r="AL1352" s="60" t="s">
        <v>666</v>
      </c>
      <c r="AN1352" s="4" t="s">
        <v>3756</v>
      </c>
    </row>
    <row r="1353" spans="1:47" ht="96" x14ac:dyDescent="0.2">
      <c r="A1353" s="1" t="s">
        <v>3452</v>
      </c>
      <c r="B1353" s="1" t="s">
        <v>3601</v>
      </c>
      <c r="C1353" s="1" t="s">
        <v>5721</v>
      </c>
      <c r="D1353" s="48">
        <v>29</v>
      </c>
      <c r="E1353" s="1">
        <v>1</v>
      </c>
      <c r="F1353" s="1" t="s">
        <v>3461</v>
      </c>
      <c r="G1353" s="1" t="s">
        <v>9632</v>
      </c>
      <c r="I1353" s="1" t="s">
        <v>125</v>
      </c>
      <c r="M1353" s="18">
        <v>2</v>
      </c>
      <c r="N1353" s="54" t="s">
        <v>9529</v>
      </c>
      <c r="Y1353" s="1" t="s">
        <v>9632</v>
      </c>
      <c r="AA1353" s="1" t="s">
        <v>125</v>
      </c>
      <c r="AE1353" s="1">
        <v>2</v>
      </c>
      <c r="AF1353" s="54" t="s">
        <v>9530</v>
      </c>
      <c r="AL1353" s="60" t="s">
        <v>666</v>
      </c>
      <c r="AN1353" s="4" t="s">
        <v>3602</v>
      </c>
    </row>
    <row r="1354" spans="1:47" ht="36" x14ac:dyDescent="0.2">
      <c r="A1354" s="111" t="s">
        <v>3452</v>
      </c>
      <c r="B1354" s="111" t="s">
        <v>3524</v>
      </c>
      <c r="C1354" s="111" t="s">
        <v>5721</v>
      </c>
      <c r="D1354" s="112">
        <v>30</v>
      </c>
      <c r="E1354" s="111">
        <v>1</v>
      </c>
      <c r="F1354" s="111" t="s">
        <v>10401</v>
      </c>
      <c r="G1354" s="111" t="s">
        <v>3470</v>
      </c>
      <c r="I1354" s="1" t="s">
        <v>3482</v>
      </c>
      <c r="L1354" s="2" t="s">
        <v>3483</v>
      </c>
      <c r="N1354" s="54" t="s">
        <v>9529</v>
      </c>
      <c r="V1354" s="4" t="s">
        <v>3525</v>
      </c>
      <c r="X1354" s="1" t="s">
        <v>3526</v>
      </c>
      <c r="Y1354" s="1" t="s">
        <v>3470</v>
      </c>
      <c r="AA1354" s="1" t="s">
        <v>3482</v>
      </c>
      <c r="AF1354" s="54" t="s">
        <v>9530</v>
      </c>
      <c r="AL1354" s="60" t="s">
        <v>30</v>
      </c>
      <c r="AN1354" s="4" t="s">
        <v>3527</v>
      </c>
    </row>
    <row r="1355" spans="1:47" ht="24" x14ac:dyDescent="0.2">
      <c r="A1355" s="1" t="s">
        <v>3452</v>
      </c>
      <c r="B1355" s="1" t="s">
        <v>3466</v>
      </c>
      <c r="C1355" s="1" t="s">
        <v>5721</v>
      </c>
      <c r="D1355" s="48">
        <v>31</v>
      </c>
      <c r="E1355" s="1">
        <v>1</v>
      </c>
      <c r="F1355" s="1" t="s">
        <v>3470</v>
      </c>
      <c r="G1355" s="1" t="s">
        <v>3467</v>
      </c>
      <c r="H1355" s="1" t="s">
        <v>26</v>
      </c>
      <c r="I1355" s="1" t="s">
        <v>104</v>
      </c>
      <c r="K1355" s="1" t="s">
        <v>3468</v>
      </c>
      <c r="O1355" s="55">
        <v>0</v>
      </c>
      <c r="T1355" s="60">
        <v>3</v>
      </c>
      <c r="U1355" s="1">
        <v>1</v>
      </c>
      <c r="V1355" s="4" t="s">
        <v>3469</v>
      </c>
      <c r="AL1355" s="60" t="s">
        <v>30</v>
      </c>
    </row>
    <row r="1356" spans="1:47" ht="24" x14ac:dyDescent="0.2">
      <c r="A1356" s="1" t="s">
        <v>3452</v>
      </c>
      <c r="B1356" s="1" t="s">
        <v>3701</v>
      </c>
      <c r="C1356" s="1" t="s">
        <v>5721</v>
      </c>
      <c r="D1356" s="48">
        <v>32</v>
      </c>
      <c r="E1356" s="1">
        <v>1</v>
      </c>
      <c r="F1356" s="1" t="s">
        <v>3470</v>
      </c>
      <c r="G1356" s="1" t="s">
        <v>3702</v>
      </c>
      <c r="H1356" s="1" t="s">
        <v>26</v>
      </c>
      <c r="I1356" s="1" t="s">
        <v>104</v>
      </c>
      <c r="K1356" s="1" t="s">
        <v>105</v>
      </c>
      <c r="O1356" s="55">
        <v>1</v>
      </c>
      <c r="T1356" s="60">
        <v>1</v>
      </c>
      <c r="U1356" s="1">
        <v>1</v>
      </c>
      <c r="V1356" s="4" t="s">
        <v>3703</v>
      </c>
      <c r="AL1356" s="60" t="s">
        <v>30</v>
      </c>
    </row>
    <row r="1357" spans="1:47" ht="24" x14ac:dyDescent="0.2">
      <c r="A1357" s="1" t="s">
        <v>3452</v>
      </c>
      <c r="B1357" s="1" t="s">
        <v>3511</v>
      </c>
      <c r="C1357" s="1" t="s">
        <v>5721</v>
      </c>
      <c r="D1357" s="48">
        <v>33</v>
      </c>
      <c r="E1357" s="1">
        <v>1</v>
      </c>
      <c r="F1357" s="1" t="s">
        <v>3470</v>
      </c>
      <c r="G1357" s="1" t="s">
        <v>3512</v>
      </c>
      <c r="H1357" s="1" t="s">
        <v>26</v>
      </c>
      <c r="I1357" s="1" t="s">
        <v>104</v>
      </c>
      <c r="K1357" s="1" t="s">
        <v>3513</v>
      </c>
      <c r="O1357" s="55">
        <v>1</v>
      </c>
      <c r="T1357" s="60">
        <v>5</v>
      </c>
      <c r="U1357" s="1">
        <v>1</v>
      </c>
      <c r="V1357" s="4" t="s">
        <v>3514</v>
      </c>
      <c r="AL1357" s="60" t="s">
        <v>30</v>
      </c>
    </row>
    <row r="1358" spans="1:47" ht="24" x14ac:dyDescent="0.2">
      <c r="A1358" s="1" t="s">
        <v>3452</v>
      </c>
      <c r="B1358" s="1" t="s">
        <v>3642</v>
      </c>
      <c r="C1358" s="1" t="s">
        <v>5721</v>
      </c>
      <c r="D1358" s="48">
        <v>34</v>
      </c>
      <c r="E1358" s="1">
        <v>1</v>
      </c>
      <c r="F1358" s="1" t="s">
        <v>3470</v>
      </c>
      <c r="G1358" s="1" t="s">
        <v>3643</v>
      </c>
      <c r="H1358" s="1" t="s">
        <v>26</v>
      </c>
      <c r="I1358" s="1" t="s">
        <v>104</v>
      </c>
      <c r="K1358" s="1" t="s">
        <v>3468</v>
      </c>
      <c r="O1358" s="55">
        <v>2</v>
      </c>
      <c r="T1358" s="60">
        <v>2</v>
      </c>
      <c r="U1358" s="1">
        <v>1</v>
      </c>
      <c r="V1358" s="4" t="s">
        <v>3644</v>
      </c>
      <c r="AL1358" s="60" t="s">
        <v>30</v>
      </c>
    </row>
    <row r="1359" spans="1:47" ht="84" x14ac:dyDescent="0.2">
      <c r="A1359" s="1" t="s">
        <v>3452</v>
      </c>
      <c r="B1359" s="1" t="s">
        <v>3584</v>
      </c>
      <c r="C1359" s="1" t="s">
        <v>5721</v>
      </c>
      <c r="D1359" s="48">
        <v>35</v>
      </c>
      <c r="E1359" s="1">
        <v>1</v>
      </c>
      <c r="F1359" s="1" t="s">
        <v>3470</v>
      </c>
      <c r="G1359" s="1" t="s">
        <v>3585</v>
      </c>
      <c r="H1359" s="1" t="s">
        <v>26</v>
      </c>
      <c r="I1359" s="1" t="s">
        <v>104</v>
      </c>
      <c r="K1359" s="1" t="s">
        <v>3548</v>
      </c>
      <c r="L1359" s="2" t="s">
        <v>331</v>
      </c>
      <c r="O1359" s="55">
        <v>3</v>
      </c>
      <c r="T1359" s="60">
        <v>9</v>
      </c>
      <c r="V1359" s="4" t="s">
        <v>3586</v>
      </c>
      <c r="AL1359" s="60" t="s">
        <v>30</v>
      </c>
    </row>
    <row r="1360" spans="1:47" ht="24" x14ac:dyDescent="0.2">
      <c r="A1360" s="1" t="s">
        <v>3452</v>
      </c>
      <c r="B1360" s="1" t="s">
        <v>3673</v>
      </c>
      <c r="C1360" s="1" t="s">
        <v>5721</v>
      </c>
      <c r="D1360" s="48">
        <v>36</v>
      </c>
      <c r="E1360" s="1">
        <v>3</v>
      </c>
      <c r="F1360" s="1" t="s">
        <v>3470</v>
      </c>
      <c r="G1360" s="1" t="s">
        <v>3674</v>
      </c>
      <c r="I1360" s="1" t="s">
        <v>104</v>
      </c>
      <c r="K1360" s="1" t="s">
        <v>105</v>
      </c>
      <c r="O1360" s="55">
        <v>2</v>
      </c>
      <c r="T1360" s="60">
        <v>3</v>
      </c>
      <c r="V1360" s="4" t="s">
        <v>3675</v>
      </c>
      <c r="W1360" s="4" t="s">
        <v>3676</v>
      </c>
      <c r="AL1360" s="60" t="s">
        <v>30</v>
      </c>
    </row>
    <row r="1361" spans="1:40" ht="48" x14ac:dyDescent="0.2">
      <c r="A1361" s="1" t="s">
        <v>3452</v>
      </c>
      <c r="B1361" s="1" t="s">
        <v>3645</v>
      </c>
      <c r="C1361" s="1" t="s">
        <v>5721</v>
      </c>
      <c r="D1361" s="48">
        <v>37</v>
      </c>
      <c r="E1361" s="1">
        <v>3</v>
      </c>
      <c r="F1361" s="1" t="s">
        <v>3470</v>
      </c>
      <c r="G1361" s="1" t="s">
        <v>3646</v>
      </c>
      <c r="I1361" s="1" t="s">
        <v>104</v>
      </c>
      <c r="K1361" s="1" t="s">
        <v>3058</v>
      </c>
      <c r="O1361" s="55">
        <v>3</v>
      </c>
      <c r="T1361" s="60">
        <v>3</v>
      </c>
      <c r="V1361" s="4" t="s">
        <v>3647</v>
      </c>
      <c r="AL1361" s="60" t="s">
        <v>30</v>
      </c>
    </row>
    <row r="1362" spans="1:40" ht="24" x14ac:dyDescent="0.2">
      <c r="A1362" s="1" t="s">
        <v>3452</v>
      </c>
      <c r="B1362" s="1" t="s">
        <v>3551</v>
      </c>
      <c r="C1362" s="1" t="s">
        <v>5721</v>
      </c>
      <c r="D1362" s="48">
        <v>38</v>
      </c>
      <c r="E1362" s="1">
        <v>2</v>
      </c>
      <c r="F1362" s="1" t="s">
        <v>3470</v>
      </c>
      <c r="G1362" s="1" t="s">
        <v>3552</v>
      </c>
      <c r="I1362" s="1" t="s">
        <v>104</v>
      </c>
      <c r="K1362" s="1" t="s">
        <v>726</v>
      </c>
      <c r="O1362" s="55">
        <v>3</v>
      </c>
      <c r="T1362" s="60">
        <v>4</v>
      </c>
      <c r="V1362" s="4" t="s">
        <v>3553</v>
      </c>
      <c r="W1362" s="4" t="s">
        <v>3554</v>
      </c>
      <c r="AL1362" s="60" t="s">
        <v>30</v>
      </c>
    </row>
    <row r="1363" spans="1:40" ht="24" x14ac:dyDescent="0.2">
      <c r="A1363" s="1" t="s">
        <v>3452</v>
      </c>
      <c r="B1363" s="1" t="s">
        <v>3587</v>
      </c>
      <c r="C1363" s="1" t="s">
        <v>5721</v>
      </c>
      <c r="D1363" s="48">
        <v>39</v>
      </c>
      <c r="E1363" s="1">
        <v>5</v>
      </c>
      <c r="F1363" s="1" t="s">
        <v>3470</v>
      </c>
      <c r="G1363" s="1" t="s">
        <v>3588</v>
      </c>
      <c r="I1363" s="1" t="s">
        <v>94</v>
      </c>
      <c r="K1363" s="1" t="s">
        <v>679</v>
      </c>
      <c r="L1363" s="2" t="s">
        <v>3589</v>
      </c>
      <c r="N1363" s="54">
        <v>35</v>
      </c>
      <c r="O1363" s="55">
        <v>4</v>
      </c>
      <c r="Q1363" s="57">
        <v>5</v>
      </c>
      <c r="R1363" s="58">
        <v>4</v>
      </c>
      <c r="S1363" s="59">
        <v>6</v>
      </c>
      <c r="V1363" s="4" t="s">
        <v>3590</v>
      </c>
      <c r="AL1363" s="60" t="s">
        <v>30</v>
      </c>
    </row>
    <row r="1364" spans="1:40" ht="24" x14ac:dyDescent="0.2">
      <c r="A1364" s="1" t="s">
        <v>3452</v>
      </c>
      <c r="B1364" s="1" t="s">
        <v>3760</v>
      </c>
      <c r="C1364" s="1" t="s">
        <v>5721</v>
      </c>
      <c r="D1364" s="48">
        <v>40</v>
      </c>
      <c r="E1364" s="1">
        <v>3</v>
      </c>
      <c r="F1364" s="1" t="s">
        <v>3470</v>
      </c>
      <c r="G1364" s="1" t="s">
        <v>3761</v>
      </c>
      <c r="I1364" s="1" t="s">
        <v>94</v>
      </c>
      <c r="K1364" s="1" t="s">
        <v>95</v>
      </c>
      <c r="N1364" s="54">
        <v>25</v>
      </c>
      <c r="O1364" s="55">
        <v>2</v>
      </c>
      <c r="Q1364" s="57">
        <v>0</v>
      </c>
      <c r="R1364" s="58">
        <v>1</v>
      </c>
      <c r="S1364" s="59">
        <v>2</v>
      </c>
      <c r="V1364" s="4" t="s">
        <v>3762</v>
      </c>
      <c r="W1364" s="4" t="s">
        <v>3763</v>
      </c>
      <c r="AL1364" s="60" t="s">
        <v>30</v>
      </c>
    </row>
    <row r="1365" spans="1:40" ht="24" x14ac:dyDescent="0.2">
      <c r="A1365" s="1" t="s">
        <v>3452</v>
      </c>
      <c r="B1365" s="1" t="s">
        <v>3630</v>
      </c>
      <c r="C1365" s="1" t="s">
        <v>5721</v>
      </c>
      <c r="D1365" s="48">
        <v>41</v>
      </c>
      <c r="E1365" s="1">
        <v>3</v>
      </c>
      <c r="F1365" s="1" t="s">
        <v>3470</v>
      </c>
      <c r="G1365" s="1" t="s">
        <v>3631</v>
      </c>
      <c r="I1365" s="1" t="s">
        <v>82</v>
      </c>
      <c r="L1365" s="2" t="s">
        <v>3632</v>
      </c>
      <c r="V1365" s="4" t="s">
        <v>3633</v>
      </c>
      <c r="W1365" s="4" t="s">
        <v>3491</v>
      </c>
      <c r="AL1365" s="60" t="s">
        <v>30</v>
      </c>
    </row>
    <row r="1366" spans="1:40" ht="36" x14ac:dyDescent="0.2">
      <c r="A1366" s="1" t="s">
        <v>3452</v>
      </c>
      <c r="B1366" s="1" t="s">
        <v>3688</v>
      </c>
      <c r="C1366" s="1" t="s">
        <v>5721</v>
      </c>
      <c r="D1366" s="48">
        <v>42</v>
      </c>
      <c r="E1366" s="1">
        <v>3</v>
      </c>
      <c r="F1366" s="1" t="s">
        <v>3470</v>
      </c>
      <c r="G1366" s="1" t="s">
        <v>3689</v>
      </c>
      <c r="I1366" s="1" t="s">
        <v>82</v>
      </c>
      <c r="L1366" s="2" t="s">
        <v>1233</v>
      </c>
      <c r="V1366" s="4" t="s">
        <v>3690</v>
      </c>
      <c r="AL1366" s="60" t="s">
        <v>30</v>
      </c>
    </row>
    <row r="1367" spans="1:40" ht="36" x14ac:dyDescent="0.2">
      <c r="A1367" s="1" t="s">
        <v>3452</v>
      </c>
      <c r="B1367" s="1" t="s">
        <v>3528</v>
      </c>
      <c r="C1367" s="1" t="s">
        <v>5721</v>
      </c>
      <c r="D1367" s="48">
        <v>43</v>
      </c>
      <c r="E1367" s="1">
        <v>2</v>
      </c>
      <c r="F1367" s="1" t="s">
        <v>3470</v>
      </c>
      <c r="G1367" s="1" t="s">
        <v>3529</v>
      </c>
      <c r="I1367" s="1" t="s">
        <v>82</v>
      </c>
      <c r="L1367" s="2" t="s">
        <v>3530</v>
      </c>
      <c r="V1367" s="4" t="s">
        <v>3531</v>
      </c>
      <c r="AL1367" s="60" t="s">
        <v>30</v>
      </c>
    </row>
    <row r="1368" spans="1:40" ht="48" x14ac:dyDescent="0.2">
      <c r="A1368" s="111" t="s">
        <v>3452</v>
      </c>
      <c r="B1368" s="111" t="s">
        <v>3521</v>
      </c>
      <c r="C1368" s="111" t="s">
        <v>5721</v>
      </c>
      <c r="D1368" s="112">
        <v>44</v>
      </c>
      <c r="E1368" s="111">
        <v>1</v>
      </c>
      <c r="F1368" s="111" t="s">
        <v>10400</v>
      </c>
      <c r="G1368" s="111" t="s">
        <v>3480</v>
      </c>
      <c r="I1368" s="1" t="s">
        <v>3482</v>
      </c>
      <c r="L1368" s="2" t="s">
        <v>3483</v>
      </c>
      <c r="N1368" s="54" t="s">
        <v>9529</v>
      </c>
      <c r="X1368" s="1" t="s">
        <v>3522</v>
      </c>
      <c r="Y1368" s="1" t="s">
        <v>3480</v>
      </c>
      <c r="AA1368" s="1" t="s">
        <v>3482</v>
      </c>
      <c r="AF1368" s="54" t="s">
        <v>9530</v>
      </c>
      <c r="AL1368" s="60" t="s">
        <v>30</v>
      </c>
      <c r="AN1368" s="4" t="s">
        <v>3523</v>
      </c>
    </row>
    <row r="1369" spans="1:40" ht="84" x14ac:dyDescent="0.2">
      <c r="A1369" s="1" t="s">
        <v>3452</v>
      </c>
      <c r="B1369" s="1" t="s">
        <v>3664</v>
      </c>
      <c r="C1369" s="1" t="s">
        <v>5721</v>
      </c>
      <c r="D1369" s="48">
        <v>45</v>
      </c>
      <c r="E1369" s="1">
        <v>1</v>
      </c>
      <c r="F1369" s="1" t="s">
        <v>3480</v>
      </c>
      <c r="G1369" s="1" t="s">
        <v>3665</v>
      </c>
      <c r="H1369" s="1" t="s">
        <v>26</v>
      </c>
      <c r="I1369" s="1" t="s">
        <v>104</v>
      </c>
      <c r="K1369" s="1" t="s">
        <v>3624</v>
      </c>
      <c r="O1369" s="55">
        <v>2</v>
      </c>
      <c r="T1369" s="60">
        <v>4</v>
      </c>
      <c r="U1369" s="1">
        <v>1</v>
      </c>
      <c r="V1369" s="4" t="s">
        <v>3666</v>
      </c>
      <c r="AL1369" s="60" t="s">
        <v>30</v>
      </c>
    </row>
    <row r="1370" spans="1:40" ht="48" x14ac:dyDescent="0.2">
      <c r="A1370" s="1" t="s">
        <v>3452</v>
      </c>
      <c r="B1370" s="1" t="s">
        <v>3691</v>
      </c>
      <c r="C1370" s="1" t="s">
        <v>5721</v>
      </c>
      <c r="D1370" s="48">
        <v>46</v>
      </c>
      <c r="E1370" s="1">
        <v>1</v>
      </c>
      <c r="F1370" s="1" t="s">
        <v>3480</v>
      </c>
      <c r="G1370" s="1" t="s">
        <v>3692</v>
      </c>
      <c r="H1370" s="1" t="s">
        <v>26</v>
      </c>
      <c r="I1370" s="1" t="s">
        <v>104</v>
      </c>
      <c r="K1370" s="1" t="s">
        <v>3693</v>
      </c>
      <c r="L1370" s="2" t="s">
        <v>331</v>
      </c>
      <c r="O1370" s="55">
        <v>4</v>
      </c>
      <c r="T1370" s="60">
        <v>4</v>
      </c>
      <c r="U1370" s="1">
        <v>4</v>
      </c>
      <c r="V1370" s="4" t="s">
        <v>3694</v>
      </c>
      <c r="AL1370" s="60" t="s">
        <v>30</v>
      </c>
    </row>
    <row r="1371" spans="1:40" ht="24" x14ac:dyDescent="0.2">
      <c r="A1371" s="1" t="s">
        <v>3452</v>
      </c>
      <c r="B1371" s="1" t="s">
        <v>3737</v>
      </c>
      <c r="C1371" s="1" t="s">
        <v>5721</v>
      </c>
      <c r="D1371" s="48">
        <v>47</v>
      </c>
      <c r="E1371" s="1">
        <v>3</v>
      </c>
      <c r="F1371" s="1" t="s">
        <v>3480</v>
      </c>
      <c r="G1371" s="1" t="s">
        <v>3738</v>
      </c>
      <c r="I1371" s="1" t="s">
        <v>104</v>
      </c>
      <c r="K1371" s="1" t="s">
        <v>105</v>
      </c>
      <c r="O1371" s="55">
        <v>2</v>
      </c>
      <c r="T1371" s="60">
        <v>2</v>
      </c>
      <c r="V1371" s="4" t="s">
        <v>3739</v>
      </c>
      <c r="W1371" s="4" t="s">
        <v>3740</v>
      </c>
      <c r="AL1371" s="60" t="s">
        <v>30</v>
      </c>
    </row>
    <row r="1372" spans="1:40" ht="60" x14ac:dyDescent="0.2">
      <c r="A1372" s="1" t="s">
        <v>3452</v>
      </c>
      <c r="B1372" s="1" t="s">
        <v>3655</v>
      </c>
      <c r="C1372" s="1" t="s">
        <v>5721</v>
      </c>
      <c r="D1372" s="48">
        <v>48</v>
      </c>
      <c r="E1372" s="1">
        <v>1</v>
      </c>
      <c r="F1372" s="1" t="s">
        <v>3480</v>
      </c>
      <c r="G1372" s="1" t="s">
        <v>3656</v>
      </c>
      <c r="H1372" s="1" t="s">
        <v>26</v>
      </c>
      <c r="I1372" s="1" t="s">
        <v>104</v>
      </c>
      <c r="K1372" s="1" t="s">
        <v>726</v>
      </c>
      <c r="O1372" s="55">
        <v>3</v>
      </c>
      <c r="T1372" s="60">
        <v>6</v>
      </c>
      <c r="U1372" s="1">
        <v>1</v>
      </c>
      <c r="V1372" s="4" t="s">
        <v>3657</v>
      </c>
      <c r="AL1372" s="60" t="s">
        <v>30</v>
      </c>
    </row>
    <row r="1373" spans="1:40" ht="72" x14ac:dyDescent="0.2">
      <c r="A1373" s="1" t="s">
        <v>3452</v>
      </c>
      <c r="B1373" s="1" t="s">
        <v>3733</v>
      </c>
      <c r="C1373" s="1" t="s">
        <v>5721</v>
      </c>
      <c r="D1373" s="48">
        <v>49</v>
      </c>
      <c r="E1373" s="1">
        <v>3</v>
      </c>
      <c r="F1373" s="1" t="s">
        <v>3480</v>
      </c>
      <c r="G1373" s="1" t="s">
        <v>3734</v>
      </c>
      <c r="I1373" s="1" t="s">
        <v>104</v>
      </c>
      <c r="K1373" s="1" t="s">
        <v>3735</v>
      </c>
      <c r="O1373" s="55">
        <v>3</v>
      </c>
      <c r="T1373" s="60">
        <v>2</v>
      </c>
      <c r="V1373" s="4" t="s">
        <v>3736</v>
      </c>
      <c r="AL1373" s="60" t="s">
        <v>30</v>
      </c>
    </row>
    <row r="1374" spans="1:40" ht="60" x14ac:dyDescent="0.2">
      <c r="A1374" s="1" t="s">
        <v>3452</v>
      </c>
      <c r="B1374" s="1" t="s">
        <v>3540</v>
      </c>
      <c r="C1374" s="1" t="s">
        <v>5721</v>
      </c>
      <c r="D1374" s="48">
        <v>50</v>
      </c>
      <c r="E1374" s="1">
        <v>2</v>
      </c>
      <c r="F1374" s="1" t="s">
        <v>3480</v>
      </c>
      <c r="G1374" s="1" t="s">
        <v>3541</v>
      </c>
      <c r="I1374" s="1" t="s">
        <v>94</v>
      </c>
      <c r="K1374" s="1" t="s">
        <v>679</v>
      </c>
      <c r="L1374" s="2" t="s">
        <v>3517</v>
      </c>
      <c r="N1374" s="54">
        <v>35</v>
      </c>
      <c r="O1374" s="55">
        <v>4</v>
      </c>
      <c r="Q1374" s="57">
        <v>4</v>
      </c>
      <c r="R1374" s="58">
        <v>3</v>
      </c>
      <c r="S1374" s="59">
        <v>5</v>
      </c>
      <c r="V1374" s="4" t="s">
        <v>3542</v>
      </c>
      <c r="AL1374" s="60" t="s">
        <v>30</v>
      </c>
    </row>
    <row r="1375" spans="1:40" ht="36" x14ac:dyDescent="0.2">
      <c r="A1375" s="1" t="s">
        <v>3452</v>
      </c>
      <c r="B1375" s="1" t="s">
        <v>3597</v>
      </c>
      <c r="C1375" s="1" t="s">
        <v>5721</v>
      </c>
      <c r="D1375" s="48">
        <v>51</v>
      </c>
      <c r="E1375" s="1">
        <v>1</v>
      </c>
      <c r="F1375" s="1" t="s">
        <v>3480</v>
      </c>
      <c r="G1375" s="1" t="s">
        <v>3598</v>
      </c>
      <c r="H1375" s="1" t="s">
        <v>26</v>
      </c>
      <c r="I1375" s="1" t="s">
        <v>94</v>
      </c>
      <c r="K1375" s="1" t="s">
        <v>3477</v>
      </c>
      <c r="L1375" s="2" t="s">
        <v>3599</v>
      </c>
      <c r="N1375" s="54">
        <v>38</v>
      </c>
      <c r="O1375" s="55">
        <v>3</v>
      </c>
      <c r="Q1375" s="57">
        <v>1</v>
      </c>
      <c r="R1375" s="58">
        <v>3</v>
      </c>
      <c r="S1375" s="59">
        <v>5</v>
      </c>
      <c r="U1375" s="1">
        <v>1</v>
      </c>
      <c r="V1375" s="4" t="s">
        <v>3600</v>
      </c>
      <c r="AL1375" s="60" t="s">
        <v>30</v>
      </c>
    </row>
    <row r="1376" spans="1:40" ht="24" x14ac:dyDescent="0.2">
      <c r="A1376" s="1" t="s">
        <v>3452</v>
      </c>
      <c r="B1376" s="1" t="s">
        <v>3475</v>
      </c>
      <c r="C1376" s="1" t="s">
        <v>5721</v>
      </c>
      <c r="D1376" s="48">
        <v>52</v>
      </c>
      <c r="E1376" s="1">
        <v>4</v>
      </c>
      <c r="F1376" s="1" t="s">
        <v>3480</v>
      </c>
      <c r="G1376" s="1" t="s">
        <v>3476</v>
      </c>
      <c r="I1376" s="1" t="s">
        <v>94</v>
      </c>
      <c r="K1376" s="1" t="s">
        <v>3477</v>
      </c>
      <c r="N1376" s="54">
        <v>28</v>
      </c>
      <c r="O1376" s="55">
        <v>2</v>
      </c>
      <c r="Q1376" s="57">
        <v>3</v>
      </c>
      <c r="R1376" s="58">
        <v>1</v>
      </c>
      <c r="S1376" s="59">
        <v>4</v>
      </c>
      <c r="V1376" s="4" t="s">
        <v>3478</v>
      </c>
      <c r="W1376" s="4" t="s">
        <v>3479</v>
      </c>
      <c r="AL1376" s="60" t="s">
        <v>30</v>
      </c>
    </row>
    <row r="1377" spans="1:43" ht="24" x14ac:dyDescent="0.2">
      <c r="A1377" s="1" t="s">
        <v>3452</v>
      </c>
      <c r="B1377" s="1" t="s">
        <v>3626</v>
      </c>
      <c r="C1377" s="1" t="s">
        <v>5721</v>
      </c>
      <c r="D1377" s="48">
        <v>53</v>
      </c>
      <c r="E1377" s="1">
        <v>3</v>
      </c>
      <c r="F1377" s="1" t="s">
        <v>3480</v>
      </c>
      <c r="G1377" s="1" t="s">
        <v>3627</v>
      </c>
      <c r="I1377" s="1" t="s">
        <v>94</v>
      </c>
      <c r="K1377" s="1" t="s">
        <v>3628</v>
      </c>
      <c r="N1377" s="54">
        <v>33</v>
      </c>
      <c r="O1377" s="55">
        <v>2</v>
      </c>
      <c r="Q1377" s="57">
        <v>2</v>
      </c>
      <c r="R1377" s="58">
        <v>2</v>
      </c>
      <c r="S1377" s="59">
        <v>3</v>
      </c>
      <c r="V1377" s="4" t="s">
        <v>3629</v>
      </c>
      <c r="AL1377" s="60" t="s">
        <v>30</v>
      </c>
    </row>
    <row r="1378" spans="1:43" ht="24" x14ac:dyDescent="0.2">
      <c r="A1378" s="1" t="s">
        <v>3452</v>
      </c>
      <c r="B1378" s="1" t="s">
        <v>3727</v>
      </c>
      <c r="C1378" s="1" t="s">
        <v>5721</v>
      </c>
      <c r="D1378" s="48">
        <v>54</v>
      </c>
      <c r="E1378" s="1">
        <v>3</v>
      </c>
      <c r="F1378" s="1" t="s">
        <v>3480</v>
      </c>
      <c r="G1378" s="1" t="s">
        <v>3728</v>
      </c>
      <c r="I1378" s="1" t="s">
        <v>82</v>
      </c>
      <c r="L1378" s="2" t="s">
        <v>3636</v>
      </c>
      <c r="V1378" s="4" t="s">
        <v>3729</v>
      </c>
      <c r="W1378" s="4" t="s">
        <v>3491</v>
      </c>
      <c r="AL1378" s="60" t="s">
        <v>30</v>
      </c>
    </row>
    <row r="1379" spans="1:43" ht="36" x14ac:dyDescent="0.2">
      <c r="A1379" s="1" t="s">
        <v>3452</v>
      </c>
      <c r="B1379" s="1" t="s">
        <v>3741</v>
      </c>
      <c r="C1379" s="1" t="s">
        <v>5721</v>
      </c>
      <c r="D1379" s="48">
        <v>55</v>
      </c>
      <c r="E1379" s="1">
        <v>2</v>
      </c>
      <c r="F1379" s="1" t="s">
        <v>3480</v>
      </c>
      <c r="G1379" s="1" t="s">
        <v>3742</v>
      </c>
      <c r="I1379" s="1" t="s">
        <v>82</v>
      </c>
      <c r="L1379" s="2" t="s">
        <v>3636</v>
      </c>
      <c r="V1379" s="4" t="s">
        <v>3743</v>
      </c>
      <c r="AL1379" s="60" t="s">
        <v>30</v>
      </c>
    </row>
    <row r="1380" spans="1:43" ht="36" x14ac:dyDescent="0.2">
      <c r="A1380" s="111" t="s">
        <v>3452</v>
      </c>
      <c r="B1380" s="111" t="s">
        <v>3481</v>
      </c>
      <c r="C1380" s="111" t="s">
        <v>5721</v>
      </c>
      <c r="D1380" s="112">
        <v>56</v>
      </c>
      <c r="E1380" s="111">
        <v>1</v>
      </c>
      <c r="F1380" s="111" t="s">
        <v>3485</v>
      </c>
      <c r="G1380" s="111" t="s">
        <v>3461</v>
      </c>
      <c r="I1380" s="1" t="s">
        <v>3482</v>
      </c>
      <c r="L1380" s="2" t="s">
        <v>3483</v>
      </c>
      <c r="N1380" s="54" t="s">
        <v>9529</v>
      </c>
      <c r="V1380" s="4" t="s">
        <v>3484</v>
      </c>
      <c r="X1380" s="1" t="s">
        <v>3486</v>
      </c>
      <c r="Y1380" s="1" t="s">
        <v>3461</v>
      </c>
      <c r="AA1380" s="1" t="s">
        <v>3482</v>
      </c>
      <c r="AF1380" s="54" t="s">
        <v>9530</v>
      </c>
      <c r="AL1380" s="60" t="s">
        <v>30</v>
      </c>
      <c r="AN1380" s="4" t="s">
        <v>3487</v>
      </c>
    </row>
    <row r="1381" spans="1:43" ht="48" x14ac:dyDescent="0.2">
      <c r="A1381" s="1" t="s">
        <v>3452</v>
      </c>
      <c r="B1381" s="1" t="s">
        <v>3611</v>
      </c>
      <c r="C1381" s="1" t="s">
        <v>5721</v>
      </c>
      <c r="D1381" s="48">
        <v>57</v>
      </c>
      <c r="E1381" s="1">
        <v>1</v>
      </c>
      <c r="F1381" s="1" t="s">
        <v>3461</v>
      </c>
      <c r="G1381" s="1" t="s">
        <v>3612</v>
      </c>
      <c r="I1381" s="1" t="s">
        <v>88</v>
      </c>
      <c r="K1381" s="1" t="s">
        <v>3613</v>
      </c>
      <c r="L1381" s="2" t="s">
        <v>3614</v>
      </c>
      <c r="V1381" s="4" t="s">
        <v>3615</v>
      </c>
      <c r="AL1381" s="60" t="s">
        <v>30</v>
      </c>
    </row>
    <row r="1382" spans="1:43" ht="60" x14ac:dyDescent="0.2">
      <c r="A1382" s="1" t="s">
        <v>3452</v>
      </c>
      <c r="B1382" s="1" t="s">
        <v>3704</v>
      </c>
      <c r="C1382" s="1" t="s">
        <v>5721</v>
      </c>
      <c r="D1382" s="48">
        <v>58</v>
      </c>
      <c r="E1382" s="1">
        <v>1</v>
      </c>
      <c r="F1382" s="1" t="s">
        <v>3461</v>
      </c>
      <c r="G1382" s="1" t="s">
        <v>3705</v>
      </c>
      <c r="H1382" s="1" t="s">
        <v>26</v>
      </c>
      <c r="I1382" s="1" t="s">
        <v>104</v>
      </c>
      <c r="K1382" s="1" t="s">
        <v>3706</v>
      </c>
      <c r="L1382" s="2" t="s">
        <v>3549</v>
      </c>
      <c r="O1382" s="55" t="s">
        <v>113</v>
      </c>
      <c r="T1382" s="60">
        <v>4</v>
      </c>
      <c r="U1382" s="1">
        <v>3</v>
      </c>
      <c r="V1382" s="4" t="s">
        <v>3707</v>
      </c>
      <c r="AL1382" s="60" t="s">
        <v>30</v>
      </c>
    </row>
    <row r="1383" spans="1:43" ht="60" x14ac:dyDescent="0.2">
      <c r="A1383" s="1" t="s">
        <v>3452</v>
      </c>
      <c r="B1383" s="1" t="s">
        <v>3546</v>
      </c>
      <c r="C1383" s="1" t="s">
        <v>5721</v>
      </c>
      <c r="D1383" s="48">
        <v>59</v>
      </c>
      <c r="E1383" s="1">
        <v>1</v>
      </c>
      <c r="F1383" s="1" t="s">
        <v>3461</v>
      </c>
      <c r="G1383" s="1" t="s">
        <v>3547</v>
      </c>
      <c r="H1383" s="1" t="s">
        <v>26</v>
      </c>
      <c r="I1383" s="1" t="s">
        <v>104</v>
      </c>
      <c r="K1383" s="1" t="s">
        <v>3548</v>
      </c>
      <c r="L1383" s="2" t="s">
        <v>3549</v>
      </c>
      <c r="O1383" s="55">
        <v>2</v>
      </c>
      <c r="T1383" s="60">
        <v>6</v>
      </c>
      <c r="U1383" s="1">
        <v>5</v>
      </c>
      <c r="V1383" s="4" t="s">
        <v>3550</v>
      </c>
      <c r="AL1383" s="60" t="s">
        <v>30</v>
      </c>
    </row>
    <row r="1384" spans="1:43" ht="24" x14ac:dyDescent="0.2">
      <c r="A1384" s="1" t="s">
        <v>3452</v>
      </c>
      <c r="B1384" s="1" t="s">
        <v>3543</v>
      </c>
      <c r="C1384" s="1" t="s">
        <v>5721</v>
      </c>
      <c r="D1384" s="48">
        <v>60</v>
      </c>
      <c r="E1384" s="1">
        <v>1</v>
      </c>
      <c r="F1384" s="1" t="s">
        <v>3461</v>
      </c>
      <c r="G1384" s="1" t="s">
        <v>3544</v>
      </c>
      <c r="H1384" s="1" t="s">
        <v>26</v>
      </c>
      <c r="I1384" s="1" t="s">
        <v>104</v>
      </c>
      <c r="K1384" s="1" t="s">
        <v>105</v>
      </c>
      <c r="O1384" s="55">
        <v>1</v>
      </c>
      <c r="T1384" s="60">
        <v>2</v>
      </c>
      <c r="U1384" s="1">
        <v>1</v>
      </c>
      <c r="V1384" s="4" t="s">
        <v>3545</v>
      </c>
      <c r="AL1384" s="60" t="s">
        <v>30</v>
      </c>
    </row>
    <row r="1385" spans="1:43" ht="60" x14ac:dyDescent="0.2">
      <c r="A1385" s="1" t="s">
        <v>3452</v>
      </c>
      <c r="B1385" s="1" t="s">
        <v>3695</v>
      </c>
      <c r="C1385" s="1" t="s">
        <v>5721</v>
      </c>
      <c r="D1385" s="48">
        <v>61</v>
      </c>
      <c r="E1385" s="1">
        <v>3</v>
      </c>
      <c r="F1385" s="1" t="s">
        <v>3461</v>
      </c>
      <c r="G1385" s="1" t="s">
        <v>3696</v>
      </c>
      <c r="I1385" s="1" t="s">
        <v>104</v>
      </c>
      <c r="K1385" s="1" t="s">
        <v>105</v>
      </c>
      <c r="O1385" s="55">
        <v>2</v>
      </c>
      <c r="T1385" s="60">
        <v>3</v>
      </c>
      <c r="V1385" s="4" t="s">
        <v>3697</v>
      </c>
      <c r="AL1385" s="60" t="s">
        <v>30</v>
      </c>
    </row>
    <row r="1386" spans="1:43" ht="36" x14ac:dyDescent="0.2">
      <c r="A1386" s="1" t="s">
        <v>3452</v>
      </c>
      <c r="B1386" s="1" t="s">
        <v>3747</v>
      </c>
      <c r="C1386" s="1" t="s">
        <v>5721</v>
      </c>
      <c r="D1386" s="48">
        <v>62</v>
      </c>
      <c r="E1386" s="1">
        <v>3</v>
      </c>
      <c r="F1386" s="1" t="s">
        <v>3461</v>
      </c>
      <c r="G1386" s="1" t="s">
        <v>3748</v>
      </c>
      <c r="I1386" s="1" t="s">
        <v>104</v>
      </c>
      <c r="K1386" s="1" t="s">
        <v>3058</v>
      </c>
      <c r="O1386" s="55">
        <v>3</v>
      </c>
      <c r="T1386" s="60">
        <v>4</v>
      </c>
      <c r="V1386" s="4" t="s">
        <v>3749</v>
      </c>
      <c r="AL1386" s="60" t="s">
        <v>30</v>
      </c>
    </row>
    <row r="1387" spans="1:43" ht="36" x14ac:dyDescent="0.2">
      <c r="A1387" s="1" t="s">
        <v>3452</v>
      </c>
      <c r="B1387" s="1" t="s">
        <v>3591</v>
      </c>
      <c r="C1387" s="1" t="s">
        <v>5721</v>
      </c>
      <c r="D1387" s="48">
        <v>63</v>
      </c>
      <c r="E1387" s="1">
        <v>4</v>
      </c>
      <c r="F1387" s="1" t="s">
        <v>3461</v>
      </c>
      <c r="G1387" s="1" t="s">
        <v>3592</v>
      </c>
      <c r="I1387" s="1" t="s">
        <v>94</v>
      </c>
      <c r="K1387" s="1" t="s">
        <v>679</v>
      </c>
      <c r="L1387" s="2" t="s">
        <v>3517</v>
      </c>
      <c r="N1387" s="54">
        <v>30</v>
      </c>
      <c r="O1387" s="55">
        <v>2</v>
      </c>
      <c r="Q1387" s="57">
        <v>4</v>
      </c>
      <c r="R1387" s="58">
        <v>3</v>
      </c>
      <c r="S1387" s="59">
        <v>6</v>
      </c>
      <c r="V1387" s="4" t="s">
        <v>3593</v>
      </c>
      <c r="AL1387" s="60" t="s">
        <v>30</v>
      </c>
    </row>
    <row r="1388" spans="1:43" ht="48" x14ac:dyDescent="0.2">
      <c r="A1388" s="1" t="s">
        <v>3452</v>
      </c>
      <c r="B1388" s="1" t="s">
        <v>3639</v>
      </c>
      <c r="C1388" s="1" t="s">
        <v>5721</v>
      </c>
      <c r="D1388" s="48">
        <v>64</v>
      </c>
      <c r="E1388" s="1">
        <v>3</v>
      </c>
      <c r="F1388" s="1" t="s">
        <v>3461</v>
      </c>
      <c r="G1388" s="1" t="s">
        <v>3640</v>
      </c>
      <c r="I1388" s="1" t="s">
        <v>82</v>
      </c>
      <c r="L1388" s="2" t="s">
        <v>3636</v>
      </c>
      <c r="V1388" s="4" t="s">
        <v>3641</v>
      </c>
      <c r="AL1388" s="60" t="s">
        <v>30</v>
      </c>
      <c r="AQ1388" s="1"/>
    </row>
    <row r="1389" spans="1:43" ht="24" x14ac:dyDescent="0.2">
      <c r="A1389" s="1" t="s">
        <v>3452</v>
      </c>
      <c r="B1389" s="1" t="s">
        <v>3471</v>
      </c>
      <c r="C1389" s="1" t="s">
        <v>5721</v>
      </c>
      <c r="D1389" s="48">
        <v>65</v>
      </c>
      <c r="E1389" s="1">
        <v>2</v>
      </c>
      <c r="F1389" s="1" t="s">
        <v>3461</v>
      </c>
      <c r="G1389" s="1" t="s">
        <v>3472</v>
      </c>
      <c r="I1389" s="1" t="s">
        <v>82</v>
      </c>
      <c r="V1389" s="4" t="s">
        <v>3473</v>
      </c>
      <c r="W1389" s="4" t="s">
        <v>3474</v>
      </c>
      <c r="AL1389" s="60" t="s">
        <v>30</v>
      </c>
      <c r="AQ1389" s="1"/>
    </row>
    <row r="1390" spans="1:43" ht="24" x14ac:dyDescent="0.2">
      <c r="A1390" s="1" t="s">
        <v>3452</v>
      </c>
      <c r="B1390" s="1" t="s">
        <v>3670</v>
      </c>
      <c r="C1390" s="1" t="s">
        <v>5721</v>
      </c>
      <c r="D1390" s="48">
        <v>66</v>
      </c>
      <c r="E1390" s="1">
        <v>3</v>
      </c>
      <c r="F1390" s="1" t="s">
        <v>3461</v>
      </c>
      <c r="G1390" s="1" t="s">
        <v>5915</v>
      </c>
      <c r="I1390" s="1" t="s">
        <v>82</v>
      </c>
      <c r="V1390" s="4" t="s">
        <v>3671</v>
      </c>
      <c r="W1390" s="4" t="s">
        <v>3672</v>
      </c>
      <c r="AL1390" s="60" t="s">
        <v>30</v>
      </c>
      <c r="AQ1390" s="1"/>
    </row>
    <row r="1391" spans="1:43" ht="36" x14ac:dyDescent="0.2">
      <c r="A1391" s="1" t="s">
        <v>3452</v>
      </c>
      <c r="B1391" s="1" t="s">
        <v>3667</v>
      </c>
      <c r="C1391" s="1" t="s">
        <v>5721</v>
      </c>
      <c r="D1391" s="48">
        <v>67</v>
      </c>
      <c r="E1391" s="1">
        <v>2</v>
      </c>
      <c r="F1391" s="1" t="s">
        <v>3461</v>
      </c>
      <c r="G1391" s="1" t="s">
        <v>3668</v>
      </c>
      <c r="I1391" s="1" t="s">
        <v>82</v>
      </c>
      <c r="L1391" s="2" t="s">
        <v>3636</v>
      </c>
      <c r="V1391" s="4" t="s">
        <v>3669</v>
      </c>
      <c r="W1391" s="4" t="s">
        <v>3491</v>
      </c>
      <c r="AL1391" s="60" t="s">
        <v>30</v>
      </c>
      <c r="AQ1391" s="1"/>
    </row>
    <row r="1392" spans="1:43" ht="60" x14ac:dyDescent="0.2">
      <c r="A1392" s="111" t="s">
        <v>3452</v>
      </c>
      <c r="B1392" s="111" t="s">
        <v>3708</v>
      </c>
      <c r="C1392" s="111" t="s">
        <v>5721</v>
      </c>
      <c r="D1392" s="112">
        <v>68</v>
      </c>
      <c r="E1392" s="111">
        <v>1</v>
      </c>
      <c r="F1392" s="111" t="s">
        <v>3520</v>
      </c>
      <c r="G1392" s="111" t="s">
        <v>3709</v>
      </c>
      <c r="H1392" s="1" t="s">
        <v>26</v>
      </c>
      <c r="I1392" s="1" t="s">
        <v>94</v>
      </c>
      <c r="K1392" s="1" t="s">
        <v>679</v>
      </c>
      <c r="L1392" s="2" t="s">
        <v>331</v>
      </c>
      <c r="N1392" s="54">
        <v>45</v>
      </c>
      <c r="O1392" s="55">
        <v>5</v>
      </c>
      <c r="Q1392" s="57">
        <v>6</v>
      </c>
      <c r="R1392" s="58">
        <v>5</v>
      </c>
      <c r="S1392" s="59">
        <v>9</v>
      </c>
      <c r="V1392" s="4" t="s">
        <v>3710</v>
      </c>
      <c r="AL1392" s="60" t="s">
        <v>30</v>
      </c>
      <c r="AQ1392" s="1"/>
    </row>
    <row r="1393" spans="1:43" ht="24" x14ac:dyDescent="0.2">
      <c r="A1393" s="1" t="s">
        <v>3452</v>
      </c>
      <c r="B1393" s="1" t="s">
        <v>3515</v>
      </c>
      <c r="C1393" s="1" t="s">
        <v>5721</v>
      </c>
      <c r="D1393" s="48">
        <v>69</v>
      </c>
      <c r="E1393" s="1">
        <v>4</v>
      </c>
      <c r="F1393" s="1" t="s">
        <v>3520</v>
      </c>
      <c r="G1393" s="1" t="s">
        <v>3516</v>
      </c>
      <c r="I1393" s="1" t="s">
        <v>94</v>
      </c>
      <c r="K1393" s="1" t="s">
        <v>679</v>
      </c>
      <c r="L1393" s="2" t="s">
        <v>3517</v>
      </c>
      <c r="N1393" s="54">
        <v>35</v>
      </c>
      <c r="O1393" s="55">
        <v>3</v>
      </c>
      <c r="Q1393" s="57">
        <v>5</v>
      </c>
      <c r="R1393" s="58">
        <v>4</v>
      </c>
      <c r="S1393" s="59">
        <v>5</v>
      </c>
      <c r="V1393" s="4" t="s">
        <v>3518</v>
      </c>
      <c r="W1393" s="4" t="s">
        <v>3519</v>
      </c>
      <c r="AL1393" s="60" t="s">
        <v>30</v>
      </c>
      <c r="AQ1393" s="1"/>
    </row>
    <row r="1394" spans="1:43" ht="36" x14ac:dyDescent="0.2">
      <c r="A1394" s="1" t="s">
        <v>3452</v>
      </c>
      <c r="B1394" s="1" t="s">
        <v>3577</v>
      </c>
      <c r="C1394" s="1" t="s">
        <v>5721</v>
      </c>
      <c r="D1394" s="48">
        <v>70</v>
      </c>
      <c r="E1394" s="1">
        <v>3</v>
      </c>
      <c r="F1394" s="1" t="s">
        <v>3520</v>
      </c>
      <c r="G1394" s="1" t="s">
        <v>3578</v>
      </c>
      <c r="I1394" s="1" t="s">
        <v>82</v>
      </c>
      <c r="L1394" s="2" t="s">
        <v>155</v>
      </c>
      <c r="V1394" s="4" t="s">
        <v>3579</v>
      </c>
      <c r="AL1394" s="60" t="s">
        <v>30</v>
      </c>
      <c r="AQ1394" s="1"/>
    </row>
    <row r="1395" spans="1:43" ht="24" x14ac:dyDescent="0.2">
      <c r="A1395" s="1" t="s">
        <v>3452</v>
      </c>
      <c r="B1395" s="1" t="s">
        <v>3568</v>
      </c>
      <c r="C1395" s="1" t="s">
        <v>5721</v>
      </c>
      <c r="D1395" s="48">
        <v>71</v>
      </c>
      <c r="E1395" s="1">
        <v>3</v>
      </c>
      <c r="F1395" s="1" t="s">
        <v>3520</v>
      </c>
      <c r="G1395" s="1" t="s">
        <v>3569</v>
      </c>
      <c r="I1395" s="1" t="s">
        <v>82</v>
      </c>
      <c r="V1395" s="4" t="s">
        <v>3570</v>
      </c>
      <c r="W1395" s="4" t="s">
        <v>3571</v>
      </c>
      <c r="AL1395" s="60" t="s">
        <v>30</v>
      </c>
      <c r="AQ1395" s="1"/>
    </row>
    <row r="1396" spans="1:43" ht="24" x14ac:dyDescent="0.2">
      <c r="A1396" s="111" t="s">
        <v>3452</v>
      </c>
      <c r="B1396" s="111" t="s">
        <v>3536</v>
      </c>
      <c r="C1396" s="111" t="s">
        <v>5721</v>
      </c>
      <c r="D1396" s="112">
        <v>72</v>
      </c>
      <c r="E1396" s="111">
        <v>3</v>
      </c>
      <c r="F1396" s="111" t="s">
        <v>3539</v>
      </c>
      <c r="G1396" s="111" t="s">
        <v>3046</v>
      </c>
      <c r="I1396" s="1" t="s">
        <v>104</v>
      </c>
      <c r="K1396" s="1" t="s">
        <v>105</v>
      </c>
      <c r="O1396" s="55">
        <v>2</v>
      </c>
      <c r="T1396" s="60">
        <v>3</v>
      </c>
      <c r="V1396" s="4" t="s">
        <v>3537</v>
      </c>
      <c r="W1396" s="4" t="s">
        <v>3538</v>
      </c>
      <c r="AL1396" s="60" t="s">
        <v>30</v>
      </c>
      <c r="AQ1396" s="1"/>
    </row>
    <row r="1397" spans="1:43" ht="36" x14ac:dyDescent="0.2">
      <c r="A1397" s="1" t="s">
        <v>3452</v>
      </c>
      <c r="B1397" s="1" t="s">
        <v>3634</v>
      </c>
      <c r="C1397" s="1" t="s">
        <v>5721</v>
      </c>
      <c r="D1397" s="48">
        <v>73</v>
      </c>
      <c r="E1397" s="1">
        <v>3</v>
      </c>
      <c r="F1397" s="1" t="s">
        <v>3539</v>
      </c>
      <c r="G1397" s="1" t="s">
        <v>3635</v>
      </c>
      <c r="I1397" s="1" t="s">
        <v>82</v>
      </c>
      <c r="L1397" s="2" t="s">
        <v>3636</v>
      </c>
      <c r="V1397" s="4" t="s">
        <v>3637</v>
      </c>
      <c r="W1397" s="4" t="s">
        <v>3638</v>
      </c>
      <c r="AL1397" s="60" t="s">
        <v>30</v>
      </c>
      <c r="AQ1397" s="1"/>
    </row>
    <row r="1398" spans="1:43" ht="48" x14ac:dyDescent="0.2">
      <c r="A1398" s="111" t="s">
        <v>3452</v>
      </c>
      <c r="B1398" s="111" t="s">
        <v>3462</v>
      </c>
      <c r="C1398" s="111" t="s">
        <v>5721</v>
      </c>
      <c r="D1398" s="112">
        <v>74</v>
      </c>
      <c r="E1398" s="111">
        <v>3</v>
      </c>
      <c r="F1398" s="111" t="s">
        <v>3465</v>
      </c>
      <c r="G1398" s="111" t="s">
        <v>3463</v>
      </c>
      <c r="I1398" s="1" t="s">
        <v>82</v>
      </c>
      <c r="L1398" s="2" t="s">
        <v>155</v>
      </c>
      <c r="V1398" s="4" t="s">
        <v>3464</v>
      </c>
      <c r="AL1398" s="60" t="s">
        <v>30</v>
      </c>
      <c r="AQ1398" s="1"/>
    </row>
    <row r="1399" spans="1:43" ht="36" x14ac:dyDescent="0.2">
      <c r="A1399" s="1" t="s">
        <v>3452</v>
      </c>
      <c r="B1399" s="1" t="s">
        <v>3488</v>
      </c>
      <c r="C1399" s="1" t="s">
        <v>5721</v>
      </c>
      <c r="D1399" s="48">
        <v>75</v>
      </c>
      <c r="E1399" s="1">
        <v>2</v>
      </c>
      <c r="F1399" s="1" t="s">
        <v>3465</v>
      </c>
      <c r="G1399" s="1" t="s">
        <v>3489</v>
      </c>
      <c r="I1399" s="1" t="s">
        <v>82</v>
      </c>
      <c r="V1399" s="4" t="s">
        <v>3490</v>
      </c>
      <c r="W1399" s="4" t="s">
        <v>3491</v>
      </c>
      <c r="AL1399" s="60" t="s">
        <v>30</v>
      </c>
      <c r="AQ1399" s="1"/>
    </row>
    <row r="1400" spans="1:43" ht="24" x14ac:dyDescent="0.2">
      <c r="A1400" s="111" t="s">
        <v>3452</v>
      </c>
      <c r="B1400" s="111" t="s">
        <v>3572</v>
      </c>
      <c r="C1400" s="111" t="s">
        <v>5721</v>
      </c>
      <c r="D1400" s="112">
        <v>76</v>
      </c>
      <c r="E1400" s="111">
        <v>3</v>
      </c>
      <c r="F1400" s="111" t="s">
        <v>3576</v>
      </c>
      <c r="G1400" s="111" t="s">
        <v>3573</v>
      </c>
      <c r="I1400" s="1" t="s">
        <v>82</v>
      </c>
      <c r="L1400" s="2" t="s">
        <v>155</v>
      </c>
      <c r="V1400" s="4" t="s">
        <v>3574</v>
      </c>
      <c r="W1400" s="4" t="s">
        <v>3575</v>
      </c>
      <c r="AL1400" s="60" t="s">
        <v>30</v>
      </c>
      <c r="AQ1400" s="1"/>
    </row>
    <row r="1401" spans="1:43" ht="24" x14ac:dyDescent="0.2">
      <c r="A1401" s="1" t="s">
        <v>3452</v>
      </c>
      <c r="B1401" s="1" t="s">
        <v>3607</v>
      </c>
      <c r="C1401" s="1" t="s">
        <v>5721</v>
      </c>
      <c r="D1401" s="48">
        <v>77</v>
      </c>
      <c r="E1401" s="1">
        <v>1</v>
      </c>
      <c r="G1401" s="1" t="s">
        <v>3608</v>
      </c>
      <c r="H1401" s="1" t="s">
        <v>26</v>
      </c>
      <c r="I1401" s="1" t="s">
        <v>88</v>
      </c>
      <c r="J1401" s="1" t="s">
        <v>3498</v>
      </c>
      <c r="K1401" s="1" t="s">
        <v>1136</v>
      </c>
      <c r="L1401" s="2" t="s">
        <v>3609</v>
      </c>
      <c r="P1401" s="56">
        <v>3</v>
      </c>
      <c r="Q1401" s="57">
        <v>2</v>
      </c>
      <c r="R1401" s="58">
        <v>3</v>
      </c>
      <c r="S1401" s="59">
        <v>3</v>
      </c>
      <c r="V1401" s="4" t="s">
        <v>3610</v>
      </c>
      <c r="AL1401" s="60" t="s">
        <v>30</v>
      </c>
      <c r="AQ1401" s="1"/>
    </row>
    <row r="1402" spans="1:43" ht="36" x14ac:dyDescent="0.2">
      <c r="A1402" s="1" t="s">
        <v>3452</v>
      </c>
      <c r="B1402" s="1" t="s">
        <v>3730</v>
      </c>
      <c r="C1402" s="1" t="s">
        <v>5721</v>
      </c>
      <c r="D1402" s="48">
        <v>78</v>
      </c>
      <c r="E1402" s="1">
        <v>1</v>
      </c>
      <c r="F1402" s="1" t="s">
        <v>3495</v>
      </c>
      <c r="G1402" s="1" t="s">
        <v>3731</v>
      </c>
      <c r="I1402" s="1" t="s">
        <v>88</v>
      </c>
      <c r="J1402" s="1" t="s">
        <v>3458</v>
      </c>
      <c r="V1402" s="4" t="s">
        <v>3732</v>
      </c>
      <c r="X1402" s="1" t="s">
        <v>1629</v>
      </c>
      <c r="AL1402" s="60" t="s">
        <v>30</v>
      </c>
      <c r="AQ1402" s="1"/>
    </row>
    <row r="1403" spans="1:43" ht="36" x14ac:dyDescent="0.2">
      <c r="A1403" s="1" t="s">
        <v>3452</v>
      </c>
      <c r="B1403" s="1" t="s">
        <v>3492</v>
      </c>
      <c r="C1403" s="1" t="s">
        <v>5721</v>
      </c>
      <c r="D1403" s="48">
        <v>79</v>
      </c>
      <c r="E1403" s="1">
        <v>1</v>
      </c>
      <c r="F1403" s="1" t="s">
        <v>3495</v>
      </c>
      <c r="G1403" s="1" t="s">
        <v>3493</v>
      </c>
      <c r="I1403" s="1" t="s">
        <v>82</v>
      </c>
      <c r="J1403" s="1" t="s">
        <v>3458</v>
      </c>
      <c r="L1403" s="2" t="s">
        <v>155</v>
      </c>
      <c r="V1403" s="4" t="s">
        <v>3494</v>
      </c>
      <c r="AL1403" s="60" t="s">
        <v>30</v>
      </c>
      <c r="AQ1403" s="1"/>
    </row>
    <row r="1404" spans="1:43" ht="48" x14ac:dyDescent="0.2">
      <c r="A1404" s="1" t="s">
        <v>3452</v>
      </c>
      <c r="B1404" s="1" t="s">
        <v>3557</v>
      </c>
      <c r="C1404" s="1" t="s">
        <v>5721</v>
      </c>
      <c r="D1404" s="48">
        <v>80</v>
      </c>
      <c r="E1404" s="1">
        <v>1</v>
      </c>
      <c r="F1404" s="1" t="s">
        <v>3461</v>
      </c>
      <c r="G1404" s="1" t="s">
        <v>3558</v>
      </c>
      <c r="I1404" s="1" t="s">
        <v>82</v>
      </c>
      <c r="J1404" s="1" t="s">
        <v>3458</v>
      </c>
      <c r="L1404" s="2" t="s">
        <v>155</v>
      </c>
      <c r="V1404" s="4" t="s">
        <v>3559</v>
      </c>
      <c r="AL1404" s="60" t="s">
        <v>30</v>
      </c>
      <c r="AQ1404" s="1"/>
    </row>
    <row r="1405" spans="1:43" ht="24" x14ac:dyDescent="0.2">
      <c r="A1405" s="1" t="s">
        <v>3452</v>
      </c>
      <c r="B1405" s="1" t="s">
        <v>3456</v>
      </c>
      <c r="C1405" s="1" t="s">
        <v>5721</v>
      </c>
      <c r="D1405" s="48">
        <v>81</v>
      </c>
      <c r="E1405" s="1">
        <v>1</v>
      </c>
      <c r="F1405" s="1" t="s">
        <v>3461</v>
      </c>
      <c r="G1405" s="1" t="s">
        <v>3457</v>
      </c>
      <c r="I1405" s="1" t="s">
        <v>82</v>
      </c>
      <c r="J1405" s="1" t="s">
        <v>3458</v>
      </c>
      <c r="L1405" s="2" t="s">
        <v>155</v>
      </c>
      <c r="V1405" s="4" t="s">
        <v>3459</v>
      </c>
      <c r="W1405" s="4" t="s">
        <v>3460</v>
      </c>
      <c r="AL1405" s="60" t="s">
        <v>30</v>
      </c>
      <c r="AQ1405" s="1"/>
    </row>
    <row r="1406" spans="1:43" ht="24" x14ac:dyDescent="0.2">
      <c r="A1406" s="1" t="s">
        <v>3452</v>
      </c>
      <c r="B1406" s="1" t="s">
        <v>3744</v>
      </c>
      <c r="C1406" s="1" t="s">
        <v>5721</v>
      </c>
      <c r="D1406" s="48">
        <v>82</v>
      </c>
      <c r="E1406" s="1">
        <v>1</v>
      </c>
      <c r="F1406" s="1" t="s">
        <v>3461</v>
      </c>
      <c r="G1406" s="1" t="s">
        <v>3745</v>
      </c>
      <c r="I1406" s="1" t="s">
        <v>82</v>
      </c>
      <c r="J1406" s="1" t="s">
        <v>3458</v>
      </c>
      <c r="L1406" s="2" t="s">
        <v>155</v>
      </c>
      <c r="V1406" s="4" t="s">
        <v>3746</v>
      </c>
      <c r="W1406" s="4" t="s">
        <v>2412</v>
      </c>
      <c r="AL1406" s="60" t="s">
        <v>30</v>
      </c>
      <c r="AQ1406" s="1"/>
    </row>
    <row r="1407" spans="1:43" ht="24" x14ac:dyDescent="0.2">
      <c r="A1407" s="1" t="s">
        <v>3452</v>
      </c>
      <c r="B1407" s="1" t="s">
        <v>3580</v>
      </c>
      <c r="C1407" s="1" t="s">
        <v>5721</v>
      </c>
      <c r="D1407" s="48">
        <v>83</v>
      </c>
      <c r="E1407" s="1">
        <v>1</v>
      </c>
      <c r="F1407" s="1" t="s">
        <v>3461</v>
      </c>
      <c r="G1407" s="1" t="s">
        <v>3581</v>
      </c>
      <c r="I1407" s="1" t="s">
        <v>82</v>
      </c>
      <c r="J1407" s="1" t="s">
        <v>3458</v>
      </c>
      <c r="L1407" s="2" t="s">
        <v>155</v>
      </c>
      <c r="V1407" s="4" t="s">
        <v>3582</v>
      </c>
      <c r="W1407" s="4" t="s">
        <v>3583</v>
      </c>
      <c r="AL1407" s="60" t="s">
        <v>30</v>
      </c>
      <c r="AQ1407" s="1"/>
    </row>
    <row r="1408" spans="1:43" ht="36" x14ac:dyDescent="0.2">
      <c r="A1408" s="1" t="s">
        <v>3452</v>
      </c>
      <c r="B1408" s="1" t="s">
        <v>3715</v>
      </c>
      <c r="C1408" s="1" t="s">
        <v>5721</v>
      </c>
      <c r="D1408" s="48">
        <v>84</v>
      </c>
      <c r="E1408" s="1">
        <v>1</v>
      </c>
      <c r="F1408" s="1" t="s">
        <v>3461</v>
      </c>
      <c r="G1408" s="1" t="s">
        <v>3716</v>
      </c>
      <c r="I1408" s="1" t="s">
        <v>82</v>
      </c>
      <c r="J1408" s="1" t="s">
        <v>3458</v>
      </c>
      <c r="L1408" s="2" t="s">
        <v>155</v>
      </c>
      <c r="V1408" s="4" t="s">
        <v>3717</v>
      </c>
      <c r="W1408" s="4" t="s">
        <v>3718</v>
      </c>
      <c r="AL1408" s="60" t="s">
        <v>30</v>
      </c>
      <c r="AQ1408" s="1"/>
    </row>
    <row r="1409" spans="1:43" ht="84" x14ac:dyDescent="0.2">
      <c r="A1409" s="1" t="s">
        <v>3452</v>
      </c>
      <c r="B1409" s="1" t="s">
        <v>3711</v>
      </c>
      <c r="C1409" s="1" t="s">
        <v>5721</v>
      </c>
      <c r="D1409" s="48">
        <v>85</v>
      </c>
      <c r="E1409" s="1">
        <v>1</v>
      </c>
      <c r="F1409" s="46"/>
      <c r="G1409" s="1" t="s">
        <v>3712</v>
      </c>
      <c r="H1409" s="1" t="s">
        <v>26</v>
      </c>
      <c r="I1409" s="1" t="s">
        <v>88</v>
      </c>
      <c r="K1409" s="1" t="s">
        <v>3713</v>
      </c>
      <c r="V1409" s="4" t="s">
        <v>3714</v>
      </c>
      <c r="AL1409" s="60" t="s">
        <v>30</v>
      </c>
      <c r="AQ1409" s="1"/>
    </row>
    <row r="1410" spans="1:43" ht="48" x14ac:dyDescent="0.2">
      <c r="A1410" s="121" t="s">
        <v>10683</v>
      </c>
      <c r="B1410" s="121" t="s">
        <v>10684</v>
      </c>
      <c r="C1410" s="121" t="s">
        <v>11009</v>
      </c>
      <c r="D1410" s="121">
        <v>1</v>
      </c>
      <c r="E1410" s="121">
        <v>1</v>
      </c>
      <c r="F1410" s="121"/>
      <c r="G1410" s="121" t="s">
        <v>241</v>
      </c>
      <c r="H1410" s="1" t="s">
        <v>26</v>
      </c>
      <c r="I1410" s="1" t="s">
        <v>27</v>
      </c>
      <c r="J1410" s="1" t="s">
        <v>3533</v>
      </c>
      <c r="K1410" s="4" t="s">
        <v>3534</v>
      </c>
      <c r="L1410" s="4"/>
      <c r="M1410" s="18">
        <v>0</v>
      </c>
      <c r="P1410" s="56">
        <v>2</v>
      </c>
      <c r="Q1410" s="57">
        <v>1</v>
      </c>
      <c r="R1410" s="58">
        <v>2</v>
      </c>
      <c r="S1410" s="59">
        <v>2</v>
      </c>
      <c r="V1410" s="4" t="s">
        <v>10685</v>
      </c>
      <c r="AP1410" s="1"/>
      <c r="AQ1410" s="1"/>
    </row>
    <row r="1411" spans="1:43" ht="48" x14ac:dyDescent="0.2">
      <c r="A1411" s="1" t="s">
        <v>10683</v>
      </c>
      <c r="B1411" s="1" t="s">
        <v>10686</v>
      </c>
      <c r="C1411" s="1" t="s">
        <v>11009</v>
      </c>
      <c r="D1411" s="1">
        <v>2</v>
      </c>
      <c r="E1411" s="1">
        <v>1</v>
      </c>
      <c r="G1411" s="1" t="s">
        <v>571</v>
      </c>
      <c r="H1411" s="1" t="s">
        <v>26</v>
      </c>
      <c r="I1411" s="1" t="s">
        <v>27</v>
      </c>
      <c r="J1411" s="1" t="s">
        <v>44</v>
      </c>
      <c r="K1411" s="4" t="s">
        <v>45</v>
      </c>
      <c r="L1411" s="4"/>
      <c r="M1411" s="18">
        <v>14</v>
      </c>
      <c r="P1411" s="56">
        <v>3</v>
      </c>
      <c r="Q1411" s="57">
        <v>3</v>
      </c>
      <c r="R1411" s="58">
        <v>3</v>
      </c>
      <c r="S1411" s="59">
        <v>5</v>
      </c>
      <c r="V1411" s="4" t="s">
        <v>10687</v>
      </c>
      <c r="AP1411" s="1"/>
      <c r="AQ1411" s="1"/>
    </row>
    <row r="1412" spans="1:43" ht="36" x14ac:dyDescent="0.2">
      <c r="A1412" s="1" t="s">
        <v>10683</v>
      </c>
      <c r="B1412" s="1" t="s">
        <v>10688</v>
      </c>
      <c r="C1412" s="1" t="s">
        <v>11009</v>
      </c>
      <c r="D1412" s="1">
        <v>3</v>
      </c>
      <c r="E1412" s="1">
        <v>3</v>
      </c>
      <c r="G1412" s="1" t="s">
        <v>10689</v>
      </c>
      <c r="H1412" s="1" t="s">
        <v>26</v>
      </c>
      <c r="I1412" s="1" t="s">
        <v>38</v>
      </c>
      <c r="J1412" s="1" t="s">
        <v>28</v>
      </c>
      <c r="K1412" s="4" t="s">
        <v>3088</v>
      </c>
      <c r="L1412" s="4" t="s">
        <v>10690</v>
      </c>
      <c r="M1412" s="18">
        <v>3</v>
      </c>
      <c r="P1412" s="56">
        <v>3</v>
      </c>
      <c r="Q1412" s="57">
        <v>0</v>
      </c>
      <c r="R1412" s="58">
        <v>0</v>
      </c>
      <c r="S1412" s="59">
        <v>3</v>
      </c>
      <c r="V1412" s="4" t="s">
        <v>10691</v>
      </c>
      <c r="AP1412" s="1"/>
      <c r="AQ1412" s="1"/>
    </row>
    <row r="1413" spans="1:43" ht="48" x14ac:dyDescent="0.2">
      <c r="A1413" s="1" t="s">
        <v>10683</v>
      </c>
      <c r="B1413" s="1" t="s">
        <v>10692</v>
      </c>
      <c r="C1413" s="1" t="s">
        <v>11009</v>
      </c>
      <c r="D1413" s="1">
        <v>4</v>
      </c>
      <c r="E1413" s="1">
        <v>3</v>
      </c>
      <c r="G1413" s="1" t="s">
        <v>2417</v>
      </c>
      <c r="H1413" s="1" t="s">
        <v>26</v>
      </c>
      <c r="I1413" s="1" t="s">
        <v>38</v>
      </c>
      <c r="J1413" s="1" t="s">
        <v>50</v>
      </c>
      <c r="K1413" s="4" t="s">
        <v>159</v>
      </c>
      <c r="L1413" s="4"/>
      <c r="M1413" s="18">
        <v>4</v>
      </c>
      <c r="P1413" s="56">
        <v>1</v>
      </c>
      <c r="Q1413" s="57">
        <v>3</v>
      </c>
      <c r="R1413" s="58">
        <v>1</v>
      </c>
      <c r="S1413" s="59">
        <v>4</v>
      </c>
      <c r="V1413" s="4" t="s">
        <v>10693</v>
      </c>
      <c r="AP1413" s="1"/>
      <c r="AQ1413" s="1"/>
    </row>
    <row r="1414" spans="1:43" ht="24" x14ac:dyDescent="0.2">
      <c r="A1414" s="1" t="s">
        <v>10683</v>
      </c>
      <c r="B1414" s="1" t="s">
        <v>10694</v>
      </c>
      <c r="C1414" s="1" t="s">
        <v>11009</v>
      </c>
      <c r="D1414" s="1">
        <v>5</v>
      </c>
      <c r="E1414" s="1">
        <v>3</v>
      </c>
      <c r="G1414" s="1" t="s">
        <v>3087</v>
      </c>
      <c r="H1414" s="1" t="s">
        <v>26</v>
      </c>
      <c r="I1414" s="1" t="s">
        <v>38</v>
      </c>
      <c r="J1414" s="1" t="s">
        <v>39</v>
      </c>
      <c r="K1414" s="4" t="s">
        <v>3088</v>
      </c>
      <c r="L1414" s="4" t="s">
        <v>10695</v>
      </c>
      <c r="M1414" s="18">
        <v>3</v>
      </c>
      <c r="P1414" s="56">
        <v>3</v>
      </c>
      <c r="Q1414" s="57">
        <v>2</v>
      </c>
      <c r="R1414" s="58">
        <v>3</v>
      </c>
      <c r="S1414" s="59">
        <v>3</v>
      </c>
      <c r="V1414" s="4" t="s">
        <v>10696</v>
      </c>
      <c r="AP1414" s="1"/>
      <c r="AQ1414" s="1"/>
    </row>
    <row r="1415" spans="1:43" ht="24" x14ac:dyDescent="0.2">
      <c r="A1415" s="1" t="s">
        <v>10683</v>
      </c>
      <c r="B1415" s="1" t="s">
        <v>10697</v>
      </c>
      <c r="C1415" s="1" t="s">
        <v>11009</v>
      </c>
      <c r="D1415" s="1">
        <v>6</v>
      </c>
      <c r="E1415" s="1">
        <v>3</v>
      </c>
      <c r="G1415" s="1" t="s">
        <v>4112</v>
      </c>
      <c r="H1415" s="1" t="s">
        <v>26</v>
      </c>
      <c r="I1415" s="1" t="s">
        <v>38</v>
      </c>
      <c r="J1415" s="1" t="s">
        <v>57</v>
      </c>
      <c r="K1415" s="4" t="s">
        <v>242</v>
      </c>
      <c r="L1415" s="4"/>
      <c r="M1415" s="18">
        <v>2</v>
      </c>
      <c r="P1415" s="56">
        <v>2</v>
      </c>
      <c r="Q1415" s="57">
        <v>0</v>
      </c>
      <c r="R1415" s="58">
        <v>0</v>
      </c>
      <c r="S1415" s="59">
        <v>2</v>
      </c>
      <c r="V1415" s="4" t="s">
        <v>10698</v>
      </c>
      <c r="AP1415" s="1"/>
      <c r="AQ1415" s="1"/>
    </row>
    <row r="1416" spans="1:43" ht="48" x14ac:dyDescent="0.2">
      <c r="A1416" s="1" t="s">
        <v>10683</v>
      </c>
      <c r="B1416" s="1" t="s">
        <v>10699</v>
      </c>
      <c r="C1416" s="1" t="s">
        <v>11009</v>
      </c>
      <c r="D1416" s="1">
        <v>7</v>
      </c>
      <c r="E1416" s="1">
        <v>3</v>
      </c>
      <c r="G1416" s="1" t="s">
        <v>10700</v>
      </c>
      <c r="I1416" s="1" t="s">
        <v>63</v>
      </c>
      <c r="J1416" s="1" t="s">
        <v>44</v>
      </c>
      <c r="K1416" s="4" t="s">
        <v>5385</v>
      </c>
      <c r="L1416" s="4"/>
      <c r="M1416" s="18">
        <v>1</v>
      </c>
      <c r="U1416" s="1">
        <v>1</v>
      </c>
      <c r="V1416" s="4" t="s">
        <v>10701</v>
      </c>
      <c r="AP1416" s="1"/>
      <c r="AQ1416" s="1"/>
    </row>
    <row r="1417" spans="1:43" ht="36" x14ac:dyDescent="0.2">
      <c r="A1417" s="1" t="s">
        <v>10683</v>
      </c>
      <c r="B1417" s="1" t="s">
        <v>10702</v>
      </c>
      <c r="C1417" s="1" t="s">
        <v>11009</v>
      </c>
      <c r="D1417" s="1">
        <v>8</v>
      </c>
      <c r="E1417" s="1">
        <v>3</v>
      </c>
      <c r="G1417" s="1" t="s">
        <v>10703</v>
      </c>
      <c r="H1417" s="1" t="s">
        <v>26</v>
      </c>
      <c r="I1417" s="1" t="s">
        <v>56</v>
      </c>
      <c r="J1417" s="1" t="s">
        <v>44</v>
      </c>
      <c r="K1417" s="4" t="s">
        <v>10704</v>
      </c>
      <c r="L1417" s="4" t="s">
        <v>10705</v>
      </c>
      <c r="M1417" s="18">
        <v>2</v>
      </c>
      <c r="V1417" s="4" t="s">
        <v>10706</v>
      </c>
      <c r="AP1417" s="1"/>
      <c r="AQ1417" s="1"/>
    </row>
    <row r="1418" spans="1:43" ht="24" x14ac:dyDescent="0.2">
      <c r="A1418" s="1" t="s">
        <v>10683</v>
      </c>
      <c r="B1418" s="1" t="s">
        <v>10707</v>
      </c>
      <c r="C1418" s="1" t="s">
        <v>11009</v>
      </c>
      <c r="D1418" s="1">
        <v>9</v>
      </c>
      <c r="E1418" s="1">
        <v>3</v>
      </c>
      <c r="G1418" s="1" t="s">
        <v>10708</v>
      </c>
      <c r="I1418" s="1" t="s">
        <v>56</v>
      </c>
      <c r="J1418" s="1" t="s">
        <v>44</v>
      </c>
      <c r="K1418" s="4" t="s">
        <v>3682</v>
      </c>
      <c r="L1418" s="4" t="s">
        <v>10709</v>
      </c>
      <c r="M1418" s="18">
        <v>1</v>
      </c>
      <c r="V1418" s="4" t="s">
        <v>10710</v>
      </c>
      <c r="AP1418" s="1"/>
      <c r="AQ1418" s="1"/>
    </row>
    <row r="1419" spans="1:43" ht="48" x14ac:dyDescent="0.2">
      <c r="A1419" s="1" t="s">
        <v>10683</v>
      </c>
      <c r="B1419" s="1" t="s">
        <v>10711</v>
      </c>
      <c r="C1419" s="1" t="s">
        <v>11009</v>
      </c>
      <c r="D1419" s="1">
        <v>10</v>
      </c>
      <c r="E1419" s="1">
        <v>3</v>
      </c>
      <c r="G1419" s="1" t="s">
        <v>10712</v>
      </c>
      <c r="H1419" s="1" t="s">
        <v>26</v>
      </c>
      <c r="I1419" s="1" t="s">
        <v>56</v>
      </c>
      <c r="J1419" s="1" t="s">
        <v>3533</v>
      </c>
      <c r="K1419" s="4" t="s">
        <v>10713</v>
      </c>
      <c r="L1419" s="4" t="s">
        <v>10714</v>
      </c>
      <c r="M1419" s="18">
        <v>2</v>
      </c>
      <c r="V1419" s="4" t="s">
        <v>10715</v>
      </c>
      <c r="AP1419" s="1"/>
      <c r="AQ1419" s="1"/>
    </row>
    <row r="1420" spans="1:43" ht="60" x14ac:dyDescent="0.2">
      <c r="A1420" s="1" t="s">
        <v>10683</v>
      </c>
      <c r="B1420" s="1" t="s">
        <v>10716</v>
      </c>
      <c r="C1420" s="1" t="s">
        <v>11009</v>
      </c>
      <c r="D1420" s="1">
        <v>11</v>
      </c>
      <c r="E1420" s="1">
        <v>1</v>
      </c>
      <c r="G1420" s="1" t="s">
        <v>4511</v>
      </c>
      <c r="H1420" s="1" t="s">
        <v>26</v>
      </c>
      <c r="I1420" s="1" t="s">
        <v>56</v>
      </c>
      <c r="J1420" s="1" t="s">
        <v>3498</v>
      </c>
      <c r="K1420" s="4" t="s">
        <v>3565</v>
      </c>
      <c r="L1420" s="4" t="s">
        <v>10717</v>
      </c>
      <c r="M1420" s="18">
        <v>2</v>
      </c>
      <c r="V1420" s="4" t="s">
        <v>10718</v>
      </c>
      <c r="X1420" s="1" t="s">
        <v>1681</v>
      </c>
      <c r="AP1420" s="1"/>
      <c r="AQ1420" s="1"/>
    </row>
    <row r="1421" spans="1:43" x14ac:dyDescent="0.2">
      <c r="A1421" s="1" t="s">
        <v>10683</v>
      </c>
      <c r="B1421" s="1" t="s">
        <v>10719</v>
      </c>
      <c r="C1421" s="1" t="s">
        <v>11009</v>
      </c>
      <c r="D1421" s="1">
        <v>12</v>
      </c>
      <c r="E1421" s="1">
        <v>1</v>
      </c>
      <c r="G1421" s="1" t="s">
        <v>4049</v>
      </c>
      <c r="H1421" s="1" t="s">
        <v>26</v>
      </c>
      <c r="I1421" s="1" t="s">
        <v>56</v>
      </c>
      <c r="J1421" s="1" t="s">
        <v>3498</v>
      </c>
      <c r="K1421" s="4" t="s">
        <v>10720</v>
      </c>
      <c r="L1421" s="4" t="s">
        <v>10714</v>
      </c>
      <c r="M1421" s="18">
        <v>1</v>
      </c>
      <c r="V1421" s="4" t="s">
        <v>4053</v>
      </c>
      <c r="X1421" s="1" t="s">
        <v>1681</v>
      </c>
      <c r="AP1421" s="1"/>
      <c r="AQ1421" s="1"/>
    </row>
    <row r="1422" spans="1:43" ht="36" x14ac:dyDescent="0.2">
      <c r="A1422" s="1" t="s">
        <v>10683</v>
      </c>
      <c r="B1422" s="1" t="s">
        <v>10721</v>
      </c>
      <c r="C1422" s="1" t="s">
        <v>11009</v>
      </c>
      <c r="D1422" s="1">
        <v>13</v>
      </c>
      <c r="E1422" s="1">
        <v>1</v>
      </c>
      <c r="G1422" s="1" t="s">
        <v>4398</v>
      </c>
      <c r="H1422" s="1" t="s">
        <v>26</v>
      </c>
      <c r="I1422" s="1" t="s">
        <v>56</v>
      </c>
      <c r="J1422" s="1" t="s">
        <v>3498</v>
      </c>
      <c r="K1422" s="4" t="s">
        <v>3565</v>
      </c>
      <c r="L1422" s="4" t="s">
        <v>10722</v>
      </c>
      <c r="M1422" s="18">
        <v>2</v>
      </c>
      <c r="V1422" s="4" t="s">
        <v>10723</v>
      </c>
      <c r="X1422" s="1" t="s">
        <v>1681</v>
      </c>
      <c r="AP1422" s="1"/>
      <c r="AQ1422" s="1"/>
    </row>
    <row r="1423" spans="1:43" ht="60" x14ac:dyDescent="0.2">
      <c r="A1423" s="1" t="s">
        <v>10683</v>
      </c>
      <c r="B1423" s="1" t="s">
        <v>10724</v>
      </c>
      <c r="C1423" s="1" t="s">
        <v>11009</v>
      </c>
      <c r="D1423" s="1">
        <v>14</v>
      </c>
      <c r="E1423" s="1">
        <v>1</v>
      </c>
      <c r="G1423" s="1" t="s">
        <v>10725</v>
      </c>
      <c r="H1423" s="1" t="s">
        <v>26</v>
      </c>
      <c r="I1423" s="1" t="s">
        <v>56</v>
      </c>
      <c r="J1423" s="1" t="s">
        <v>3498</v>
      </c>
      <c r="K1423" s="4" t="s">
        <v>3565</v>
      </c>
      <c r="L1423" s="4" t="s">
        <v>10726</v>
      </c>
      <c r="M1423" s="18">
        <v>3</v>
      </c>
      <c r="V1423" s="4" t="s">
        <v>10727</v>
      </c>
      <c r="X1423" s="1" t="s">
        <v>1681</v>
      </c>
      <c r="AP1423" s="1"/>
      <c r="AQ1423" s="1"/>
    </row>
    <row r="1424" spans="1:43" ht="36" x14ac:dyDescent="0.2">
      <c r="A1424" s="1" t="s">
        <v>10683</v>
      </c>
      <c r="B1424" s="1" t="s">
        <v>10728</v>
      </c>
      <c r="C1424" s="1" t="s">
        <v>11009</v>
      </c>
      <c r="D1424" s="1">
        <v>15</v>
      </c>
      <c r="E1424" s="1">
        <v>1</v>
      </c>
      <c r="G1424" s="1" t="s">
        <v>10729</v>
      </c>
      <c r="H1424" s="1" t="s">
        <v>26</v>
      </c>
      <c r="I1424" s="1" t="s">
        <v>56</v>
      </c>
      <c r="J1424" s="1" t="s">
        <v>3498</v>
      </c>
      <c r="K1424" s="4" t="s">
        <v>10730</v>
      </c>
      <c r="L1424" s="4" t="s">
        <v>10731</v>
      </c>
      <c r="M1424" s="18">
        <v>0</v>
      </c>
      <c r="U1424" s="1">
        <v>3</v>
      </c>
      <c r="V1424" s="4" t="s">
        <v>10732</v>
      </c>
      <c r="X1424" s="1" t="s">
        <v>1681</v>
      </c>
      <c r="AP1424" s="1"/>
      <c r="AQ1424" s="1"/>
    </row>
    <row r="1425" spans="1:43" ht="36" x14ac:dyDescent="0.2">
      <c r="A1425" s="1" t="s">
        <v>10683</v>
      </c>
      <c r="B1425" s="1" t="s">
        <v>10733</v>
      </c>
      <c r="C1425" s="1" t="s">
        <v>11009</v>
      </c>
      <c r="D1425" s="1">
        <v>16</v>
      </c>
      <c r="E1425" s="1">
        <v>1</v>
      </c>
      <c r="G1425" s="1" t="s">
        <v>10734</v>
      </c>
      <c r="H1425" s="1" t="s">
        <v>26</v>
      </c>
      <c r="I1425" s="1" t="s">
        <v>56</v>
      </c>
      <c r="J1425" s="1" t="s">
        <v>3498</v>
      </c>
      <c r="K1425" s="4" t="s">
        <v>10730</v>
      </c>
      <c r="L1425" s="4" t="s">
        <v>10731</v>
      </c>
      <c r="M1425" s="18">
        <v>0</v>
      </c>
      <c r="U1425" s="1">
        <v>3</v>
      </c>
      <c r="V1425" s="4" t="s">
        <v>10735</v>
      </c>
      <c r="X1425" s="1" t="s">
        <v>1681</v>
      </c>
      <c r="AP1425" s="1"/>
      <c r="AQ1425" s="1"/>
    </row>
    <row r="1426" spans="1:43" ht="36" x14ac:dyDescent="0.2">
      <c r="A1426" s="1" t="s">
        <v>10683</v>
      </c>
      <c r="B1426" s="1" t="s">
        <v>10736</v>
      </c>
      <c r="C1426" s="1" t="s">
        <v>11009</v>
      </c>
      <c r="D1426" s="1">
        <v>17</v>
      </c>
      <c r="E1426" s="1">
        <v>1</v>
      </c>
      <c r="G1426" s="1" t="s">
        <v>10737</v>
      </c>
      <c r="H1426" s="1" t="s">
        <v>26</v>
      </c>
      <c r="I1426" s="1" t="s">
        <v>56</v>
      </c>
      <c r="J1426" s="1" t="s">
        <v>3498</v>
      </c>
      <c r="K1426" s="4" t="s">
        <v>10730</v>
      </c>
      <c r="L1426" s="4" t="s">
        <v>10731</v>
      </c>
      <c r="M1426" s="18">
        <v>0</v>
      </c>
      <c r="U1426" s="1">
        <v>3</v>
      </c>
      <c r="V1426" s="4" t="s">
        <v>10738</v>
      </c>
      <c r="X1426" s="1" t="s">
        <v>1681</v>
      </c>
      <c r="AP1426" s="1"/>
      <c r="AQ1426" s="1"/>
    </row>
    <row r="1427" spans="1:43" ht="24" x14ac:dyDescent="0.2">
      <c r="A1427" s="1" t="s">
        <v>10683</v>
      </c>
      <c r="B1427" s="1" t="s">
        <v>10739</v>
      </c>
      <c r="C1427" s="1" t="s">
        <v>11009</v>
      </c>
      <c r="D1427" s="1">
        <v>18</v>
      </c>
      <c r="E1427" s="1">
        <v>1</v>
      </c>
      <c r="G1427" s="1" t="s">
        <v>10740</v>
      </c>
      <c r="H1427" s="1" t="s">
        <v>26</v>
      </c>
      <c r="I1427" s="1" t="s">
        <v>56</v>
      </c>
      <c r="J1427" s="1" t="s">
        <v>3498</v>
      </c>
      <c r="K1427" s="4" t="s">
        <v>10730</v>
      </c>
      <c r="L1427" s="4" t="s">
        <v>10731</v>
      </c>
      <c r="M1427" s="18">
        <v>0</v>
      </c>
      <c r="U1427" s="1">
        <v>3</v>
      </c>
      <c r="V1427" s="4" t="s">
        <v>10741</v>
      </c>
      <c r="X1427" s="1" t="s">
        <v>1681</v>
      </c>
      <c r="AP1427" s="1"/>
      <c r="AQ1427" s="1"/>
    </row>
    <row r="1428" spans="1:43" ht="60" x14ac:dyDescent="0.2">
      <c r="A1428" s="111" t="s">
        <v>10683</v>
      </c>
      <c r="B1428" s="111" t="s">
        <v>10742</v>
      </c>
      <c r="C1428" s="111" t="s">
        <v>11009</v>
      </c>
      <c r="D1428" s="111">
        <v>19</v>
      </c>
      <c r="E1428" s="111">
        <v>1</v>
      </c>
      <c r="F1428" s="111" t="s">
        <v>10743</v>
      </c>
      <c r="G1428" s="111" t="s">
        <v>10744</v>
      </c>
      <c r="I1428" s="1" t="s">
        <v>3482</v>
      </c>
      <c r="K1428" s="4"/>
      <c r="L1428" s="4" t="s">
        <v>3483</v>
      </c>
      <c r="V1428" s="4" t="s">
        <v>10745</v>
      </c>
      <c r="X1428" s="137" t="s">
        <v>10746</v>
      </c>
      <c r="Y1428" s="1" t="s">
        <v>10744</v>
      </c>
      <c r="AA1428" s="1" t="s">
        <v>3482</v>
      </c>
      <c r="AN1428" s="4" t="s">
        <v>10747</v>
      </c>
      <c r="AP1428" s="1"/>
      <c r="AQ1428" s="1"/>
    </row>
    <row r="1429" spans="1:43" ht="72" x14ac:dyDescent="0.2">
      <c r="A1429" s="1" t="s">
        <v>10683</v>
      </c>
      <c r="B1429" s="1" t="s">
        <v>10748</v>
      </c>
      <c r="C1429" s="1" t="s">
        <v>11009</v>
      </c>
      <c r="D1429" s="1">
        <v>20</v>
      </c>
      <c r="E1429" s="1">
        <v>1</v>
      </c>
      <c r="F1429" s="1" t="s">
        <v>10744</v>
      </c>
      <c r="G1429" s="1" t="s">
        <v>10749</v>
      </c>
      <c r="I1429" s="1" t="s">
        <v>125</v>
      </c>
      <c r="K1429" s="4"/>
      <c r="L1429" s="4"/>
      <c r="M1429" s="18">
        <v>1</v>
      </c>
      <c r="N1429" s="54" t="s">
        <v>9529</v>
      </c>
      <c r="V1429" s="4" t="s">
        <v>10750</v>
      </c>
      <c r="X1429" s="1" t="s">
        <v>4334</v>
      </c>
      <c r="Y1429" s="1" t="s">
        <v>10749</v>
      </c>
      <c r="AA1429" s="1" t="s">
        <v>125</v>
      </c>
      <c r="AE1429" s="1">
        <v>1</v>
      </c>
      <c r="AF1429" s="54" t="s">
        <v>9530</v>
      </c>
      <c r="AL1429" s="60" t="s">
        <v>8130</v>
      </c>
      <c r="AN1429" s="4" t="s">
        <v>10751</v>
      </c>
      <c r="AP1429" s="1"/>
      <c r="AQ1429" s="1"/>
    </row>
    <row r="1430" spans="1:43" ht="48" x14ac:dyDescent="0.2">
      <c r="A1430" s="1" t="s">
        <v>10683</v>
      </c>
      <c r="B1430" s="50" t="s">
        <v>10752</v>
      </c>
      <c r="C1430" s="1" t="s">
        <v>11009</v>
      </c>
      <c r="D1430" s="1">
        <v>21</v>
      </c>
      <c r="E1430" s="1">
        <v>1</v>
      </c>
      <c r="F1430" s="1" t="s">
        <v>10744</v>
      </c>
      <c r="G1430" s="1" t="s">
        <v>10753</v>
      </c>
      <c r="I1430" s="1" t="s">
        <v>125</v>
      </c>
      <c r="K1430" s="4"/>
      <c r="L1430" s="4"/>
      <c r="M1430" s="18">
        <v>2</v>
      </c>
      <c r="N1430" s="54" t="s">
        <v>9529</v>
      </c>
      <c r="V1430" s="4" t="s">
        <v>10754</v>
      </c>
      <c r="Y1430" s="1" t="s">
        <v>10753</v>
      </c>
      <c r="AA1430" s="1" t="s">
        <v>125</v>
      </c>
      <c r="AE1430" s="1">
        <v>2</v>
      </c>
      <c r="AF1430" s="54" t="s">
        <v>9530</v>
      </c>
      <c r="AL1430" s="60">
        <v>8</v>
      </c>
      <c r="AN1430" s="4" t="s">
        <v>10755</v>
      </c>
      <c r="AP1430" s="1"/>
      <c r="AQ1430" s="1"/>
    </row>
    <row r="1431" spans="1:43" ht="60" x14ac:dyDescent="0.2">
      <c r="A1431" s="1" t="s">
        <v>10683</v>
      </c>
      <c r="B1431" s="1" t="s">
        <v>10756</v>
      </c>
      <c r="C1431" s="1" t="s">
        <v>11009</v>
      </c>
      <c r="D1431" s="1">
        <v>22</v>
      </c>
      <c r="E1431" s="1">
        <v>1</v>
      </c>
      <c r="F1431" s="1" t="s">
        <v>10744</v>
      </c>
      <c r="G1431" s="1" t="s">
        <v>10757</v>
      </c>
      <c r="I1431" s="1" t="s">
        <v>125</v>
      </c>
      <c r="K1431" s="4"/>
      <c r="L1431" s="4"/>
      <c r="M1431" s="18">
        <v>3</v>
      </c>
      <c r="N1431" s="54" t="s">
        <v>9529</v>
      </c>
      <c r="V1431" s="4" t="s">
        <v>10758</v>
      </c>
      <c r="Y1431" s="1" t="s">
        <v>10757</v>
      </c>
      <c r="AA1431" s="1" t="s">
        <v>125</v>
      </c>
      <c r="AE1431" s="1">
        <v>3</v>
      </c>
      <c r="AF1431" s="54" t="s">
        <v>9530</v>
      </c>
      <c r="AL1431" s="60">
        <v>12</v>
      </c>
      <c r="AN1431" s="4" t="s">
        <v>10759</v>
      </c>
      <c r="AP1431" s="1"/>
      <c r="AQ1431" s="1"/>
    </row>
    <row r="1432" spans="1:43" ht="72" x14ac:dyDescent="0.2">
      <c r="A1432" s="1" t="s">
        <v>10683</v>
      </c>
      <c r="B1432" s="50" t="s">
        <v>10760</v>
      </c>
      <c r="C1432" s="1" t="s">
        <v>11009</v>
      </c>
      <c r="D1432" s="1">
        <v>23</v>
      </c>
      <c r="E1432" s="1">
        <v>1</v>
      </c>
      <c r="F1432" s="1" t="s">
        <v>10744</v>
      </c>
      <c r="G1432" s="1" t="s">
        <v>10761</v>
      </c>
      <c r="I1432" s="1" t="s">
        <v>125</v>
      </c>
      <c r="K1432" s="4"/>
      <c r="L1432" s="4"/>
      <c r="M1432" s="18">
        <v>4</v>
      </c>
      <c r="N1432" s="54" t="s">
        <v>9529</v>
      </c>
      <c r="V1432" s="4" t="s">
        <v>10762</v>
      </c>
      <c r="Y1432" s="1" t="s">
        <v>10761</v>
      </c>
      <c r="AA1432" s="1" t="s">
        <v>125</v>
      </c>
      <c r="AE1432" s="1">
        <v>4</v>
      </c>
      <c r="AF1432" s="54" t="s">
        <v>9530</v>
      </c>
      <c r="AL1432" s="60" t="s">
        <v>8130</v>
      </c>
      <c r="AN1432" s="4" t="s">
        <v>10763</v>
      </c>
      <c r="AP1432" s="1"/>
      <c r="AQ1432" s="1"/>
    </row>
    <row r="1433" spans="1:43" ht="48" x14ac:dyDescent="0.2">
      <c r="A1433" s="1" t="s">
        <v>10683</v>
      </c>
      <c r="B1433" s="1" t="s">
        <v>10764</v>
      </c>
      <c r="C1433" s="1" t="s">
        <v>11009</v>
      </c>
      <c r="D1433" s="1">
        <v>24</v>
      </c>
      <c r="E1433" s="1">
        <v>1</v>
      </c>
      <c r="F1433" s="1" t="s">
        <v>10744</v>
      </c>
      <c r="G1433" s="1" t="s">
        <v>10765</v>
      </c>
      <c r="H1433" s="1" t="s">
        <v>26</v>
      </c>
      <c r="I1433" s="1" t="s">
        <v>94</v>
      </c>
      <c r="K1433" s="4" t="s">
        <v>95</v>
      </c>
      <c r="L1433" s="4" t="s">
        <v>10766</v>
      </c>
      <c r="N1433" s="54">
        <v>50</v>
      </c>
      <c r="O1433" s="55">
        <v>5</v>
      </c>
      <c r="Q1433" s="57">
        <v>6</v>
      </c>
      <c r="R1433" s="58">
        <v>5</v>
      </c>
      <c r="S1433" s="59">
        <v>12</v>
      </c>
      <c r="V1433" s="4" t="s">
        <v>10767</v>
      </c>
      <c r="AP1433" s="1"/>
      <c r="AQ1433" s="1"/>
    </row>
    <row r="1434" spans="1:43" ht="36" x14ac:dyDescent="0.2">
      <c r="A1434" s="1" t="s">
        <v>10683</v>
      </c>
      <c r="B1434" s="1" t="s">
        <v>10768</v>
      </c>
      <c r="C1434" s="1" t="s">
        <v>11009</v>
      </c>
      <c r="D1434" s="1">
        <v>25</v>
      </c>
      <c r="E1434" s="1">
        <v>1</v>
      </c>
      <c r="F1434" s="1" t="s">
        <v>10744</v>
      </c>
      <c r="G1434" s="1" t="s">
        <v>10769</v>
      </c>
      <c r="H1434" s="1" t="s">
        <v>26</v>
      </c>
      <c r="I1434" s="1" t="s">
        <v>94</v>
      </c>
      <c r="K1434" s="4" t="s">
        <v>10770</v>
      </c>
      <c r="L1434" s="4" t="s">
        <v>3504</v>
      </c>
      <c r="N1434" s="54">
        <v>30</v>
      </c>
      <c r="O1434" s="55">
        <v>4</v>
      </c>
      <c r="Q1434" s="57">
        <v>5</v>
      </c>
      <c r="R1434" s="58">
        <v>3</v>
      </c>
      <c r="S1434" s="59">
        <v>6</v>
      </c>
      <c r="V1434" s="4" t="s">
        <v>10771</v>
      </c>
      <c r="AP1434" s="1"/>
      <c r="AQ1434" s="1"/>
    </row>
    <row r="1435" spans="1:43" ht="24" x14ac:dyDescent="0.2">
      <c r="A1435" s="1" t="s">
        <v>10683</v>
      </c>
      <c r="B1435" s="1" t="s">
        <v>10772</v>
      </c>
      <c r="C1435" s="1" t="s">
        <v>11009</v>
      </c>
      <c r="D1435" s="1">
        <v>26</v>
      </c>
      <c r="E1435" s="1">
        <v>4</v>
      </c>
      <c r="F1435" s="1" t="s">
        <v>10744</v>
      </c>
      <c r="G1435" s="1" t="s">
        <v>10773</v>
      </c>
      <c r="I1435" s="1" t="s">
        <v>94</v>
      </c>
      <c r="K1435" s="4" t="s">
        <v>10770</v>
      </c>
      <c r="L1435" s="4" t="s">
        <v>155</v>
      </c>
      <c r="N1435" s="54">
        <v>50</v>
      </c>
      <c r="O1435" s="55">
        <v>1</v>
      </c>
      <c r="Q1435" s="57">
        <v>4</v>
      </c>
      <c r="R1435" s="58">
        <v>1</v>
      </c>
      <c r="S1435" s="59">
        <v>3</v>
      </c>
      <c r="V1435" s="4" t="s">
        <v>10774</v>
      </c>
      <c r="W1435" s="4" t="s">
        <v>10775</v>
      </c>
      <c r="AP1435" s="1"/>
      <c r="AQ1435" s="1"/>
    </row>
    <row r="1436" spans="1:43" ht="24" x14ac:dyDescent="0.2">
      <c r="A1436" s="1" t="s">
        <v>10683</v>
      </c>
      <c r="B1436" s="1" t="s">
        <v>10776</v>
      </c>
      <c r="C1436" s="1" t="s">
        <v>11009</v>
      </c>
      <c r="D1436" s="1">
        <v>27</v>
      </c>
      <c r="E1436" s="1">
        <v>4</v>
      </c>
      <c r="F1436" s="1" t="s">
        <v>10744</v>
      </c>
      <c r="G1436" s="1" t="s">
        <v>10777</v>
      </c>
      <c r="I1436" s="1" t="s">
        <v>94</v>
      </c>
      <c r="K1436" s="4" t="s">
        <v>10770</v>
      </c>
      <c r="L1436" s="4"/>
      <c r="N1436" s="54">
        <v>38</v>
      </c>
      <c r="O1436" s="55">
        <v>2</v>
      </c>
      <c r="Q1436" s="57">
        <v>3</v>
      </c>
      <c r="R1436" s="58">
        <v>2</v>
      </c>
      <c r="S1436" s="59">
        <v>4</v>
      </c>
      <c r="V1436" s="4" t="s">
        <v>10778</v>
      </c>
      <c r="W1436" s="4" t="s">
        <v>10779</v>
      </c>
      <c r="AP1436" s="1"/>
      <c r="AQ1436" s="1"/>
    </row>
    <row r="1437" spans="1:43" ht="48" x14ac:dyDescent="0.2">
      <c r="A1437" s="1" t="s">
        <v>10683</v>
      </c>
      <c r="B1437" s="1" t="s">
        <v>10780</v>
      </c>
      <c r="C1437" s="1" t="s">
        <v>11009</v>
      </c>
      <c r="D1437" s="1">
        <v>28</v>
      </c>
      <c r="E1437" s="1">
        <v>2</v>
      </c>
      <c r="F1437" s="1" t="s">
        <v>10744</v>
      </c>
      <c r="G1437" s="1" t="s">
        <v>10781</v>
      </c>
      <c r="I1437" s="1" t="s">
        <v>94</v>
      </c>
      <c r="K1437" s="4" t="s">
        <v>95</v>
      </c>
      <c r="L1437" s="4" t="s">
        <v>3636</v>
      </c>
      <c r="N1437" s="54">
        <v>28</v>
      </c>
      <c r="O1437" s="55">
        <v>3</v>
      </c>
      <c r="Q1437" s="57">
        <v>1</v>
      </c>
      <c r="R1437" s="58">
        <v>1</v>
      </c>
      <c r="S1437" s="59">
        <v>2</v>
      </c>
      <c r="V1437" s="4" t="s">
        <v>10782</v>
      </c>
      <c r="AP1437" s="1"/>
      <c r="AQ1437" s="1"/>
    </row>
    <row r="1438" spans="1:43" ht="36" x14ac:dyDescent="0.2">
      <c r="A1438" s="1" t="s">
        <v>10683</v>
      </c>
      <c r="B1438" s="1" t="s">
        <v>10783</v>
      </c>
      <c r="C1438" s="1" t="s">
        <v>11009</v>
      </c>
      <c r="D1438" s="1">
        <v>29</v>
      </c>
      <c r="E1438" s="1">
        <v>1</v>
      </c>
      <c r="F1438" s="1" t="s">
        <v>10744</v>
      </c>
      <c r="G1438" s="1" t="s">
        <v>10784</v>
      </c>
      <c r="H1438" s="1" t="s">
        <v>26</v>
      </c>
      <c r="I1438" s="1" t="s">
        <v>104</v>
      </c>
      <c r="K1438" s="4" t="s">
        <v>1178</v>
      </c>
      <c r="L1438" s="4" t="s">
        <v>331</v>
      </c>
      <c r="O1438" s="55">
        <v>4</v>
      </c>
      <c r="T1438" s="60">
        <v>6</v>
      </c>
      <c r="U1438" s="1">
        <v>1</v>
      </c>
      <c r="V1438" s="4" t="s">
        <v>10785</v>
      </c>
      <c r="AP1438" s="1"/>
      <c r="AQ1438" s="1"/>
    </row>
    <row r="1439" spans="1:43" ht="60" x14ac:dyDescent="0.2">
      <c r="A1439" s="1" t="s">
        <v>10683</v>
      </c>
      <c r="B1439" s="1" t="s">
        <v>10786</v>
      </c>
      <c r="C1439" s="1" t="s">
        <v>11009</v>
      </c>
      <c r="D1439" s="1">
        <v>30</v>
      </c>
      <c r="E1439" s="1">
        <v>1</v>
      </c>
      <c r="F1439" s="1" t="s">
        <v>10744</v>
      </c>
      <c r="G1439" s="1" t="s">
        <v>5250</v>
      </c>
      <c r="H1439" s="1" t="s">
        <v>26</v>
      </c>
      <c r="I1439" s="1" t="s">
        <v>104</v>
      </c>
      <c r="K1439" s="4" t="s">
        <v>2756</v>
      </c>
      <c r="L1439" s="4" t="s">
        <v>331</v>
      </c>
      <c r="O1439" s="55">
        <v>1</v>
      </c>
      <c r="T1439" s="60">
        <v>9</v>
      </c>
      <c r="V1439" s="4" t="s">
        <v>10787</v>
      </c>
      <c r="AP1439" s="1"/>
      <c r="AQ1439" s="1"/>
    </row>
    <row r="1440" spans="1:43" ht="24" x14ac:dyDescent="0.2">
      <c r="A1440" s="1" t="s">
        <v>10683</v>
      </c>
      <c r="B1440" s="1" t="s">
        <v>10788</v>
      </c>
      <c r="C1440" s="1" t="s">
        <v>11009</v>
      </c>
      <c r="D1440" s="1">
        <v>31</v>
      </c>
      <c r="E1440" s="1">
        <v>1</v>
      </c>
      <c r="F1440" s="1" t="s">
        <v>10744</v>
      </c>
      <c r="G1440" s="1" t="s">
        <v>10789</v>
      </c>
      <c r="I1440" s="1" t="s">
        <v>104</v>
      </c>
      <c r="K1440" s="4" t="s">
        <v>1217</v>
      </c>
      <c r="L1440" s="4" t="s">
        <v>10790</v>
      </c>
      <c r="O1440" s="55">
        <v>3</v>
      </c>
      <c r="T1440" s="60">
        <v>6</v>
      </c>
      <c r="V1440" s="4" t="s">
        <v>10791</v>
      </c>
      <c r="AP1440" s="1"/>
      <c r="AQ1440" s="1"/>
    </row>
    <row r="1441" spans="1:43" ht="60" x14ac:dyDescent="0.2">
      <c r="A1441" s="1" t="s">
        <v>10683</v>
      </c>
      <c r="B1441" s="1" t="s">
        <v>10792</v>
      </c>
      <c r="C1441" s="1" t="s">
        <v>11009</v>
      </c>
      <c r="D1441" s="1">
        <v>32</v>
      </c>
      <c r="E1441" s="1">
        <v>3</v>
      </c>
      <c r="F1441" s="1" t="s">
        <v>10744</v>
      </c>
      <c r="G1441" s="1" t="s">
        <v>10793</v>
      </c>
      <c r="I1441" s="1" t="s">
        <v>104</v>
      </c>
      <c r="K1441" s="4" t="s">
        <v>1217</v>
      </c>
      <c r="L1441" s="4"/>
      <c r="O1441" s="55">
        <v>2</v>
      </c>
      <c r="T1441" s="60">
        <v>4</v>
      </c>
      <c r="V1441" s="4" t="s">
        <v>10794</v>
      </c>
      <c r="AP1441" s="1"/>
      <c r="AQ1441" s="1"/>
    </row>
    <row r="1442" spans="1:43" ht="84" x14ac:dyDescent="0.2">
      <c r="A1442" s="1" t="s">
        <v>10683</v>
      </c>
      <c r="B1442" s="1" t="s">
        <v>10795</v>
      </c>
      <c r="C1442" s="1" t="s">
        <v>11009</v>
      </c>
      <c r="D1442" s="1">
        <v>33</v>
      </c>
      <c r="E1442" s="1">
        <v>3</v>
      </c>
      <c r="F1442" s="1" t="s">
        <v>10744</v>
      </c>
      <c r="G1442" s="1" t="s">
        <v>10796</v>
      </c>
      <c r="I1442" s="1" t="s">
        <v>104</v>
      </c>
      <c r="K1442" s="4" t="s">
        <v>1217</v>
      </c>
      <c r="L1442" s="4"/>
      <c r="O1442" s="55">
        <v>4</v>
      </c>
      <c r="T1442" s="60">
        <v>5</v>
      </c>
      <c r="V1442" s="4" t="s">
        <v>10797</v>
      </c>
      <c r="AP1442" s="1"/>
      <c r="AQ1442" s="1"/>
    </row>
    <row r="1443" spans="1:43" ht="24" x14ac:dyDescent="0.2">
      <c r="A1443" s="1" t="s">
        <v>10683</v>
      </c>
      <c r="B1443" s="1" t="s">
        <v>10798</v>
      </c>
      <c r="C1443" s="1" t="s">
        <v>11009</v>
      </c>
      <c r="D1443" s="1">
        <v>34</v>
      </c>
      <c r="E1443" s="1">
        <v>3</v>
      </c>
      <c r="F1443" s="1" t="s">
        <v>10744</v>
      </c>
      <c r="G1443" s="1" t="s">
        <v>10799</v>
      </c>
      <c r="I1443" s="1" t="s">
        <v>104</v>
      </c>
      <c r="K1443" s="4" t="s">
        <v>1217</v>
      </c>
      <c r="L1443" s="4"/>
      <c r="O1443" s="55">
        <v>3</v>
      </c>
      <c r="T1443" s="60">
        <v>4</v>
      </c>
      <c r="V1443" s="4" t="s">
        <v>10800</v>
      </c>
      <c r="W1443" s="4" t="s">
        <v>10801</v>
      </c>
      <c r="AP1443" s="1"/>
      <c r="AQ1443" s="1"/>
    </row>
    <row r="1444" spans="1:43" ht="24" x14ac:dyDescent="0.2">
      <c r="A1444" s="1" t="s">
        <v>10683</v>
      </c>
      <c r="B1444" s="1" t="s">
        <v>10802</v>
      </c>
      <c r="C1444" s="1" t="s">
        <v>11009</v>
      </c>
      <c r="D1444" s="1">
        <v>35</v>
      </c>
      <c r="E1444" s="1">
        <v>2</v>
      </c>
      <c r="F1444" s="1" t="s">
        <v>10744</v>
      </c>
      <c r="G1444" s="1" t="s">
        <v>10803</v>
      </c>
      <c r="I1444" s="1" t="s">
        <v>82</v>
      </c>
      <c r="K1444" s="4"/>
      <c r="L1444" s="4"/>
      <c r="V1444" s="4" t="s">
        <v>10804</v>
      </c>
      <c r="W1444" s="4" t="s">
        <v>10805</v>
      </c>
      <c r="AP1444" s="1"/>
      <c r="AQ1444" s="1"/>
    </row>
    <row r="1445" spans="1:43" ht="48" x14ac:dyDescent="0.2">
      <c r="A1445" s="1" t="s">
        <v>10683</v>
      </c>
      <c r="B1445" s="1" t="s">
        <v>10806</v>
      </c>
      <c r="C1445" s="1" t="s">
        <v>11009</v>
      </c>
      <c r="D1445" s="1">
        <v>36</v>
      </c>
      <c r="E1445" s="1">
        <v>2</v>
      </c>
      <c r="F1445" s="1" t="s">
        <v>10744</v>
      </c>
      <c r="G1445" s="1" t="s">
        <v>9600</v>
      </c>
      <c r="I1445" s="1" t="s">
        <v>82</v>
      </c>
      <c r="K1445" s="4" t="s">
        <v>10807</v>
      </c>
      <c r="L1445" s="4"/>
      <c r="V1445" s="4" t="s">
        <v>10808</v>
      </c>
      <c r="AP1445" s="1"/>
      <c r="AQ1445" s="1"/>
    </row>
    <row r="1446" spans="1:43" ht="24" x14ac:dyDescent="0.2">
      <c r="A1446" s="1" t="s">
        <v>10683</v>
      </c>
      <c r="B1446" s="1" t="s">
        <v>10809</v>
      </c>
      <c r="C1446" s="1" t="s">
        <v>11009</v>
      </c>
      <c r="D1446" s="1">
        <v>37</v>
      </c>
      <c r="E1446" s="1">
        <v>2</v>
      </c>
      <c r="F1446" s="1" t="s">
        <v>10744</v>
      </c>
      <c r="G1446" s="1" t="s">
        <v>2141</v>
      </c>
      <c r="I1446" s="1" t="s">
        <v>82</v>
      </c>
      <c r="K1446" s="4" t="s">
        <v>10807</v>
      </c>
      <c r="L1446" s="4"/>
      <c r="V1446" s="4" t="s">
        <v>10810</v>
      </c>
      <c r="W1446" s="4" t="s">
        <v>3638</v>
      </c>
      <c r="AP1446" s="1"/>
      <c r="AQ1446" s="1"/>
    </row>
    <row r="1447" spans="1:43" ht="48" x14ac:dyDescent="0.2">
      <c r="A1447" s="1" t="s">
        <v>10683</v>
      </c>
      <c r="B1447" s="1" t="s">
        <v>10811</v>
      </c>
      <c r="C1447" s="1" t="s">
        <v>11009</v>
      </c>
      <c r="D1447" s="1">
        <v>38</v>
      </c>
      <c r="E1447" s="1">
        <v>3</v>
      </c>
      <c r="F1447" s="1" t="s">
        <v>10744</v>
      </c>
      <c r="G1447" s="1" t="s">
        <v>10812</v>
      </c>
      <c r="I1447" s="1" t="s">
        <v>82</v>
      </c>
      <c r="K1447" s="4"/>
      <c r="L1447" s="4" t="s">
        <v>3636</v>
      </c>
      <c r="V1447" s="4" t="s">
        <v>10813</v>
      </c>
      <c r="AP1447" s="1"/>
      <c r="AQ1447" s="1"/>
    </row>
    <row r="1448" spans="1:43" ht="60" x14ac:dyDescent="0.2">
      <c r="A1448" s="111" t="s">
        <v>10683</v>
      </c>
      <c r="B1448" s="111" t="s">
        <v>10814</v>
      </c>
      <c r="C1448" s="111" t="s">
        <v>11009</v>
      </c>
      <c r="D1448" s="111">
        <v>39</v>
      </c>
      <c r="E1448" s="111">
        <v>1</v>
      </c>
      <c r="F1448" s="111" t="s">
        <v>10815</v>
      </c>
      <c r="G1448" s="111" t="s">
        <v>10816</v>
      </c>
      <c r="I1448" s="1" t="s">
        <v>3482</v>
      </c>
      <c r="K1448" s="4"/>
      <c r="L1448" s="4" t="s">
        <v>3483</v>
      </c>
      <c r="V1448" s="4" t="s">
        <v>10817</v>
      </c>
      <c r="X1448" s="137" t="s">
        <v>3526</v>
      </c>
      <c r="Y1448" s="1" t="s">
        <v>10816</v>
      </c>
      <c r="AA1448" s="1" t="s">
        <v>3482</v>
      </c>
      <c r="AN1448" s="4" t="s">
        <v>10818</v>
      </c>
      <c r="AP1448" s="1"/>
      <c r="AQ1448" s="1"/>
    </row>
    <row r="1449" spans="1:43" ht="48" x14ac:dyDescent="0.2">
      <c r="A1449" s="1" t="s">
        <v>10683</v>
      </c>
      <c r="B1449" s="1" t="s">
        <v>10819</v>
      </c>
      <c r="C1449" s="1" t="s">
        <v>11009</v>
      </c>
      <c r="D1449" s="1">
        <v>40</v>
      </c>
      <c r="E1449" s="1">
        <v>1</v>
      </c>
      <c r="F1449" s="1" t="s">
        <v>10816</v>
      </c>
      <c r="G1449" s="1" t="s">
        <v>10820</v>
      </c>
      <c r="I1449" s="1" t="s">
        <v>125</v>
      </c>
      <c r="K1449" s="4"/>
      <c r="L1449" s="4"/>
      <c r="M1449" s="18">
        <v>1</v>
      </c>
      <c r="N1449" s="54" t="s">
        <v>9529</v>
      </c>
      <c r="V1449" s="4" t="s">
        <v>10821</v>
      </c>
      <c r="X1449" s="1" t="s">
        <v>10822</v>
      </c>
      <c r="Y1449" s="1" t="s">
        <v>10820</v>
      </c>
      <c r="AA1449" s="1" t="s">
        <v>125</v>
      </c>
      <c r="AE1449" s="1">
        <v>1</v>
      </c>
      <c r="AF1449" s="54" t="s">
        <v>9530</v>
      </c>
      <c r="AL1449" s="60">
        <v>14</v>
      </c>
      <c r="AN1449" s="4" t="s">
        <v>10823</v>
      </c>
      <c r="AP1449" s="1"/>
      <c r="AQ1449" s="1"/>
    </row>
    <row r="1450" spans="1:43" ht="84" x14ac:dyDescent="0.2">
      <c r="A1450" s="1" t="s">
        <v>10683</v>
      </c>
      <c r="B1450" s="1" t="s">
        <v>10824</v>
      </c>
      <c r="C1450" s="1" t="s">
        <v>11009</v>
      </c>
      <c r="D1450" s="1">
        <v>41</v>
      </c>
      <c r="E1450" s="1">
        <v>1</v>
      </c>
      <c r="F1450" s="1" t="s">
        <v>10816</v>
      </c>
      <c r="G1450" s="1" t="s">
        <v>10825</v>
      </c>
      <c r="I1450" s="1" t="s">
        <v>125</v>
      </c>
      <c r="K1450" s="4"/>
      <c r="L1450" s="4"/>
      <c r="M1450" s="18">
        <v>2</v>
      </c>
      <c r="N1450" s="54" t="s">
        <v>9529</v>
      </c>
      <c r="V1450" s="4" t="s">
        <v>10826</v>
      </c>
      <c r="Y1450" s="1" t="s">
        <v>10825</v>
      </c>
      <c r="AA1450" s="1" t="s">
        <v>125</v>
      </c>
      <c r="AE1450" s="1">
        <v>2</v>
      </c>
      <c r="AF1450" s="54" t="s">
        <v>9530</v>
      </c>
      <c r="AL1450" s="60">
        <v>9</v>
      </c>
      <c r="AN1450" s="4" t="s">
        <v>10827</v>
      </c>
      <c r="AP1450" s="1"/>
      <c r="AQ1450" s="1"/>
    </row>
    <row r="1451" spans="1:43" ht="48" x14ac:dyDescent="0.2">
      <c r="A1451" s="1" t="s">
        <v>10683</v>
      </c>
      <c r="B1451" s="1" t="s">
        <v>10828</v>
      </c>
      <c r="C1451" s="1" t="s">
        <v>11009</v>
      </c>
      <c r="D1451" s="1">
        <v>42</v>
      </c>
      <c r="E1451" s="1">
        <v>1</v>
      </c>
      <c r="F1451" s="1" t="s">
        <v>10816</v>
      </c>
      <c r="G1451" s="1" t="s">
        <v>10829</v>
      </c>
      <c r="I1451" s="1" t="s">
        <v>125</v>
      </c>
      <c r="K1451" s="4"/>
      <c r="L1451" s="4"/>
      <c r="M1451" s="18">
        <v>3</v>
      </c>
      <c r="N1451" s="54" t="s">
        <v>9529</v>
      </c>
      <c r="V1451" s="4" t="s">
        <v>10830</v>
      </c>
      <c r="Y1451" s="1" t="s">
        <v>10831</v>
      </c>
      <c r="AA1451" s="1" t="s">
        <v>125</v>
      </c>
      <c r="AE1451" s="1">
        <v>3</v>
      </c>
      <c r="AF1451" s="54" t="s">
        <v>9530</v>
      </c>
      <c r="AL1451" s="60">
        <v>15</v>
      </c>
      <c r="AN1451" s="4" t="s">
        <v>10832</v>
      </c>
      <c r="AP1451" s="1"/>
      <c r="AQ1451" s="1"/>
    </row>
    <row r="1452" spans="1:43" ht="72" x14ac:dyDescent="0.2">
      <c r="A1452" s="1" t="s">
        <v>10683</v>
      </c>
      <c r="B1452" s="1" t="s">
        <v>10833</v>
      </c>
      <c r="C1452" s="1" t="s">
        <v>11009</v>
      </c>
      <c r="D1452" s="1">
        <v>43</v>
      </c>
      <c r="E1452" s="1">
        <v>1</v>
      </c>
      <c r="F1452" s="1" t="s">
        <v>10816</v>
      </c>
      <c r="G1452" s="1" t="s">
        <v>10834</v>
      </c>
      <c r="I1452" s="1" t="s">
        <v>88</v>
      </c>
      <c r="K1452" s="4" t="s">
        <v>10835</v>
      </c>
      <c r="L1452" s="4"/>
      <c r="V1452" s="4" t="s">
        <v>10836</v>
      </c>
      <c r="AP1452" s="1"/>
      <c r="AQ1452" s="1"/>
    </row>
    <row r="1453" spans="1:43" ht="48" x14ac:dyDescent="0.2">
      <c r="A1453" s="1" t="s">
        <v>10683</v>
      </c>
      <c r="B1453" s="1" t="s">
        <v>10837</v>
      </c>
      <c r="C1453" s="1" t="s">
        <v>11009</v>
      </c>
      <c r="D1453" s="1">
        <v>44</v>
      </c>
      <c r="E1453" s="1">
        <v>1</v>
      </c>
      <c r="F1453" s="1" t="s">
        <v>10816</v>
      </c>
      <c r="G1453" s="1" t="s">
        <v>10838</v>
      </c>
      <c r="H1453" s="1" t="s">
        <v>26</v>
      </c>
      <c r="I1453" s="1" t="s">
        <v>94</v>
      </c>
      <c r="K1453" s="4" t="s">
        <v>10839</v>
      </c>
      <c r="L1453" s="4" t="s">
        <v>10840</v>
      </c>
      <c r="N1453" s="54">
        <v>50</v>
      </c>
      <c r="O1453" s="55">
        <v>5</v>
      </c>
      <c r="Q1453" s="57">
        <v>8</v>
      </c>
      <c r="R1453" s="58">
        <v>9</v>
      </c>
      <c r="S1453" s="59">
        <v>25</v>
      </c>
      <c r="U1453" s="1">
        <v>50</v>
      </c>
      <c r="V1453" s="4" t="s">
        <v>10841</v>
      </c>
      <c r="AP1453" s="1"/>
      <c r="AQ1453" s="1"/>
    </row>
    <row r="1454" spans="1:43" ht="24" x14ac:dyDescent="0.2">
      <c r="A1454" s="1" t="s">
        <v>10683</v>
      </c>
      <c r="B1454" s="1" t="s">
        <v>10842</v>
      </c>
      <c r="C1454" s="1" t="s">
        <v>11009</v>
      </c>
      <c r="D1454" s="1">
        <v>45</v>
      </c>
      <c r="E1454" s="1">
        <v>1</v>
      </c>
      <c r="F1454" s="1" t="s">
        <v>10816</v>
      </c>
      <c r="G1454" s="1" t="s">
        <v>10843</v>
      </c>
      <c r="I1454" s="1" t="s">
        <v>94</v>
      </c>
      <c r="K1454" s="4" t="s">
        <v>2266</v>
      </c>
      <c r="L1454" s="4" t="s">
        <v>10844</v>
      </c>
      <c r="N1454" s="54">
        <v>40</v>
      </c>
      <c r="O1454" s="55">
        <v>4</v>
      </c>
      <c r="Q1454" s="57">
        <v>4</v>
      </c>
      <c r="R1454" s="58">
        <v>3</v>
      </c>
      <c r="S1454" s="59">
        <v>6</v>
      </c>
      <c r="V1454" s="4" t="s">
        <v>10845</v>
      </c>
      <c r="AP1454" s="1"/>
      <c r="AQ1454" s="1"/>
    </row>
    <row r="1455" spans="1:43" ht="36" x14ac:dyDescent="0.2">
      <c r="A1455" s="1" t="s">
        <v>10683</v>
      </c>
      <c r="B1455" s="1" t="s">
        <v>10846</v>
      </c>
      <c r="C1455" s="1" t="s">
        <v>11009</v>
      </c>
      <c r="D1455" s="1">
        <v>46</v>
      </c>
      <c r="E1455" s="1">
        <v>2</v>
      </c>
      <c r="F1455" s="1" t="s">
        <v>10816</v>
      </c>
      <c r="G1455" s="1" t="s">
        <v>2804</v>
      </c>
      <c r="I1455" s="1" t="s">
        <v>94</v>
      </c>
      <c r="K1455" s="4" t="s">
        <v>287</v>
      </c>
      <c r="L1455" s="4" t="s">
        <v>3504</v>
      </c>
      <c r="N1455" s="54">
        <v>36</v>
      </c>
      <c r="O1455" s="55">
        <v>3</v>
      </c>
      <c r="Q1455" s="57">
        <v>6</v>
      </c>
      <c r="R1455" s="58">
        <v>4</v>
      </c>
      <c r="S1455" s="59">
        <v>6</v>
      </c>
      <c r="V1455" s="4" t="s">
        <v>10847</v>
      </c>
      <c r="AP1455" s="1"/>
      <c r="AQ1455" s="1"/>
    </row>
    <row r="1456" spans="1:43" ht="24" x14ac:dyDescent="0.2">
      <c r="A1456" s="1" t="s">
        <v>10683</v>
      </c>
      <c r="B1456" s="1" t="s">
        <v>10848</v>
      </c>
      <c r="C1456" s="1" t="s">
        <v>11009</v>
      </c>
      <c r="D1456" s="1">
        <v>47</v>
      </c>
      <c r="E1456" s="1">
        <v>3</v>
      </c>
      <c r="F1456" s="1" t="s">
        <v>10816</v>
      </c>
      <c r="G1456" s="1" t="s">
        <v>10849</v>
      </c>
      <c r="I1456" s="1" t="s">
        <v>94</v>
      </c>
      <c r="K1456" s="4" t="s">
        <v>2266</v>
      </c>
      <c r="L1456" s="4"/>
      <c r="N1456" s="54">
        <v>34</v>
      </c>
      <c r="O1456" s="55">
        <v>2</v>
      </c>
      <c r="Q1456" s="57">
        <v>4</v>
      </c>
      <c r="R1456" s="58">
        <v>2</v>
      </c>
      <c r="S1456" s="59">
        <v>5</v>
      </c>
      <c r="V1456" s="4" t="s">
        <v>10850</v>
      </c>
      <c r="W1456" s="4" t="s">
        <v>10851</v>
      </c>
      <c r="AP1456" s="1"/>
      <c r="AQ1456" s="1"/>
    </row>
    <row r="1457" spans="1:43" ht="24" x14ac:dyDescent="0.2">
      <c r="A1457" s="1" t="s">
        <v>10683</v>
      </c>
      <c r="B1457" s="1" t="s">
        <v>10852</v>
      </c>
      <c r="C1457" s="1" t="s">
        <v>11009</v>
      </c>
      <c r="D1457" s="1">
        <v>48</v>
      </c>
      <c r="E1457" s="1">
        <v>3</v>
      </c>
      <c r="F1457" s="1" t="s">
        <v>10816</v>
      </c>
      <c r="G1457" s="1" t="s">
        <v>10853</v>
      </c>
      <c r="I1457" s="1" t="s">
        <v>94</v>
      </c>
      <c r="K1457" s="4" t="s">
        <v>944</v>
      </c>
      <c r="L1457" s="4"/>
      <c r="N1457" s="54">
        <v>38</v>
      </c>
      <c r="O1457" s="55">
        <v>2</v>
      </c>
      <c r="Q1457" s="57">
        <v>3</v>
      </c>
      <c r="R1457" s="58">
        <v>1</v>
      </c>
      <c r="S1457" s="59">
        <v>3</v>
      </c>
      <c r="V1457" s="4" t="s">
        <v>10854</v>
      </c>
      <c r="W1457" s="4" t="s">
        <v>10855</v>
      </c>
      <c r="AP1457" s="1"/>
      <c r="AQ1457" s="1"/>
    </row>
    <row r="1458" spans="1:43" ht="36" x14ac:dyDescent="0.2">
      <c r="A1458" s="1" t="s">
        <v>10683</v>
      </c>
      <c r="B1458" s="1" t="s">
        <v>10856</v>
      </c>
      <c r="C1458" s="1" t="s">
        <v>11009</v>
      </c>
      <c r="D1458" s="1">
        <v>49</v>
      </c>
      <c r="E1458" s="1">
        <v>3</v>
      </c>
      <c r="F1458" s="1" t="s">
        <v>10816</v>
      </c>
      <c r="G1458" s="1" t="s">
        <v>10857</v>
      </c>
      <c r="I1458" s="1" t="s">
        <v>94</v>
      </c>
      <c r="K1458" s="4" t="s">
        <v>944</v>
      </c>
      <c r="L1458" s="4" t="s">
        <v>10858</v>
      </c>
      <c r="N1458" s="54">
        <v>42</v>
      </c>
      <c r="O1458" s="55" t="s">
        <v>113</v>
      </c>
      <c r="Q1458" s="57">
        <v>3</v>
      </c>
      <c r="R1458" s="58">
        <v>3</v>
      </c>
      <c r="S1458" s="59">
        <v>3</v>
      </c>
      <c r="V1458" s="4" t="s">
        <v>10859</v>
      </c>
      <c r="AP1458" s="1"/>
      <c r="AQ1458" s="1"/>
    </row>
    <row r="1459" spans="1:43" ht="48" x14ac:dyDescent="0.2">
      <c r="A1459" s="1" t="s">
        <v>10683</v>
      </c>
      <c r="B1459" s="1" t="s">
        <v>10860</v>
      </c>
      <c r="C1459" s="1" t="s">
        <v>11009</v>
      </c>
      <c r="D1459" s="1">
        <v>50</v>
      </c>
      <c r="E1459" s="1">
        <v>1</v>
      </c>
      <c r="F1459" s="1" t="s">
        <v>10816</v>
      </c>
      <c r="G1459" s="1" t="s">
        <v>10861</v>
      </c>
      <c r="H1459" s="1" t="s">
        <v>26</v>
      </c>
      <c r="I1459" s="1" t="s">
        <v>104</v>
      </c>
      <c r="K1459" s="4" t="s">
        <v>2706</v>
      </c>
      <c r="L1459" s="4" t="s">
        <v>331</v>
      </c>
      <c r="O1459" s="55">
        <v>5</v>
      </c>
      <c r="T1459" s="60">
        <v>5</v>
      </c>
      <c r="U1459" s="1">
        <v>5</v>
      </c>
      <c r="V1459" s="4" t="s">
        <v>10862</v>
      </c>
      <c r="AP1459" s="1"/>
      <c r="AQ1459" s="1"/>
    </row>
    <row r="1460" spans="1:43" ht="60" x14ac:dyDescent="0.2">
      <c r="A1460" s="1" t="s">
        <v>10683</v>
      </c>
      <c r="B1460" s="1" t="s">
        <v>10863</v>
      </c>
      <c r="C1460" s="1" t="s">
        <v>11009</v>
      </c>
      <c r="D1460" s="1">
        <v>51</v>
      </c>
      <c r="E1460" s="1">
        <v>1</v>
      </c>
      <c r="F1460" s="1" t="s">
        <v>10816</v>
      </c>
      <c r="G1460" s="1" t="s">
        <v>10864</v>
      </c>
      <c r="H1460" s="1" t="s">
        <v>26</v>
      </c>
      <c r="I1460" s="1" t="s">
        <v>104</v>
      </c>
      <c r="K1460" s="4" t="s">
        <v>1112</v>
      </c>
      <c r="L1460" s="4" t="s">
        <v>331</v>
      </c>
      <c r="O1460" s="55">
        <v>4</v>
      </c>
      <c r="T1460" s="60">
        <v>4</v>
      </c>
      <c r="U1460" s="1">
        <v>4</v>
      </c>
      <c r="V1460" s="4" t="s">
        <v>10865</v>
      </c>
      <c r="AP1460" s="1"/>
      <c r="AQ1460" s="1"/>
    </row>
    <row r="1461" spans="1:43" ht="36" x14ac:dyDescent="0.2">
      <c r="A1461" s="1" t="s">
        <v>10683</v>
      </c>
      <c r="B1461" s="1" t="s">
        <v>10866</v>
      </c>
      <c r="C1461" s="1" t="s">
        <v>11009</v>
      </c>
      <c r="D1461" s="1">
        <v>52</v>
      </c>
      <c r="E1461" s="1">
        <v>4</v>
      </c>
      <c r="F1461" s="1" t="s">
        <v>10816</v>
      </c>
      <c r="G1461" s="1" t="s">
        <v>10867</v>
      </c>
      <c r="I1461" s="1" t="s">
        <v>104</v>
      </c>
      <c r="K1461" s="4" t="s">
        <v>1112</v>
      </c>
      <c r="L1461" s="4"/>
      <c r="O1461" s="55">
        <v>2</v>
      </c>
      <c r="T1461" s="60">
        <v>4</v>
      </c>
      <c r="V1461" s="4" t="s">
        <v>10868</v>
      </c>
      <c r="W1461" s="4" t="s">
        <v>10869</v>
      </c>
      <c r="AP1461" s="1"/>
      <c r="AQ1461" s="1"/>
    </row>
    <row r="1462" spans="1:43" ht="24" x14ac:dyDescent="0.2">
      <c r="A1462" s="1" t="s">
        <v>10683</v>
      </c>
      <c r="B1462" s="1" t="s">
        <v>10870</v>
      </c>
      <c r="C1462" s="1" t="s">
        <v>11009</v>
      </c>
      <c r="D1462" s="1">
        <v>53</v>
      </c>
      <c r="E1462" s="1">
        <v>4</v>
      </c>
      <c r="F1462" s="1" t="s">
        <v>10816</v>
      </c>
      <c r="G1462" s="1" t="s">
        <v>10871</v>
      </c>
      <c r="I1462" s="1" t="s">
        <v>104</v>
      </c>
      <c r="K1462" s="4" t="s">
        <v>1112</v>
      </c>
      <c r="L1462" s="4"/>
      <c r="O1462" s="55">
        <v>1</v>
      </c>
      <c r="T1462" s="60">
        <v>6</v>
      </c>
      <c r="V1462" s="4" t="s">
        <v>10872</v>
      </c>
      <c r="W1462" s="4" t="s">
        <v>10873</v>
      </c>
      <c r="AP1462" s="1"/>
      <c r="AQ1462" s="1"/>
    </row>
    <row r="1463" spans="1:43" ht="36" x14ac:dyDescent="0.2">
      <c r="A1463" s="1" t="s">
        <v>10683</v>
      </c>
      <c r="B1463" s="1" t="s">
        <v>10874</v>
      </c>
      <c r="C1463" s="1" t="s">
        <v>11009</v>
      </c>
      <c r="D1463" s="1">
        <v>54</v>
      </c>
      <c r="E1463" s="1">
        <v>2</v>
      </c>
      <c r="F1463" s="1" t="s">
        <v>10816</v>
      </c>
      <c r="G1463" s="1" t="s">
        <v>10875</v>
      </c>
      <c r="I1463" s="1" t="s">
        <v>104</v>
      </c>
      <c r="K1463" s="4" t="s">
        <v>1112</v>
      </c>
      <c r="L1463" s="4"/>
      <c r="O1463" s="55">
        <v>4</v>
      </c>
      <c r="T1463" s="60">
        <v>2</v>
      </c>
      <c r="V1463" s="4" t="s">
        <v>10876</v>
      </c>
      <c r="AP1463" s="1"/>
      <c r="AQ1463" s="1"/>
    </row>
    <row r="1464" spans="1:43" ht="60" x14ac:dyDescent="0.2">
      <c r="A1464" s="1" t="s">
        <v>10683</v>
      </c>
      <c r="B1464" s="1" t="s">
        <v>10877</v>
      </c>
      <c r="C1464" s="1" t="s">
        <v>11009</v>
      </c>
      <c r="D1464" s="1">
        <v>55</v>
      </c>
      <c r="E1464" s="1">
        <v>2</v>
      </c>
      <c r="F1464" s="1" t="s">
        <v>10816</v>
      </c>
      <c r="G1464" s="1" t="s">
        <v>10878</v>
      </c>
      <c r="I1464" s="1" t="s">
        <v>104</v>
      </c>
      <c r="K1464" s="4" t="s">
        <v>1112</v>
      </c>
      <c r="L1464" s="4"/>
      <c r="O1464" s="55">
        <v>3</v>
      </c>
      <c r="T1464" s="60">
        <v>3</v>
      </c>
      <c r="V1464" s="4" t="s">
        <v>10879</v>
      </c>
      <c r="AP1464" s="1"/>
      <c r="AQ1464" s="1"/>
    </row>
    <row r="1465" spans="1:43" ht="48" x14ac:dyDescent="0.2">
      <c r="A1465" s="1" t="s">
        <v>10683</v>
      </c>
      <c r="B1465" s="1" t="s">
        <v>10880</v>
      </c>
      <c r="C1465" s="1" t="s">
        <v>11009</v>
      </c>
      <c r="D1465" s="1">
        <v>56</v>
      </c>
      <c r="E1465" s="1">
        <v>2</v>
      </c>
      <c r="F1465" s="1" t="s">
        <v>10816</v>
      </c>
      <c r="G1465" s="1" t="s">
        <v>10881</v>
      </c>
      <c r="I1465" s="1" t="s">
        <v>82</v>
      </c>
      <c r="K1465" s="4"/>
      <c r="L1465" s="4" t="s">
        <v>1233</v>
      </c>
      <c r="V1465" s="4" t="s">
        <v>10882</v>
      </c>
      <c r="AP1465" s="1"/>
      <c r="AQ1465" s="1"/>
    </row>
    <row r="1466" spans="1:43" ht="24" x14ac:dyDescent="0.2">
      <c r="A1466" s="1" t="s">
        <v>10683</v>
      </c>
      <c r="B1466" s="1" t="s">
        <v>10883</v>
      </c>
      <c r="C1466" s="1" t="s">
        <v>11009</v>
      </c>
      <c r="D1466" s="1">
        <v>57</v>
      </c>
      <c r="E1466" s="1">
        <v>3</v>
      </c>
      <c r="F1466" s="1" t="s">
        <v>10816</v>
      </c>
      <c r="G1466" s="1" t="s">
        <v>10884</v>
      </c>
      <c r="I1466" s="1" t="s">
        <v>82</v>
      </c>
      <c r="K1466" s="4"/>
      <c r="L1466" s="4"/>
      <c r="V1466" s="4" t="s">
        <v>10885</v>
      </c>
      <c r="W1466" s="4" t="s">
        <v>10886</v>
      </c>
      <c r="AP1466" s="1"/>
      <c r="AQ1466" s="1"/>
    </row>
    <row r="1467" spans="1:43" ht="36" x14ac:dyDescent="0.2">
      <c r="A1467" s="1" t="s">
        <v>10683</v>
      </c>
      <c r="B1467" s="1" t="s">
        <v>10887</v>
      </c>
      <c r="C1467" s="1" t="s">
        <v>11009</v>
      </c>
      <c r="D1467" s="1">
        <v>58</v>
      </c>
      <c r="E1467" s="1">
        <v>3</v>
      </c>
      <c r="F1467" s="1" t="s">
        <v>10816</v>
      </c>
      <c r="G1467" s="1" t="s">
        <v>10888</v>
      </c>
      <c r="I1467" s="1" t="s">
        <v>82</v>
      </c>
      <c r="K1467" s="4" t="s">
        <v>2713</v>
      </c>
      <c r="L1467" s="4" t="s">
        <v>3636</v>
      </c>
      <c r="V1467" s="4" t="s">
        <v>10889</v>
      </c>
      <c r="AP1467" s="1"/>
      <c r="AQ1467" s="1"/>
    </row>
    <row r="1468" spans="1:43" ht="24" x14ac:dyDescent="0.2">
      <c r="A1468" s="1" t="s">
        <v>10683</v>
      </c>
      <c r="B1468" s="1" t="s">
        <v>10890</v>
      </c>
      <c r="C1468" s="1" t="s">
        <v>11009</v>
      </c>
      <c r="D1468" s="1">
        <v>59</v>
      </c>
      <c r="E1468" s="1">
        <v>2</v>
      </c>
      <c r="F1468" s="1" t="s">
        <v>10816</v>
      </c>
      <c r="G1468" s="1" t="s">
        <v>10891</v>
      </c>
      <c r="I1468" s="1" t="s">
        <v>82</v>
      </c>
      <c r="K1468" s="4"/>
      <c r="L1468" s="4" t="s">
        <v>685</v>
      </c>
      <c r="V1468" s="4" t="s">
        <v>10892</v>
      </c>
      <c r="W1468" s="4" t="s">
        <v>10893</v>
      </c>
      <c r="AP1468" s="1"/>
      <c r="AQ1468" s="1"/>
    </row>
    <row r="1469" spans="1:43" ht="108" x14ac:dyDescent="0.2">
      <c r="A1469" s="111" t="s">
        <v>10683</v>
      </c>
      <c r="B1469" s="111" t="s">
        <v>10894</v>
      </c>
      <c r="C1469" s="111" t="s">
        <v>11009</v>
      </c>
      <c r="D1469" s="111">
        <v>60</v>
      </c>
      <c r="E1469" s="111">
        <v>1</v>
      </c>
      <c r="F1469" s="111" t="s">
        <v>10895</v>
      </c>
      <c r="G1469" s="111" t="s">
        <v>10896</v>
      </c>
      <c r="I1469" s="1" t="s">
        <v>3482</v>
      </c>
      <c r="K1469" s="4"/>
      <c r="L1469" s="4" t="s">
        <v>3483</v>
      </c>
      <c r="V1469" s="4" t="s">
        <v>10897</v>
      </c>
      <c r="X1469" s="137" t="s">
        <v>10898</v>
      </c>
      <c r="Y1469" s="1" t="s">
        <v>10896</v>
      </c>
      <c r="AA1469" s="1" t="s">
        <v>3482</v>
      </c>
      <c r="AN1469" s="4" t="s">
        <v>10899</v>
      </c>
      <c r="AP1469" s="1"/>
      <c r="AQ1469" s="1"/>
    </row>
    <row r="1470" spans="1:43" ht="36" x14ac:dyDescent="0.2">
      <c r="A1470" s="1" t="s">
        <v>10683</v>
      </c>
      <c r="B1470" s="1" t="s">
        <v>10900</v>
      </c>
      <c r="C1470" s="1" t="s">
        <v>11009</v>
      </c>
      <c r="D1470" s="1">
        <v>61</v>
      </c>
      <c r="E1470" s="1">
        <v>1</v>
      </c>
      <c r="F1470" s="1" t="s">
        <v>10896</v>
      </c>
      <c r="G1470" s="1" t="s">
        <v>10901</v>
      </c>
      <c r="I1470" s="1" t="s">
        <v>125</v>
      </c>
      <c r="K1470" s="4"/>
      <c r="L1470" s="4"/>
      <c r="M1470" s="18">
        <v>1</v>
      </c>
      <c r="N1470" s="54" t="s">
        <v>9529</v>
      </c>
      <c r="V1470" s="4" t="s">
        <v>10902</v>
      </c>
      <c r="X1470" s="1" t="s">
        <v>10903</v>
      </c>
      <c r="Y1470" s="1" t="s">
        <v>10901</v>
      </c>
      <c r="AA1470" s="1" t="s">
        <v>125</v>
      </c>
      <c r="AE1470" s="1">
        <v>1</v>
      </c>
      <c r="AF1470" s="54" t="s">
        <v>9530</v>
      </c>
      <c r="AL1470" s="60">
        <v>12</v>
      </c>
      <c r="AN1470" s="4" t="s">
        <v>10904</v>
      </c>
      <c r="AP1470" s="1"/>
      <c r="AQ1470" s="1"/>
    </row>
    <row r="1471" spans="1:43" ht="72" x14ac:dyDescent="0.2">
      <c r="A1471" s="1" t="s">
        <v>10683</v>
      </c>
      <c r="B1471" s="1" t="s">
        <v>10905</v>
      </c>
      <c r="C1471" s="1" t="s">
        <v>11009</v>
      </c>
      <c r="D1471" s="1">
        <v>62</v>
      </c>
      <c r="E1471" s="1">
        <v>1</v>
      </c>
      <c r="F1471" s="1" t="s">
        <v>10896</v>
      </c>
      <c r="G1471" s="1" t="s">
        <v>10906</v>
      </c>
      <c r="I1471" s="1" t="s">
        <v>125</v>
      </c>
      <c r="K1471" s="4"/>
      <c r="L1471" s="4"/>
      <c r="M1471" s="18">
        <v>2</v>
      </c>
      <c r="N1471" s="54" t="s">
        <v>9529</v>
      </c>
      <c r="V1471" s="4" t="s">
        <v>10907</v>
      </c>
      <c r="Y1471" s="1" t="s">
        <v>10906</v>
      </c>
      <c r="AA1471" s="1" t="s">
        <v>125</v>
      </c>
      <c r="AE1471" s="1">
        <v>2</v>
      </c>
      <c r="AF1471" s="54" t="s">
        <v>9530</v>
      </c>
      <c r="AL1471" s="60" t="s">
        <v>8130</v>
      </c>
      <c r="AN1471" s="4" t="s">
        <v>10908</v>
      </c>
      <c r="AP1471" s="1"/>
      <c r="AQ1471" s="1"/>
    </row>
    <row r="1472" spans="1:43" ht="84" x14ac:dyDescent="0.2">
      <c r="A1472" s="1" t="s">
        <v>10683</v>
      </c>
      <c r="B1472" s="1" t="s">
        <v>10909</v>
      </c>
      <c r="C1472" s="1" t="s">
        <v>11009</v>
      </c>
      <c r="D1472" s="1">
        <v>63</v>
      </c>
      <c r="E1472" s="1">
        <v>1</v>
      </c>
      <c r="F1472" s="1" t="s">
        <v>10896</v>
      </c>
      <c r="G1472" s="1" t="s">
        <v>10910</v>
      </c>
      <c r="I1472" s="1" t="s">
        <v>125</v>
      </c>
      <c r="K1472" s="4"/>
      <c r="L1472" s="4"/>
      <c r="M1472" s="18">
        <v>3</v>
      </c>
      <c r="N1472" s="54" t="s">
        <v>9529</v>
      </c>
      <c r="V1472" s="4" t="s">
        <v>10911</v>
      </c>
      <c r="Y1472" s="1" t="s">
        <v>10910</v>
      </c>
      <c r="AA1472" s="1" t="s">
        <v>125</v>
      </c>
      <c r="AE1472" s="1">
        <v>3</v>
      </c>
      <c r="AF1472" s="54" t="s">
        <v>9530</v>
      </c>
      <c r="AL1472" s="60" t="s">
        <v>8130</v>
      </c>
      <c r="AN1472" s="4" t="s">
        <v>10912</v>
      </c>
      <c r="AP1472" s="1"/>
      <c r="AQ1472" s="1"/>
    </row>
    <row r="1473" spans="1:43" ht="84" x14ac:dyDescent="0.2">
      <c r="A1473" s="1" t="s">
        <v>10683</v>
      </c>
      <c r="B1473" s="1" t="s">
        <v>10913</v>
      </c>
      <c r="C1473" s="1" t="s">
        <v>11009</v>
      </c>
      <c r="D1473" s="1">
        <v>64</v>
      </c>
      <c r="E1473" s="1">
        <v>1</v>
      </c>
      <c r="F1473" s="1" t="s">
        <v>10896</v>
      </c>
      <c r="G1473" s="1" t="s">
        <v>10914</v>
      </c>
      <c r="I1473" s="1" t="s">
        <v>125</v>
      </c>
      <c r="K1473" s="4"/>
      <c r="L1473" s="4"/>
      <c r="M1473" s="18">
        <v>3</v>
      </c>
      <c r="N1473" s="54" t="s">
        <v>9529</v>
      </c>
      <c r="V1473" s="4" t="s">
        <v>10911</v>
      </c>
      <c r="Y1473" s="1" t="s">
        <v>10914</v>
      </c>
      <c r="AA1473" s="1" t="s">
        <v>125</v>
      </c>
      <c r="AE1473" s="1">
        <v>3</v>
      </c>
      <c r="AF1473" s="54" t="s">
        <v>9530</v>
      </c>
      <c r="AL1473" s="60" t="s">
        <v>8130</v>
      </c>
      <c r="AN1473" s="4" t="s">
        <v>10915</v>
      </c>
      <c r="AP1473" s="1"/>
      <c r="AQ1473" s="1"/>
    </row>
    <row r="1474" spans="1:43" ht="84" x14ac:dyDescent="0.2">
      <c r="A1474" s="1" t="s">
        <v>10683</v>
      </c>
      <c r="B1474" s="1" t="s">
        <v>10916</v>
      </c>
      <c r="C1474" s="1" t="s">
        <v>11009</v>
      </c>
      <c r="D1474" s="1">
        <v>65</v>
      </c>
      <c r="E1474" s="1">
        <v>1</v>
      </c>
      <c r="F1474" s="1" t="s">
        <v>10896</v>
      </c>
      <c r="G1474" s="1" t="s">
        <v>10917</v>
      </c>
      <c r="I1474" s="1" t="s">
        <v>125</v>
      </c>
      <c r="K1474" s="4"/>
      <c r="L1474" s="4"/>
      <c r="M1474" s="18">
        <v>3</v>
      </c>
      <c r="N1474" s="54" t="s">
        <v>9529</v>
      </c>
      <c r="V1474" s="4" t="s">
        <v>10911</v>
      </c>
      <c r="Y1474" s="1" t="s">
        <v>10917</v>
      </c>
      <c r="AA1474" s="1" t="s">
        <v>125</v>
      </c>
      <c r="AE1474" s="1">
        <v>3</v>
      </c>
      <c r="AF1474" s="54" t="s">
        <v>9530</v>
      </c>
      <c r="AL1474" s="60" t="s">
        <v>8130</v>
      </c>
      <c r="AN1474" s="4" t="s">
        <v>10918</v>
      </c>
      <c r="AP1474" s="1"/>
      <c r="AQ1474" s="1"/>
    </row>
    <row r="1475" spans="1:43" ht="84" x14ac:dyDescent="0.2">
      <c r="A1475" s="1" t="s">
        <v>10683</v>
      </c>
      <c r="B1475" s="1" t="s">
        <v>10919</v>
      </c>
      <c r="C1475" s="1" t="s">
        <v>11009</v>
      </c>
      <c r="D1475" s="1">
        <v>66</v>
      </c>
      <c r="E1475" s="1">
        <v>1</v>
      </c>
      <c r="F1475" s="1" t="s">
        <v>10896</v>
      </c>
      <c r="G1475" s="1" t="s">
        <v>10920</v>
      </c>
      <c r="I1475" s="1" t="s">
        <v>125</v>
      </c>
      <c r="K1475" s="4"/>
      <c r="L1475" s="4"/>
      <c r="M1475" s="18">
        <v>3</v>
      </c>
      <c r="N1475" s="54" t="s">
        <v>9529</v>
      </c>
      <c r="V1475" s="4" t="s">
        <v>10911</v>
      </c>
      <c r="Y1475" s="1" t="s">
        <v>10920</v>
      </c>
      <c r="AA1475" s="1" t="s">
        <v>125</v>
      </c>
      <c r="AE1475" s="1">
        <v>3</v>
      </c>
      <c r="AF1475" s="54" t="s">
        <v>9530</v>
      </c>
      <c r="AL1475" s="60" t="s">
        <v>8130</v>
      </c>
      <c r="AN1475" s="4" t="s">
        <v>10921</v>
      </c>
      <c r="AP1475" s="1"/>
      <c r="AQ1475" s="1"/>
    </row>
    <row r="1476" spans="1:43" ht="84" x14ac:dyDescent="0.2">
      <c r="A1476" s="1" t="s">
        <v>10683</v>
      </c>
      <c r="B1476" s="1" t="s">
        <v>10922</v>
      </c>
      <c r="C1476" s="1" t="s">
        <v>11009</v>
      </c>
      <c r="D1476" s="1">
        <v>67</v>
      </c>
      <c r="E1476" s="1">
        <v>1</v>
      </c>
      <c r="F1476" s="1" t="s">
        <v>10896</v>
      </c>
      <c r="G1476" s="1" t="s">
        <v>10923</v>
      </c>
      <c r="I1476" s="1" t="s">
        <v>125</v>
      </c>
      <c r="K1476" s="4"/>
      <c r="L1476" s="4"/>
      <c r="M1476" s="18">
        <v>4</v>
      </c>
      <c r="N1476" s="54" t="s">
        <v>9529</v>
      </c>
      <c r="V1476" s="4" t="s">
        <v>10924</v>
      </c>
      <c r="Y1476" s="1" t="s">
        <v>10923</v>
      </c>
      <c r="AA1476" s="1" t="s">
        <v>125</v>
      </c>
      <c r="AE1476" s="1">
        <v>4</v>
      </c>
      <c r="AF1476" s="54" t="s">
        <v>9530</v>
      </c>
      <c r="AL1476" s="60">
        <v>16</v>
      </c>
      <c r="AN1476" s="4" t="s">
        <v>10925</v>
      </c>
      <c r="AP1476" s="1"/>
      <c r="AQ1476" s="1"/>
    </row>
    <row r="1477" spans="1:43" ht="36" x14ac:dyDescent="0.2">
      <c r="A1477" s="138" t="s">
        <v>10683</v>
      </c>
      <c r="B1477" s="138" t="s">
        <v>10926</v>
      </c>
      <c r="C1477" s="138" t="s">
        <v>11009</v>
      </c>
      <c r="D1477" s="138">
        <v>68</v>
      </c>
      <c r="E1477" s="138">
        <v>1</v>
      </c>
      <c r="F1477" s="138" t="s">
        <v>10896</v>
      </c>
      <c r="G1477" s="138" t="s">
        <v>10927</v>
      </c>
      <c r="I1477" s="1" t="s">
        <v>88</v>
      </c>
      <c r="K1477" s="4" t="s">
        <v>1149</v>
      </c>
      <c r="L1477" s="4" t="s">
        <v>10928</v>
      </c>
      <c r="V1477" s="4" t="s">
        <v>10929</v>
      </c>
      <c r="AP1477" s="1"/>
      <c r="AQ1477" s="1"/>
    </row>
    <row r="1478" spans="1:43" ht="24" x14ac:dyDescent="0.2">
      <c r="A1478" s="1" t="s">
        <v>10683</v>
      </c>
      <c r="B1478" s="1" t="s">
        <v>10930</v>
      </c>
      <c r="C1478" s="1" t="s">
        <v>11009</v>
      </c>
      <c r="D1478" s="1">
        <v>69</v>
      </c>
      <c r="E1478" s="1">
        <v>2</v>
      </c>
      <c r="F1478" s="1" t="s">
        <v>10896</v>
      </c>
      <c r="G1478" s="1" t="s">
        <v>10931</v>
      </c>
      <c r="I1478" s="1" t="s">
        <v>94</v>
      </c>
      <c r="K1478" s="4" t="s">
        <v>10932</v>
      </c>
      <c r="L1478" s="4" t="s">
        <v>10933</v>
      </c>
      <c r="N1478" s="54">
        <v>36</v>
      </c>
      <c r="O1478" s="55">
        <v>3</v>
      </c>
      <c r="Q1478" s="57">
        <v>5</v>
      </c>
      <c r="R1478" s="58">
        <v>2</v>
      </c>
      <c r="S1478" s="59">
        <v>3</v>
      </c>
      <c r="V1478" s="4" t="s">
        <v>10934</v>
      </c>
      <c r="W1478" s="4" t="s">
        <v>3638</v>
      </c>
      <c r="AP1478" s="1"/>
      <c r="AQ1478" s="1"/>
    </row>
    <row r="1479" spans="1:43" ht="36" x14ac:dyDescent="0.2">
      <c r="A1479" s="1" t="s">
        <v>10683</v>
      </c>
      <c r="B1479" s="1" t="s">
        <v>10935</v>
      </c>
      <c r="C1479" s="1" t="s">
        <v>11009</v>
      </c>
      <c r="D1479" s="1">
        <v>70</v>
      </c>
      <c r="E1479" s="1">
        <v>4</v>
      </c>
      <c r="F1479" s="1" t="s">
        <v>10896</v>
      </c>
      <c r="G1479" s="1" t="s">
        <v>10936</v>
      </c>
      <c r="I1479" s="1" t="s">
        <v>94</v>
      </c>
      <c r="K1479" s="4" t="s">
        <v>10932</v>
      </c>
      <c r="L1479" s="4" t="s">
        <v>10937</v>
      </c>
      <c r="N1479" s="54">
        <v>44</v>
      </c>
      <c r="O1479" s="55" t="s">
        <v>113</v>
      </c>
      <c r="Q1479" s="57">
        <v>4</v>
      </c>
      <c r="R1479" s="58">
        <v>1</v>
      </c>
      <c r="S1479" s="59">
        <v>4</v>
      </c>
      <c r="V1479" s="4" t="s">
        <v>10938</v>
      </c>
      <c r="AP1479" s="1"/>
    </row>
    <row r="1480" spans="1:43" ht="24" x14ac:dyDescent="0.2">
      <c r="A1480" s="1" t="s">
        <v>10683</v>
      </c>
      <c r="B1480" s="1" t="s">
        <v>10939</v>
      </c>
      <c r="C1480" s="1" t="s">
        <v>11009</v>
      </c>
      <c r="D1480" s="1">
        <v>71</v>
      </c>
      <c r="E1480" s="1">
        <v>3</v>
      </c>
      <c r="F1480" s="1" t="s">
        <v>10896</v>
      </c>
      <c r="G1480" s="1" t="s">
        <v>10940</v>
      </c>
      <c r="I1480" s="1" t="s">
        <v>94</v>
      </c>
      <c r="K1480" s="4" t="s">
        <v>10932</v>
      </c>
      <c r="L1480" s="4" t="s">
        <v>10941</v>
      </c>
      <c r="N1480" s="54">
        <v>33</v>
      </c>
      <c r="O1480" s="55">
        <v>1</v>
      </c>
      <c r="Q1480" s="57">
        <v>3</v>
      </c>
      <c r="R1480" s="58">
        <v>1</v>
      </c>
      <c r="S1480" s="59">
        <v>3</v>
      </c>
      <c r="V1480" s="4" t="s">
        <v>10942</v>
      </c>
      <c r="W1480" s="4" t="s">
        <v>3571</v>
      </c>
      <c r="AP1480" s="1"/>
    </row>
    <row r="1481" spans="1:43" ht="24" x14ac:dyDescent="0.2">
      <c r="A1481" s="1" t="s">
        <v>10683</v>
      </c>
      <c r="B1481" s="1" t="s">
        <v>10943</v>
      </c>
      <c r="C1481" s="1" t="s">
        <v>11009</v>
      </c>
      <c r="D1481" s="1">
        <v>72</v>
      </c>
      <c r="E1481" s="1">
        <v>3</v>
      </c>
      <c r="F1481" s="1" t="s">
        <v>10896</v>
      </c>
      <c r="G1481" s="1" t="s">
        <v>10944</v>
      </c>
      <c r="I1481" s="1" t="s">
        <v>94</v>
      </c>
      <c r="K1481" s="4" t="s">
        <v>10932</v>
      </c>
      <c r="L1481" s="4" t="s">
        <v>10945</v>
      </c>
      <c r="N1481" s="54">
        <v>28</v>
      </c>
      <c r="O1481" s="55">
        <v>2</v>
      </c>
      <c r="Q1481" s="57">
        <v>4</v>
      </c>
      <c r="R1481" s="58">
        <v>1</v>
      </c>
      <c r="S1481" s="59">
        <v>3</v>
      </c>
      <c r="V1481" s="4" t="s">
        <v>10946</v>
      </c>
      <c r="AP1481" s="1"/>
    </row>
    <row r="1482" spans="1:43" ht="36" x14ac:dyDescent="0.2">
      <c r="A1482" s="1" t="s">
        <v>10683</v>
      </c>
      <c r="B1482" s="1" t="s">
        <v>10947</v>
      </c>
      <c r="C1482" s="1" t="s">
        <v>11009</v>
      </c>
      <c r="D1482" s="1">
        <v>73</v>
      </c>
      <c r="E1482" s="1">
        <v>1</v>
      </c>
      <c r="F1482" s="1" t="s">
        <v>10896</v>
      </c>
      <c r="G1482" s="1" t="s">
        <v>10948</v>
      </c>
      <c r="H1482" s="1" t="s">
        <v>26</v>
      </c>
      <c r="I1482" s="1" t="s">
        <v>104</v>
      </c>
      <c r="K1482" s="4" t="s">
        <v>10949</v>
      </c>
      <c r="L1482" s="4" t="s">
        <v>331</v>
      </c>
      <c r="O1482" s="55">
        <v>2</v>
      </c>
      <c r="T1482" s="60">
        <v>4</v>
      </c>
      <c r="U1482" s="1">
        <v>1</v>
      </c>
      <c r="V1482" s="4" t="s">
        <v>10950</v>
      </c>
      <c r="AP1482" s="1"/>
    </row>
    <row r="1483" spans="1:43" ht="48" x14ac:dyDescent="0.2">
      <c r="A1483" s="1" t="s">
        <v>10683</v>
      </c>
      <c r="B1483" s="1" t="s">
        <v>10951</v>
      </c>
      <c r="C1483" s="1" t="s">
        <v>11009</v>
      </c>
      <c r="D1483" s="1">
        <v>74</v>
      </c>
      <c r="E1483" s="1">
        <v>1</v>
      </c>
      <c r="F1483" s="1" t="s">
        <v>10896</v>
      </c>
      <c r="G1483" s="1" t="s">
        <v>10952</v>
      </c>
      <c r="H1483" s="1" t="s">
        <v>26</v>
      </c>
      <c r="I1483" s="1" t="s">
        <v>104</v>
      </c>
      <c r="K1483" s="4" t="s">
        <v>1217</v>
      </c>
      <c r="L1483" s="4" t="s">
        <v>331</v>
      </c>
      <c r="O1483" s="55">
        <v>1</v>
      </c>
      <c r="T1483" s="60">
        <v>6</v>
      </c>
      <c r="U1483" s="1">
        <v>1</v>
      </c>
      <c r="V1483" s="4" t="s">
        <v>10953</v>
      </c>
      <c r="AP1483" s="1"/>
    </row>
    <row r="1484" spans="1:43" ht="24" x14ac:dyDescent="0.2">
      <c r="A1484" s="1" t="s">
        <v>10683</v>
      </c>
      <c r="B1484" s="1" t="s">
        <v>10954</v>
      </c>
      <c r="C1484" s="1" t="s">
        <v>11009</v>
      </c>
      <c r="D1484" s="1">
        <v>75</v>
      </c>
      <c r="E1484" s="1">
        <v>1</v>
      </c>
      <c r="F1484" s="1" t="s">
        <v>10896</v>
      </c>
      <c r="G1484" s="1" t="s">
        <v>10955</v>
      </c>
      <c r="H1484" s="1" t="s">
        <v>26</v>
      </c>
      <c r="I1484" s="1" t="s">
        <v>104</v>
      </c>
      <c r="K1484" s="4" t="s">
        <v>3548</v>
      </c>
      <c r="L1484" s="4" t="s">
        <v>10956</v>
      </c>
      <c r="O1484" s="55" t="s">
        <v>113</v>
      </c>
      <c r="T1484" s="60">
        <v>2</v>
      </c>
      <c r="U1484" s="1">
        <v>1</v>
      </c>
      <c r="V1484" s="4" t="s">
        <v>10957</v>
      </c>
      <c r="AP1484" s="1"/>
    </row>
    <row r="1485" spans="1:43" ht="24" x14ac:dyDescent="0.2">
      <c r="A1485" s="1" t="s">
        <v>10683</v>
      </c>
      <c r="B1485" s="1" t="s">
        <v>10958</v>
      </c>
      <c r="C1485" s="1" t="s">
        <v>11009</v>
      </c>
      <c r="D1485" s="1">
        <v>76</v>
      </c>
      <c r="E1485" s="1">
        <v>1</v>
      </c>
      <c r="F1485" s="1" t="s">
        <v>10896</v>
      </c>
      <c r="G1485" s="1" t="s">
        <v>10959</v>
      </c>
      <c r="H1485" s="1" t="s">
        <v>26</v>
      </c>
      <c r="I1485" s="1" t="s">
        <v>104</v>
      </c>
      <c r="K1485" s="4" t="s">
        <v>3548</v>
      </c>
      <c r="L1485" s="4" t="s">
        <v>331</v>
      </c>
      <c r="O1485" s="55">
        <v>3</v>
      </c>
      <c r="T1485" s="60">
        <v>4</v>
      </c>
      <c r="U1485" s="1">
        <v>1</v>
      </c>
      <c r="V1485" s="4" t="s">
        <v>10960</v>
      </c>
      <c r="AP1485" s="1"/>
    </row>
    <row r="1486" spans="1:43" ht="36" x14ac:dyDescent="0.2">
      <c r="A1486" s="1" t="s">
        <v>10683</v>
      </c>
      <c r="B1486" s="1" t="s">
        <v>10961</v>
      </c>
      <c r="C1486" s="1" t="s">
        <v>11009</v>
      </c>
      <c r="D1486" s="1">
        <v>77</v>
      </c>
      <c r="E1486" s="1">
        <v>4</v>
      </c>
      <c r="F1486" s="1" t="s">
        <v>10896</v>
      </c>
      <c r="G1486" s="1" t="s">
        <v>10962</v>
      </c>
      <c r="I1486" s="1" t="s">
        <v>104</v>
      </c>
      <c r="K1486" s="4" t="s">
        <v>3548</v>
      </c>
      <c r="L1486" s="4"/>
      <c r="O1486" s="55">
        <v>2</v>
      </c>
      <c r="T1486" s="60">
        <v>5</v>
      </c>
      <c r="V1486" s="4" t="s">
        <v>10963</v>
      </c>
      <c r="AP1486" s="1"/>
    </row>
    <row r="1487" spans="1:43" ht="24" x14ac:dyDescent="0.2">
      <c r="A1487" s="1" t="s">
        <v>10683</v>
      </c>
      <c r="B1487" s="1" t="s">
        <v>10964</v>
      </c>
      <c r="C1487" s="1" t="s">
        <v>11009</v>
      </c>
      <c r="D1487" s="1">
        <v>78</v>
      </c>
      <c r="E1487" s="1">
        <v>3</v>
      </c>
      <c r="F1487" s="1" t="s">
        <v>10896</v>
      </c>
      <c r="G1487" s="1" t="s">
        <v>10965</v>
      </c>
      <c r="I1487" s="1" t="s">
        <v>104</v>
      </c>
      <c r="K1487" s="4" t="s">
        <v>10966</v>
      </c>
      <c r="L1487" s="4" t="s">
        <v>10967</v>
      </c>
      <c r="O1487" s="55">
        <v>3</v>
      </c>
      <c r="T1487" s="60">
        <v>4</v>
      </c>
      <c r="V1487" s="4" t="s">
        <v>10968</v>
      </c>
      <c r="AP1487" s="1"/>
    </row>
    <row r="1488" spans="1:43" ht="36" x14ac:dyDescent="0.2">
      <c r="A1488" s="1" t="s">
        <v>10683</v>
      </c>
      <c r="B1488" s="1" t="s">
        <v>10969</v>
      </c>
      <c r="C1488" s="1" t="s">
        <v>11009</v>
      </c>
      <c r="D1488" s="1">
        <v>79</v>
      </c>
      <c r="E1488" s="1">
        <v>3</v>
      </c>
      <c r="F1488" s="1" t="s">
        <v>10896</v>
      </c>
      <c r="G1488" s="1" t="s">
        <v>10970</v>
      </c>
      <c r="I1488" s="1" t="s">
        <v>104</v>
      </c>
      <c r="K1488" s="4" t="s">
        <v>3735</v>
      </c>
      <c r="L1488" s="4"/>
      <c r="O1488" s="55">
        <v>3</v>
      </c>
      <c r="T1488" s="60">
        <v>3</v>
      </c>
      <c r="V1488" s="4" t="s">
        <v>10971</v>
      </c>
      <c r="W1488" s="4" t="s">
        <v>10972</v>
      </c>
      <c r="AP1488" s="1"/>
    </row>
    <row r="1489" spans="1:42" ht="24" x14ac:dyDescent="0.2">
      <c r="A1489" s="1" t="s">
        <v>10683</v>
      </c>
      <c r="B1489" s="1" t="s">
        <v>10973</v>
      </c>
      <c r="C1489" s="1" t="s">
        <v>11009</v>
      </c>
      <c r="D1489" s="1">
        <v>80</v>
      </c>
      <c r="E1489" s="1">
        <v>2</v>
      </c>
      <c r="F1489" s="1" t="s">
        <v>10896</v>
      </c>
      <c r="G1489" s="1" t="s">
        <v>10974</v>
      </c>
      <c r="I1489" s="1" t="s">
        <v>82</v>
      </c>
      <c r="K1489" s="4"/>
      <c r="L1489" s="4" t="s">
        <v>3636</v>
      </c>
      <c r="V1489" s="4" t="s">
        <v>10975</v>
      </c>
      <c r="W1489" s="4" t="s">
        <v>10976</v>
      </c>
      <c r="AP1489" s="1"/>
    </row>
    <row r="1490" spans="1:42" ht="36" x14ac:dyDescent="0.2">
      <c r="A1490" s="1" t="s">
        <v>10683</v>
      </c>
      <c r="B1490" s="1" t="s">
        <v>10977</v>
      </c>
      <c r="C1490" s="1" t="s">
        <v>11009</v>
      </c>
      <c r="D1490" s="1">
        <v>81</v>
      </c>
      <c r="E1490" s="1">
        <v>2</v>
      </c>
      <c r="F1490" s="1" t="s">
        <v>10896</v>
      </c>
      <c r="G1490" s="1" t="s">
        <v>10978</v>
      </c>
      <c r="I1490" s="1" t="s">
        <v>82</v>
      </c>
      <c r="K1490" s="4"/>
      <c r="L1490" s="4"/>
      <c r="V1490" s="4" t="s">
        <v>10979</v>
      </c>
      <c r="W1490" s="4" t="s">
        <v>10980</v>
      </c>
      <c r="AP1490" s="1"/>
    </row>
    <row r="1491" spans="1:42" ht="36" x14ac:dyDescent="0.2">
      <c r="A1491" s="1" t="s">
        <v>10683</v>
      </c>
      <c r="B1491" s="1" t="s">
        <v>10981</v>
      </c>
      <c r="C1491" s="1" t="s">
        <v>11009</v>
      </c>
      <c r="D1491" s="1">
        <v>82</v>
      </c>
      <c r="E1491" s="1">
        <v>3</v>
      </c>
      <c r="F1491" s="1" t="s">
        <v>10896</v>
      </c>
      <c r="G1491" s="1" t="s">
        <v>10982</v>
      </c>
      <c r="I1491" s="1" t="s">
        <v>82</v>
      </c>
      <c r="K1491" s="4"/>
      <c r="L1491" s="4"/>
      <c r="V1491" s="4" t="s">
        <v>10983</v>
      </c>
      <c r="W1491" s="4" t="s">
        <v>10972</v>
      </c>
      <c r="AP1491" s="1"/>
    </row>
    <row r="1492" spans="1:42" ht="72" x14ac:dyDescent="0.2">
      <c r="A1492" s="1" t="s">
        <v>10683</v>
      </c>
      <c r="B1492" s="1" t="s">
        <v>10984</v>
      </c>
      <c r="C1492" s="1" t="s">
        <v>11009</v>
      </c>
      <c r="D1492" s="1">
        <v>83</v>
      </c>
      <c r="E1492" s="1">
        <v>1</v>
      </c>
      <c r="F1492" s="1" t="s">
        <v>10896</v>
      </c>
      <c r="G1492" s="1" t="s">
        <v>10985</v>
      </c>
      <c r="I1492" s="1" t="s">
        <v>82</v>
      </c>
      <c r="K1492" s="4" t="s">
        <v>3236</v>
      </c>
      <c r="L1492" s="4"/>
      <c r="V1492" s="4" t="s">
        <v>10986</v>
      </c>
      <c r="AP1492" s="1"/>
    </row>
    <row r="1493" spans="1:42" ht="48" x14ac:dyDescent="0.2">
      <c r="A1493" s="111" t="s">
        <v>10683</v>
      </c>
      <c r="B1493" s="111" t="s">
        <v>10987</v>
      </c>
      <c r="C1493" s="111" t="s">
        <v>11009</v>
      </c>
      <c r="D1493" s="111">
        <v>84</v>
      </c>
      <c r="E1493" s="111">
        <v>1</v>
      </c>
      <c r="F1493" s="111" t="s">
        <v>10744</v>
      </c>
      <c r="G1493" s="111" t="s">
        <v>10988</v>
      </c>
      <c r="I1493" s="1" t="s">
        <v>82</v>
      </c>
      <c r="J1493" s="1" t="s">
        <v>3458</v>
      </c>
      <c r="K1493" s="4" t="s">
        <v>3236</v>
      </c>
      <c r="L1493" s="4" t="s">
        <v>3530</v>
      </c>
      <c r="V1493" s="4" t="s">
        <v>10989</v>
      </c>
      <c r="AP1493" s="1"/>
    </row>
    <row r="1494" spans="1:42" ht="24" x14ac:dyDescent="0.2">
      <c r="A1494" s="1" t="s">
        <v>10683</v>
      </c>
      <c r="B1494" s="1" t="s">
        <v>10990</v>
      </c>
      <c r="C1494" s="1" t="s">
        <v>11009</v>
      </c>
      <c r="D1494" s="1">
        <v>85</v>
      </c>
      <c r="E1494" s="1">
        <v>1</v>
      </c>
      <c r="F1494" s="1" t="s">
        <v>10816</v>
      </c>
      <c r="G1494" s="1" t="s">
        <v>2872</v>
      </c>
      <c r="I1494" s="1" t="s">
        <v>82</v>
      </c>
      <c r="J1494" s="1" t="s">
        <v>3458</v>
      </c>
      <c r="K1494" s="4"/>
      <c r="L1494" s="4" t="s">
        <v>698</v>
      </c>
      <c r="V1494" s="4" t="s">
        <v>10991</v>
      </c>
      <c r="W1494" s="4" t="s">
        <v>623</v>
      </c>
      <c r="AP1494" s="1"/>
    </row>
    <row r="1495" spans="1:42" ht="24" x14ac:dyDescent="0.2">
      <c r="A1495" s="1" t="s">
        <v>10683</v>
      </c>
      <c r="B1495" s="1" t="s">
        <v>10992</v>
      </c>
      <c r="C1495" s="1" t="s">
        <v>11009</v>
      </c>
      <c r="D1495" s="1">
        <v>86</v>
      </c>
      <c r="E1495" s="1">
        <v>1</v>
      </c>
      <c r="F1495" s="1" t="s">
        <v>10816</v>
      </c>
      <c r="G1495" s="1" t="s">
        <v>9573</v>
      </c>
      <c r="I1495" s="1" t="s">
        <v>82</v>
      </c>
      <c r="J1495" s="1" t="s">
        <v>3458</v>
      </c>
      <c r="K1495" s="4"/>
      <c r="L1495" s="4" t="s">
        <v>698</v>
      </c>
      <c r="V1495" s="4" t="s">
        <v>10993</v>
      </c>
      <c r="W1495" s="4" t="s">
        <v>3638</v>
      </c>
      <c r="AP1495" s="1"/>
    </row>
    <row r="1496" spans="1:42" ht="72" x14ac:dyDescent="0.2">
      <c r="A1496" s="1" t="s">
        <v>10683</v>
      </c>
      <c r="B1496" s="1" t="s">
        <v>10994</v>
      </c>
      <c r="C1496" s="1" t="s">
        <v>11009</v>
      </c>
      <c r="D1496" s="1">
        <v>87</v>
      </c>
      <c r="E1496" s="1">
        <v>1</v>
      </c>
      <c r="F1496" s="1" t="s">
        <v>10816</v>
      </c>
      <c r="G1496" s="1" t="s">
        <v>10995</v>
      </c>
      <c r="I1496" s="1" t="s">
        <v>88</v>
      </c>
      <c r="J1496" s="1" t="s">
        <v>3458</v>
      </c>
      <c r="K1496" s="4" t="s">
        <v>10996</v>
      </c>
      <c r="L1496" s="4"/>
      <c r="V1496" s="4" t="s">
        <v>10997</v>
      </c>
      <c r="X1496" s="1" t="s">
        <v>1629</v>
      </c>
      <c r="AP1496" s="1"/>
    </row>
    <row r="1497" spans="1:42" ht="48" x14ac:dyDescent="0.2">
      <c r="A1497" s="1" t="s">
        <v>10683</v>
      </c>
      <c r="B1497" s="1" t="s">
        <v>10998</v>
      </c>
      <c r="C1497" s="1" t="s">
        <v>11009</v>
      </c>
      <c r="D1497" s="1">
        <v>88</v>
      </c>
      <c r="E1497" s="1">
        <v>1</v>
      </c>
      <c r="F1497" s="1" t="s">
        <v>10816</v>
      </c>
      <c r="G1497" s="1" t="s">
        <v>10999</v>
      </c>
      <c r="I1497" s="1" t="s">
        <v>88</v>
      </c>
      <c r="J1497" s="1" t="s">
        <v>3458</v>
      </c>
      <c r="K1497" s="4" t="s">
        <v>11000</v>
      </c>
      <c r="L1497" s="4"/>
      <c r="V1497" s="4" t="s">
        <v>11001</v>
      </c>
      <c r="X1497" s="1" t="s">
        <v>1629</v>
      </c>
      <c r="AP1497" s="1"/>
    </row>
    <row r="1498" spans="1:42" ht="24" x14ac:dyDescent="0.2">
      <c r="A1498" s="1" t="s">
        <v>10683</v>
      </c>
      <c r="B1498" s="1" t="s">
        <v>11002</v>
      </c>
      <c r="C1498" s="1" t="s">
        <v>11009</v>
      </c>
      <c r="D1498" s="1">
        <v>89</v>
      </c>
      <c r="E1498" s="1">
        <v>1</v>
      </c>
      <c r="F1498" s="1" t="s">
        <v>10896</v>
      </c>
      <c r="G1498" s="1" t="s">
        <v>3018</v>
      </c>
      <c r="I1498" s="1" t="s">
        <v>82</v>
      </c>
      <c r="J1498" s="1" t="s">
        <v>3458</v>
      </c>
      <c r="K1498" s="4"/>
      <c r="L1498" s="4" t="s">
        <v>3530</v>
      </c>
      <c r="V1498" s="4" t="s">
        <v>11003</v>
      </c>
      <c r="AP1498" s="1"/>
    </row>
    <row r="1499" spans="1:42" ht="36" x14ac:dyDescent="0.2">
      <c r="A1499" s="1" t="s">
        <v>10683</v>
      </c>
      <c r="B1499" s="1" t="s">
        <v>11004</v>
      </c>
      <c r="C1499" s="1" t="s">
        <v>11009</v>
      </c>
      <c r="D1499" s="1">
        <v>90</v>
      </c>
      <c r="E1499" s="1">
        <v>1</v>
      </c>
      <c r="F1499" s="1" t="s">
        <v>10896</v>
      </c>
      <c r="G1499" s="1" t="s">
        <v>11005</v>
      </c>
      <c r="I1499" s="1" t="s">
        <v>82</v>
      </c>
      <c r="J1499" s="1" t="s">
        <v>3458</v>
      </c>
      <c r="K1499" s="4" t="s">
        <v>10996</v>
      </c>
      <c r="L1499" s="4" t="s">
        <v>3530</v>
      </c>
      <c r="V1499" s="4" t="s">
        <v>11006</v>
      </c>
      <c r="AP1499" s="1"/>
    </row>
    <row r="1500" spans="1:42" ht="72" x14ac:dyDescent="0.2">
      <c r="A1500" s="1" t="s">
        <v>10683</v>
      </c>
      <c r="B1500" s="1" t="s">
        <v>11007</v>
      </c>
      <c r="C1500" s="1" t="s">
        <v>11009</v>
      </c>
      <c r="D1500" s="1">
        <v>91</v>
      </c>
      <c r="E1500" s="1">
        <v>1</v>
      </c>
      <c r="G1500" s="1" t="s">
        <v>3712</v>
      </c>
      <c r="H1500" s="1" t="s">
        <v>26</v>
      </c>
      <c r="I1500" s="1" t="s">
        <v>88</v>
      </c>
      <c r="K1500" s="4" t="s">
        <v>3713</v>
      </c>
      <c r="L1500" s="4"/>
      <c r="V1500" s="4" t="s">
        <v>11008</v>
      </c>
      <c r="X1500" s="1" t="s">
        <v>1681</v>
      </c>
      <c r="AP1500" s="1"/>
    </row>
    <row r="1501" spans="1:42" x14ac:dyDescent="0.2">
      <c r="A1501" s="115" t="s">
        <v>2100</v>
      </c>
      <c r="B1501" s="115" t="s">
        <v>2101</v>
      </c>
      <c r="C1501" s="115" t="s">
        <v>5723</v>
      </c>
      <c r="D1501" s="116">
        <v>1</v>
      </c>
      <c r="E1501" s="115"/>
      <c r="F1501" s="115"/>
      <c r="G1501" s="115" t="s">
        <v>2102</v>
      </c>
      <c r="I1501" s="1" t="s">
        <v>27</v>
      </c>
      <c r="J1501" s="1" t="s">
        <v>57</v>
      </c>
      <c r="K1501" s="1" t="s">
        <v>2103</v>
      </c>
      <c r="M1501" s="18">
        <v>9</v>
      </c>
      <c r="AL1501" s="60" t="s">
        <v>30</v>
      </c>
    </row>
    <row r="1502" spans="1:42" x14ac:dyDescent="0.2">
      <c r="A1502" s="1" t="s">
        <v>2100</v>
      </c>
      <c r="B1502" s="1" t="s">
        <v>2104</v>
      </c>
      <c r="C1502" s="1" t="s">
        <v>5723</v>
      </c>
      <c r="D1502" s="48">
        <v>2</v>
      </c>
      <c r="G1502" s="1" t="s">
        <v>2105</v>
      </c>
      <c r="I1502" s="1" t="s">
        <v>27</v>
      </c>
      <c r="J1502" s="1" t="s">
        <v>39</v>
      </c>
      <c r="K1502" s="1" t="s">
        <v>2106</v>
      </c>
      <c r="AL1502" s="60" t="s">
        <v>30</v>
      </c>
    </row>
    <row r="1503" spans="1:42" x14ac:dyDescent="0.2">
      <c r="A1503" s="1" t="s">
        <v>2100</v>
      </c>
      <c r="B1503" s="1" t="s">
        <v>2126</v>
      </c>
      <c r="C1503" s="1" t="s">
        <v>5723</v>
      </c>
      <c r="D1503" s="48">
        <v>3</v>
      </c>
      <c r="E1503" s="1">
        <v>1</v>
      </c>
      <c r="F1503" s="1" t="s">
        <v>2109</v>
      </c>
      <c r="G1503" s="1" t="s">
        <v>2127</v>
      </c>
      <c r="I1503" s="1" t="s">
        <v>94</v>
      </c>
      <c r="K1503" s="1" t="s">
        <v>2117</v>
      </c>
      <c r="U1503" s="1">
        <v>4</v>
      </c>
      <c r="AL1503" s="60" t="s">
        <v>30</v>
      </c>
    </row>
    <row r="1504" spans="1:42" x14ac:dyDescent="0.2">
      <c r="A1504" s="1" t="s">
        <v>2100</v>
      </c>
      <c r="B1504" s="1" t="s">
        <v>2132</v>
      </c>
      <c r="C1504" s="1" t="s">
        <v>5723</v>
      </c>
      <c r="D1504" s="48">
        <v>4</v>
      </c>
      <c r="E1504" s="1">
        <v>2</v>
      </c>
      <c r="F1504" s="1" t="s">
        <v>2109</v>
      </c>
      <c r="G1504" s="1" t="s">
        <v>2133</v>
      </c>
      <c r="I1504" s="1" t="s">
        <v>94</v>
      </c>
      <c r="K1504" s="1" t="s">
        <v>95</v>
      </c>
      <c r="AL1504" s="60" t="s">
        <v>30</v>
      </c>
    </row>
    <row r="1505" spans="1:38" x14ac:dyDescent="0.2">
      <c r="A1505" s="1" t="s">
        <v>2100</v>
      </c>
      <c r="B1505" s="1" t="s">
        <v>2130</v>
      </c>
      <c r="C1505" s="1" t="s">
        <v>5723</v>
      </c>
      <c r="D1505" s="48">
        <v>5</v>
      </c>
      <c r="E1505" s="1">
        <v>1</v>
      </c>
      <c r="F1505" s="1" t="s">
        <v>2109</v>
      </c>
      <c r="G1505" s="1" t="s">
        <v>2131</v>
      </c>
      <c r="I1505" s="1" t="s">
        <v>94</v>
      </c>
      <c r="K1505" s="1" t="s">
        <v>576</v>
      </c>
      <c r="AL1505" s="60" t="s">
        <v>30</v>
      </c>
    </row>
    <row r="1506" spans="1:38" x14ac:dyDescent="0.2">
      <c r="A1506" s="1" t="s">
        <v>2100</v>
      </c>
      <c r="B1506" s="1" t="s">
        <v>2115</v>
      </c>
      <c r="C1506" s="1" t="s">
        <v>5723</v>
      </c>
      <c r="D1506" s="48">
        <v>6</v>
      </c>
      <c r="E1506" s="1">
        <v>3</v>
      </c>
      <c r="F1506" s="1" t="s">
        <v>2109</v>
      </c>
      <c r="G1506" s="1" t="s">
        <v>2116</v>
      </c>
      <c r="I1506" s="1" t="s">
        <v>94</v>
      </c>
      <c r="K1506" s="1" t="s">
        <v>2117</v>
      </c>
      <c r="AL1506" s="60" t="s">
        <v>30</v>
      </c>
    </row>
    <row r="1507" spans="1:38" x14ac:dyDescent="0.2">
      <c r="A1507" s="1" t="s">
        <v>2100</v>
      </c>
      <c r="B1507" s="1" t="s">
        <v>2136</v>
      </c>
      <c r="C1507" s="1" t="s">
        <v>5723</v>
      </c>
      <c r="D1507" s="48">
        <v>7</v>
      </c>
      <c r="E1507" s="1">
        <v>1</v>
      </c>
      <c r="F1507" s="1" t="s">
        <v>2109</v>
      </c>
      <c r="G1507" s="1" t="s">
        <v>2137</v>
      </c>
      <c r="I1507" s="1" t="s">
        <v>94</v>
      </c>
      <c r="K1507" s="1" t="s">
        <v>2117</v>
      </c>
      <c r="AL1507" s="60" t="s">
        <v>30</v>
      </c>
    </row>
    <row r="1508" spans="1:38" x14ac:dyDescent="0.2">
      <c r="A1508" s="1" t="s">
        <v>2100</v>
      </c>
      <c r="B1508" s="1" t="s">
        <v>2110</v>
      </c>
      <c r="C1508" s="1" t="s">
        <v>5723</v>
      </c>
      <c r="D1508" s="48">
        <v>8</v>
      </c>
      <c r="E1508" s="1">
        <v>2</v>
      </c>
      <c r="F1508" s="1" t="s">
        <v>2109</v>
      </c>
      <c r="G1508" s="1" t="s">
        <v>2111</v>
      </c>
      <c r="I1508" s="1" t="s">
        <v>94</v>
      </c>
      <c r="K1508" s="1" t="s">
        <v>2112</v>
      </c>
      <c r="AL1508" s="60" t="s">
        <v>30</v>
      </c>
    </row>
    <row r="1509" spans="1:38" x14ac:dyDescent="0.2">
      <c r="A1509" s="1" t="s">
        <v>2100</v>
      </c>
      <c r="B1509" s="1" t="s">
        <v>2138</v>
      </c>
      <c r="C1509" s="1" t="s">
        <v>5723</v>
      </c>
      <c r="D1509" s="48">
        <v>9</v>
      </c>
      <c r="E1509" s="1">
        <v>4</v>
      </c>
      <c r="F1509" s="1" t="s">
        <v>2109</v>
      </c>
      <c r="G1509" s="1" t="s">
        <v>2139</v>
      </c>
      <c r="I1509" s="1" t="s">
        <v>94</v>
      </c>
      <c r="K1509" s="1" t="s">
        <v>2117</v>
      </c>
      <c r="U1509" s="1">
        <v>3</v>
      </c>
      <c r="AL1509" s="60" t="s">
        <v>30</v>
      </c>
    </row>
    <row r="1510" spans="1:38" x14ac:dyDescent="0.2">
      <c r="A1510" s="1" t="s">
        <v>2100</v>
      </c>
      <c r="B1510" s="1" t="s">
        <v>2128</v>
      </c>
      <c r="C1510" s="1" t="s">
        <v>5723</v>
      </c>
      <c r="D1510" s="48">
        <v>10</v>
      </c>
      <c r="E1510" s="1">
        <v>3</v>
      </c>
      <c r="F1510" s="1" t="s">
        <v>2109</v>
      </c>
      <c r="G1510" s="1" t="s">
        <v>2129</v>
      </c>
      <c r="I1510" s="1" t="s">
        <v>104</v>
      </c>
      <c r="K1510" s="1" t="s">
        <v>2120</v>
      </c>
      <c r="O1510" s="55">
        <v>2</v>
      </c>
      <c r="T1510" s="60">
        <v>2</v>
      </c>
      <c r="AL1510" s="60" t="s">
        <v>30</v>
      </c>
    </row>
    <row r="1511" spans="1:38" x14ac:dyDescent="0.2">
      <c r="A1511" s="1" t="s">
        <v>2100</v>
      </c>
      <c r="B1511" s="1" t="s">
        <v>2118</v>
      </c>
      <c r="C1511" s="1" t="s">
        <v>5723</v>
      </c>
      <c r="D1511" s="48">
        <v>11</v>
      </c>
      <c r="E1511" s="1">
        <v>2</v>
      </c>
      <c r="F1511" s="1" t="s">
        <v>2109</v>
      </c>
      <c r="G1511" s="1" t="s">
        <v>2119</v>
      </c>
      <c r="I1511" s="1" t="s">
        <v>104</v>
      </c>
      <c r="K1511" s="1" t="s">
        <v>2120</v>
      </c>
      <c r="O1511" s="55" t="s">
        <v>113</v>
      </c>
      <c r="T1511" s="60">
        <v>4</v>
      </c>
      <c r="AL1511" s="60" t="s">
        <v>30</v>
      </c>
    </row>
    <row r="1512" spans="1:38" x14ac:dyDescent="0.2">
      <c r="A1512" s="1" t="s">
        <v>2100</v>
      </c>
      <c r="B1512" s="1" t="s">
        <v>2142</v>
      </c>
      <c r="C1512" s="1" t="s">
        <v>5723</v>
      </c>
      <c r="D1512" s="48">
        <v>12</v>
      </c>
      <c r="E1512" s="1">
        <v>1</v>
      </c>
      <c r="F1512" s="1" t="s">
        <v>2109</v>
      </c>
      <c r="G1512" s="1" t="s">
        <v>2143</v>
      </c>
      <c r="I1512" s="1" t="s">
        <v>104</v>
      </c>
      <c r="K1512" s="1" t="s">
        <v>2120</v>
      </c>
      <c r="O1512" s="55">
        <v>3</v>
      </c>
      <c r="T1512" s="60">
        <v>6</v>
      </c>
      <c r="U1512" s="1">
        <v>4</v>
      </c>
      <c r="AL1512" s="60" t="s">
        <v>30</v>
      </c>
    </row>
    <row r="1513" spans="1:38" x14ac:dyDescent="0.2">
      <c r="A1513" s="1" t="s">
        <v>2100</v>
      </c>
      <c r="B1513" s="1" t="s">
        <v>2123</v>
      </c>
      <c r="C1513" s="1" t="s">
        <v>5723</v>
      </c>
      <c r="D1513" s="48">
        <v>13</v>
      </c>
      <c r="E1513" s="1">
        <v>2</v>
      </c>
      <c r="F1513" s="1" t="s">
        <v>2109</v>
      </c>
      <c r="G1513" s="1" t="s">
        <v>2124</v>
      </c>
      <c r="I1513" s="1" t="s">
        <v>104</v>
      </c>
      <c r="K1513" s="1" t="s">
        <v>2125</v>
      </c>
      <c r="O1513" s="55">
        <v>1</v>
      </c>
      <c r="T1513" s="60">
        <v>1</v>
      </c>
      <c r="AL1513" s="60" t="s">
        <v>30</v>
      </c>
    </row>
    <row r="1514" spans="1:38" x14ac:dyDescent="0.2">
      <c r="A1514" s="1" t="s">
        <v>2100</v>
      </c>
      <c r="B1514" s="1" t="s">
        <v>2107</v>
      </c>
      <c r="C1514" s="1" t="s">
        <v>5723</v>
      </c>
      <c r="D1514" s="48">
        <v>14</v>
      </c>
      <c r="E1514" s="1">
        <v>4</v>
      </c>
      <c r="F1514" s="1" t="s">
        <v>2109</v>
      </c>
      <c r="G1514" s="1" t="s">
        <v>2108</v>
      </c>
      <c r="I1514" s="1" t="s">
        <v>88</v>
      </c>
      <c r="K1514" s="1" t="s">
        <v>196</v>
      </c>
      <c r="AL1514" s="60" t="s">
        <v>30</v>
      </c>
    </row>
    <row r="1515" spans="1:38" x14ac:dyDescent="0.2">
      <c r="A1515" s="1" t="s">
        <v>2100</v>
      </c>
      <c r="B1515" s="1" t="s">
        <v>2121</v>
      </c>
      <c r="C1515" s="1" t="s">
        <v>5723</v>
      </c>
      <c r="D1515" s="48">
        <v>15</v>
      </c>
      <c r="E1515" s="1">
        <v>1</v>
      </c>
      <c r="F1515" s="1" t="s">
        <v>2109</v>
      </c>
      <c r="G1515" s="1" t="s">
        <v>2122</v>
      </c>
      <c r="I1515" s="1" t="s">
        <v>88</v>
      </c>
      <c r="K1515" s="1" t="s">
        <v>324</v>
      </c>
      <c r="AL1515" s="60" t="s">
        <v>30</v>
      </c>
    </row>
    <row r="1516" spans="1:38" x14ac:dyDescent="0.2">
      <c r="A1516" s="1" t="s">
        <v>2100</v>
      </c>
      <c r="B1516" s="1" t="s">
        <v>2144</v>
      </c>
      <c r="C1516" s="1" t="s">
        <v>5723</v>
      </c>
      <c r="D1516" s="48">
        <v>16</v>
      </c>
      <c r="E1516" s="1">
        <v>1</v>
      </c>
      <c r="F1516" s="1" t="s">
        <v>2109</v>
      </c>
      <c r="G1516" s="1" t="s">
        <v>9574</v>
      </c>
      <c r="I1516" s="1" t="s">
        <v>125</v>
      </c>
      <c r="M1516" s="18">
        <v>1</v>
      </c>
      <c r="N1516" s="54" t="s">
        <v>9529</v>
      </c>
      <c r="X1516" s="1" t="s">
        <v>2145</v>
      </c>
      <c r="Y1516" s="1" t="s">
        <v>9574</v>
      </c>
      <c r="AA1516" s="1" t="s">
        <v>125</v>
      </c>
      <c r="AE1516" s="1">
        <v>1</v>
      </c>
      <c r="AF1516" s="54" t="s">
        <v>9530</v>
      </c>
      <c r="AL1516" s="60" t="s">
        <v>243</v>
      </c>
    </row>
    <row r="1517" spans="1:38" x14ac:dyDescent="0.2">
      <c r="A1517" s="1" t="s">
        <v>2100</v>
      </c>
      <c r="B1517" s="1" t="s">
        <v>2146</v>
      </c>
      <c r="C1517" s="1" t="s">
        <v>5723</v>
      </c>
      <c r="D1517" s="48">
        <v>17</v>
      </c>
      <c r="E1517" s="1">
        <v>1</v>
      </c>
      <c r="F1517" s="1" t="s">
        <v>2109</v>
      </c>
      <c r="G1517" s="1" t="s">
        <v>9633</v>
      </c>
      <c r="I1517" s="1" t="s">
        <v>125</v>
      </c>
      <c r="M1517" s="18">
        <v>2</v>
      </c>
      <c r="N1517" s="54" t="s">
        <v>9529</v>
      </c>
      <c r="Y1517" s="1" t="s">
        <v>9633</v>
      </c>
      <c r="AA1517" s="1" t="s">
        <v>125</v>
      </c>
      <c r="AE1517" s="1">
        <v>2</v>
      </c>
      <c r="AF1517" s="54" t="s">
        <v>9530</v>
      </c>
      <c r="AL1517" s="60" t="s">
        <v>166</v>
      </c>
    </row>
    <row r="1518" spans="1:38" x14ac:dyDescent="0.2">
      <c r="A1518" s="1" t="s">
        <v>2100</v>
      </c>
      <c r="B1518" s="1" t="s">
        <v>2147</v>
      </c>
      <c r="C1518" s="1" t="s">
        <v>5723</v>
      </c>
      <c r="D1518" s="48">
        <v>18</v>
      </c>
      <c r="E1518" s="1">
        <v>1</v>
      </c>
      <c r="F1518" s="1" t="s">
        <v>2109</v>
      </c>
      <c r="G1518" s="1" t="s">
        <v>9693</v>
      </c>
      <c r="I1518" s="1" t="s">
        <v>125</v>
      </c>
      <c r="M1518" s="18">
        <v>3</v>
      </c>
      <c r="N1518" s="54" t="s">
        <v>9529</v>
      </c>
      <c r="Y1518" s="1" t="s">
        <v>9693</v>
      </c>
      <c r="AA1518" s="1" t="s">
        <v>125</v>
      </c>
      <c r="AE1518" s="1">
        <v>3</v>
      </c>
      <c r="AF1518" s="54" t="s">
        <v>9530</v>
      </c>
      <c r="AL1518" s="60" t="s">
        <v>341</v>
      </c>
    </row>
    <row r="1519" spans="1:38" x14ac:dyDescent="0.2">
      <c r="A1519" s="1" t="s">
        <v>2100</v>
      </c>
      <c r="B1519" s="1" t="s">
        <v>2140</v>
      </c>
      <c r="C1519" s="1" t="s">
        <v>5723</v>
      </c>
      <c r="D1519" s="48">
        <v>19</v>
      </c>
      <c r="E1519" s="1">
        <v>3</v>
      </c>
      <c r="F1519" s="1" t="s">
        <v>2109</v>
      </c>
      <c r="G1519" s="1" t="s">
        <v>2141</v>
      </c>
      <c r="I1519" s="1" t="s">
        <v>82</v>
      </c>
      <c r="AL1519" s="60" t="s">
        <v>30</v>
      </c>
    </row>
    <row r="1520" spans="1:38" x14ac:dyDescent="0.2">
      <c r="A1520" s="1" t="s">
        <v>2100</v>
      </c>
      <c r="B1520" s="1" t="s">
        <v>2113</v>
      </c>
      <c r="C1520" s="1" t="s">
        <v>5723</v>
      </c>
      <c r="D1520" s="48">
        <v>20</v>
      </c>
      <c r="E1520" s="1">
        <v>2</v>
      </c>
      <c r="F1520" s="1" t="s">
        <v>2109</v>
      </c>
      <c r="G1520" s="1" t="s">
        <v>2114</v>
      </c>
      <c r="I1520" s="1" t="s">
        <v>82</v>
      </c>
      <c r="AL1520" s="60" t="s">
        <v>30</v>
      </c>
    </row>
    <row r="1521" spans="1:38" x14ac:dyDescent="0.2">
      <c r="A1521" s="1" t="s">
        <v>2100</v>
      </c>
      <c r="B1521" s="1" t="s">
        <v>2134</v>
      </c>
      <c r="C1521" s="1" t="s">
        <v>5723</v>
      </c>
      <c r="D1521" s="48">
        <v>21</v>
      </c>
      <c r="E1521" s="1">
        <v>2</v>
      </c>
      <c r="F1521" s="1" t="s">
        <v>2109</v>
      </c>
      <c r="G1521" s="1" t="s">
        <v>2135</v>
      </c>
      <c r="I1521" s="1" t="s">
        <v>82</v>
      </c>
      <c r="AL1521" s="60" t="s">
        <v>30</v>
      </c>
    </row>
    <row r="1522" spans="1:38" x14ac:dyDescent="0.2">
      <c r="A1522" s="115" t="s">
        <v>1869</v>
      </c>
      <c r="B1522" s="115" t="s">
        <v>1897</v>
      </c>
      <c r="C1522" s="115" t="s">
        <v>5724</v>
      </c>
      <c r="D1522" s="116">
        <v>1</v>
      </c>
      <c r="E1522" s="115"/>
      <c r="F1522" s="115" t="s">
        <v>1871</v>
      </c>
      <c r="G1522" s="115" t="s">
        <v>1898</v>
      </c>
      <c r="I1522" s="1" t="s">
        <v>27</v>
      </c>
      <c r="J1522" s="1" t="s">
        <v>50</v>
      </c>
      <c r="K1522" s="1" t="s">
        <v>368</v>
      </c>
      <c r="M1522" s="18">
        <v>10</v>
      </c>
      <c r="P1522" s="56">
        <v>1</v>
      </c>
      <c r="Q1522" s="57">
        <v>3</v>
      </c>
      <c r="R1522" s="58">
        <v>2</v>
      </c>
      <c r="S1522" s="59">
        <v>4</v>
      </c>
      <c r="AL1522" s="60" t="s">
        <v>30</v>
      </c>
    </row>
    <row r="1523" spans="1:38" x14ac:dyDescent="0.2">
      <c r="A1523" s="1" t="s">
        <v>1869</v>
      </c>
      <c r="B1523" s="1" t="s">
        <v>1889</v>
      </c>
      <c r="C1523" s="1" t="s">
        <v>5724</v>
      </c>
      <c r="D1523" s="48">
        <v>2</v>
      </c>
      <c r="E1523" s="1">
        <v>1</v>
      </c>
      <c r="F1523" s="1" t="s">
        <v>1871</v>
      </c>
      <c r="G1523" s="1" t="s">
        <v>1890</v>
      </c>
      <c r="I1523" s="1" t="s">
        <v>94</v>
      </c>
      <c r="K1523" s="1" t="s">
        <v>1877</v>
      </c>
      <c r="N1523" s="54">
        <v>40</v>
      </c>
      <c r="O1523" s="55">
        <v>0</v>
      </c>
      <c r="Q1523" s="57">
        <v>6</v>
      </c>
      <c r="R1523" s="58">
        <v>3</v>
      </c>
      <c r="S1523" s="59">
        <v>5</v>
      </c>
      <c r="U1523" s="1">
        <v>5</v>
      </c>
      <c r="AL1523" s="60" t="s">
        <v>30</v>
      </c>
    </row>
    <row r="1524" spans="1:38" x14ac:dyDescent="0.2">
      <c r="A1524" s="1" t="s">
        <v>1869</v>
      </c>
      <c r="B1524" s="1" t="s">
        <v>1884</v>
      </c>
      <c r="C1524" s="1" t="s">
        <v>5724</v>
      </c>
      <c r="D1524" s="48">
        <v>3</v>
      </c>
      <c r="E1524" s="1">
        <v>3</v>
      </c>
      <c r="F1524" s="1" t="s">
        <v>1871</v>
      </c>
      <c r="G1524" s="1" t="s">
        <v>1885</v>
      </c>
      <c r="I1524" s="1" t="s">
        <v>94</v>
      </c>
      <c r="K1524" s="1" t="s">
        <v>1886</v>
      </c>
      <c r="N1524" s="54">
        <v>22</v>
      </c>
      <c r="O1524" s="55">
        <v>1</v>
      </c>
      <c r="Q1524" s="57">
        <v>3</v>
      </c>
      <c r="R1524" s="58">
        <v>2</v>
      </c>
      <c r="S1524" s="59">
        <v>4</v>
      </c>
      <c r="AL1524" s="60" t="s">
        <v>30</v>
      </c>
    </row>
    <row r="1525" spans="1:38" x14ac:dyDescent="0.2">
      <c r="A1525" s="1" t="s">
        <v>1869</v>
      </c>
      <c r="B1525" s="1" t="s">
        <v>1887</v>
      </c>
      <c r="C1525" s="1" t="s">
        <v>5724</v>
      </c>
      <c r="D1525" s="48">
        <v>4</v>
      </c>
      <c r="E1525" s="1">
        <v>3</v>
      </c>
      <c r="F1525" s="1" t="s">
        <v>1871</v>
      </c>
      <c r="G1525" s="1" t="s">
        <v>1888</v>
      </c>
      <c r="I1525" s="1" t="s">
        <v>94</v>
      </c>
      <c r="K1525" s="1" t="s">
        <v>1877</v>
      </c>
      <c r="N1525" s="54">
        <v>30</v>
      </c>
      <c r="O1525" s="55">
        <v>3</v>
      </c>
      <c r="Q1525" s="57">
        <v>2</v>
      </c>
      <c r="R1525" s="58">
        <v>0</v>
      </c>
      <c r="S1525" s="59">
        <v>3</v>
      </c>
      <c r="AL1525" s="60" t="s">
        <v>30</v>
      </c>
    </row>
    <row r="1526" spans="1:38" x14ac:dyDescent="0.2">
      <c r="A1526" s="1" t="s">
        <v>1869</v>
      </c>
      <c r="B1526" s="1" t="s">
        <v>1895</v>
      </c>
      <c r="C1526" s="1" t="s">
        <v>5724</v>
      </c>
      <c r="D1526" s="48">
        <v>5</v>
      </c>
      <c r="E1526" s="1">
        <v>2</v>
      </c>
      <c r="F1526" s="1" t="s">
        <v>1871</v>
      </c>
      <c r="G1526" s="1" t="s">
        <v>1896</v>
      </c>
      <c r="I1526" s="1" t="s">
        <v>94</v>
      </c>
      <c r="K1526" s="1" t="s">
        <v>1877</v>
      </c>
      <c r="N1526" s="54">
        <v>28</v>
      </c>
      <c r="O1526" s="55">
        <v>2</v>
      </c>
      <c r="Q1526" s="57">
        <v>2</v>
      </c>
      <c r="R1526" s="58">
        <v>1</v>
      </c>
      <c r="S1526" s="59">
        <v>3</v>
      </c>
      <c r="AL1526" s="60" t="s">
        <v>30</v>
      </c>
    </row>
    <row r="1527" spans="1:38" x14ac:dyDescent="0.2">
      <c r="A1527" s="1" t="s">
        <v>1869</v>
      </c>
      <c r="B1527" s="1" t="s">
        <v>1875</v>
      </c>
      <c r="C1527" s="1" t="s">
        <v>5724</v>
      </c>
      <c r="D1527" s="48">
        <v>6</v>
      </c>
      <c r="E1527" s="1">
        <v>1</v>
      </c>
      <c r="F1527" s="1" t="s">
        <v>1871</v>
      </c>
      <c r="G1527" s="1" t="s">
        <v>1876</v>
      </c>
      <c r="I1527" s="1" t="s">
        <v>94</v>
      </c>
      <c r="K1527" s="1" t="s">
        <v>1877</v>
      </c>
      <c r="N1527" s="54">
        <v>34</v>
      </c>
      <c r="O1527" s="55">
        <v>3</v>
      </c>
      <c r="Q1527" s="57">
        <v>4</v>
      </c>
      <c r="R1527" s="58">
        <v>3</v>
      </c>
      <c r="S1527" s="59">
        <v>6</v>
      </c>
      <c r="U1527" s="1">
        <v>5</v>
      </c>
      <c r="AL1527" s="60" t="s">
        <v>30</v>
      </c>
    </row>
    <row r="1528" spans="1:38" x14ac:dyDescent="0.2">
      <c r="A1528" s="1" t="s">
        <v>1869</v>
      </c>
      <c r="B1528" s="1" t="s">
        <v>1880</v>
      </c>
      <c r="C1528" s="1" t="s">
        <v>5724</v>
      </c>
      <c r="D1528" s="48">
        <v>7</v>
      </c>
      <c r="E1528" s="1">
        <v>2</v>
      </c>
      <c r="F1528" s="1" t="s">
        <v>1871</v>
      </c>
      <c r="G1528" s="1" t="s">
        <v>1881</v>
      </c>
      <c r="I1528" s="1" t="s">
        <v>104</v>
      </c>
      <c r="K1528" s="1" t="s">
        <v>105</v>
      </c>
      <c r="O1528" s="55">
        <v>3</v>
      </c>
      <c r="T1528" s="60">
        <v>4</v>
      </c>
      <c r="AL1528" s="60" t="s">
        <v>30</v>
      </c>
    </row>
    <row r="1529" spans="1:38" x14ac:dyDescent="0.2">
      <c r="A1529" s="1" t="s">
        <v>1869</v>
      </c>
      <c r="B1529" s="1" t="s">
        <v>1878</v>
      </c>
      <c r="C1529" s="1" t="s">
        <v>5724</v>
      </c>
      <c r="D1529" s="48">
        <v>8</v>
      </c>
      <c r="E1529" s="1">
        <v>2</v>
      </c>
      <c r="F1529" s="1" t="s">
        <v>1871</v>
      </c>
      <c r="G1529" s="1" t="s">
        <v>1879</v>
      </c>
      <c r="I1529" s="1" t="s">
        <v>104</v>
      </c>
      <c r="K1529" s="1" t="s">
        <v>105</v>
      </c>
      <c r="O1529" s="55">
        <v>1</v>
      </c>
      <c r="T1529" s="60">
        <v>3</v>
      </c>
      <c r="AL1529" s="60" t="s">
        <v>30</v>
      </c>
    </row>
    <row r="1530" spans="1:38" x14ac:dyDescent="0.2">
      <c r="A1530" s="1" t="s">
        <v>1869</v>
      </c>
      <c r="B1530" s="1" t="s">
        <v>1873</v>
      </c>
      <c r="C1530" s="1" t="s">
        <v>5724</v>
      </c>
      <c r="D1530" s="48">
        <v>9</v>
      </c>
      <c r="E1530" s="1">
        <v>8</v>
      </c>
      <c r="F1530" s="1" t="s">
        <v>1871</v>
      </c>
      <c r="G1530" s="1" t="s">
        <v>1874</v>
      </c>
      <c r="I1530" s="1" t="s">
        <v>88</v>
      </c>
      <c r="K1530" s="1" t="s">
        <v>89</v>
      </c>
      <c r="AL1530" s="60" t="s">
        <v>30</v>
      </c>
    </row>
    <row r="1531" spans="1:38" x14ac:dyDescent="0.2">
      <c r="A1531" s="1" t="s">
        <v>1869</v>
      </c>
      <c r="B1531" s="1" t="s">
        <v>1870</v>
      </c>
      <c r="C1531" s="1" t="s">
        <v>5724</v>
      </c>
      <c r="D1531" s="48">
        <v>10</v>
      </c>
      <c r="E1531" s="1">
        <v>1</v>
      </c>
      <c r="F1531" s="1" t="s">
        <v>1871</v>
      </c>
      <c r="G1531" s="1" t="s">
        <v>9575</v>
      </c>
      <c r="I1531" s="1" t="s">
        <v>125</v>
      </c>
      <c r="M1531" s="18">
        <v>1</v>
      </c>
      <c r="N1531" s="54" t="s">
        <v>9529</v>
      </c>
      <c r="X1531" s="1" t="s">
        <v>1872</v>
      </c>
      <c r="Y1531" s="1" t="s">
        <v>9575</v>
      </c>
      <c r="AA1531" s="1" t="s">
        <v>125</v>
      </c>
      <c r="AE1531" s="1">
        <v>1</v>
      </c>
      <c r="AF1531" s="54" t="s">
        <v>9530</v>
      </c>
      <c r="AL1531" s="60" t="s">
        <v>34</v>
      </c>
    </row>
    <row r="1532" spans="1:38" x14ac:dyDescent="0.2">
      <c r="A1532" s="1" t="s">
        <v>1869</v>
      </c>
      <c r="B1532" s="1" t="s">
        <v>1894</v>
      </c>
      <c r="C1532" s="1" t="s">
        <v>5724</v>
      </c>
      <c r="D1532" s="48">
        <v>11</v>
      </c>
      <c r="E1532" s="1">
        <v>1</v>
      </c>
      <c r="F1532" s="1" t="s">
        <v>1871</v>
      </c>
      <c r="G1532" s="1" t="s">
        <v>9634</v>
      </c>
      <c r="I1532" s="1" t="s">
        <v>125</v>
      </c>
      <c r="M1532" s="18">
        <v>2</v>
      </c>
      <c r="N1532" s="54" t="s">
        <v>9529</v>
      </c>
      <c r="Y1532" s="1" t="s">
        <v>9634</v>
      </c>
      <c r="AA1532" s="1" t="s">
        <v>125</v>
      </c>
      <c r="AE1532" s="1">
        <v>2</v>
      </c>
      <c r="AF1532" s="54" t="s">
        <v>9530</v>
      </c>
      <c r="AL1532" s="60" t="s">
        <v>341</v>
      </c>
    </row>
    <row r="1533" spans="1:38" x14ac:dyDescent="0.2">
      <c r="A1533" s="1" t="s">
        <v>1869</v>
      </c>
      <c r="B1533" s="1" t="s">
        <v>1891</v>
      </c>
      <c r="C1533" s="1" t="s">
        <v>5724</v>
      </c>
      <c r="D1533" s="48">
        <v>12</v>
      </c>
      <c r="E1533" s="1">
        <v>1</v>
      </c>
      <c r="F1533" s="1" t="s">
        <v>1871</v>
      </c>
      <c r="G1533" s="1" t="s">
        <v>9694</v>
      </c>
      <c r="I1533" s="1" t="s">
        <v>125</v>
      </c>
      <c r="M1533" s="18">
        <v>3</v>
      </c>
      <c r="N1533" s="54" t="s">
        <v>9529</v>
      </c>
      <c r="Y1533" s="1" t="s">
        <v>9694</v>
      </c>
      <c r="AA1533" s="1" t="s">
        <v>125</v>
      </c>
      <c r="AE1533" s="1">
        <v>3</v>
      </c>
      <c r="AF1533" s="54" t="s">
        <v>9530</v>
      </c>
      <c r="AL1533" s="60" t="s">
        <v>5621</v>
      </c>
    </row>
    <row r="1534" spans="1:38" x14ac:dyDescent="0.2">
      <c r="A1534" s="1" t="s">
        <v>1869</v>
      </c>
      <c r="B1534" s="1" t="s">
        <v>1882</v>
      </c>
      <c r="C1534" s="1" t="s">
        <v>5724</v>
      </c>
      <c r="D1534" s="48">
        <v>13</v>
      </c>
      <c r="E1534" s="1">
        <v>2</v>
      </c>
      <c r="F1534" s="1" t="s">
        <v>1871</v>
      </c>
      <c r="G1534" s="1" t="s">
        <v>1883</v>
      </c>
      <c r="I1534" s="1" t="s">
        <v>82</v>
      </c>
      <c r="AL1534" s="60" t="s">
        <v>30</v>
      </c>
    </row>
    <row r="1535" spans="1:38" x14ac:dyDescent="0.2">
      <c r="A1535" s="1" t="s">
        <v>1869</v>
      </c>
      <c r="B1535" s="1" t="s">
        <v>1892</v>
      </c>
      <c r="C1535" s="1" t="s">
        <v>5724</v>
      </c>
      <c r="D1535" s="48">
        <v>14</v>
      </c>
      <c r="E1535" s="1">
        <v>2</v>
      </c>
      <c r="F1535" s="1" t="s">
        <v>1871</v>
      </c>
      <c r="G1535" s="1" t="s">
        <v>1893</v>
      </c>
      <c r="I1535" s="1" t="s">
        <v>82</v>
      </c>
      <c r="AL1535" s="60" t="s">
        <v>30</v>
      </c>
    </row>
    <row r="1536" spans="1:38" x14ac:dyDescent="0.2">
      <c r="A1536" s="115" t="s">
        <v>1620</v>
      </c>
      <c r="B1536" s="115" t="s">
        <v>1652</v>
      </c>
      <c r="C1536" s="115" t="s">
        <v>5722</v>
      </c>
      <c r="D1536" s="116">
        <v>1</v>
      </c>
      <c r="E1536" s="115">
        <v>1</v>
      </c>
      <c r="F1536" s="115"/>
      <c r="G1536" s="115" t="s">
        <v>1653</v>
      </c>
      <c r="I1536" s="1" t="s">
        <v>94</v>
      </c>
      <c r="AL1536" s="60" t="s">
        <v>30</v>
      </c>
    </row>
    <row r="1537" spans="1:38" x14ac:dyDescent="0.2">
      <c r="A1537" s="1" t="s">
        <v>1620</v>
      </c>
      <c r="B1537" s="1" t="s">
        <v>1636</v>
      </c>
      <c r="C1537" s="1" t="s">
        <v>5722</v>
      </c>
      <c r="D1537" s="48">
        <v>2</v>
      </c>
      <c r="E1537" s="1">
        <v>2</v>
      </c>
      <c r="G1537" s="1" t="s">
        <v>1637</v>
      </c>
      <c r="I1537" s="1" t="s">
        <v>94</v>
      </c>
      <c r="AL1537" s="60" t="s">
        <v>30</v>
      </c>
    </row>
    <row r="1538" spans="1:38" x14ac:dyDescent="0.2">
      <c r="A1538" s="1" t="s">
        <v>1620</v>
      </c>
      <c r="B1538" s="1" t="s">
        <v>1662</v>
      </c>
      <c r="C1538" s="1" t="s">
        <v>5722</v>
      </c>
      <c r="D1538" s="48">
        <v>3</v>
      </c>
      <c r="E1538" s="1">
        <v>4</v>
      </c>
      <c r="G1538" s="1" t="s">
        <v>1663</v>
      </c>
      <c r="I1538" s="1" t="s">
        <v>94</v>
      </c>
      <c r="AL1538" s="60" t="s">
        <v>30</v>
      </c>
    </row>
    <row r="1539" spans="1:38" x14ac:dyDescent="0.2">
      <c r="A1539" s="1" t="s">
        <v>1620</v>
      </c>
      <c r="B1539" s="1" t="s">
        <v>1630</v>
      </c>
      <c r="C1539" s="1" t="s">
        <v>5722</v>
      </c>
      <c r="D1539" s="48">
        <v>4</v>
      </c>
      <c r="E1539" s="1">
        <v>3</v>
      </c>
      <c r="G1539" s="1" t="s">
        <v>1631</v>
      </c>
      <c r="I1539" s="1" t="s">
        <v>94</v>
      </c>
      <c r="AL1539" s="60" t="s">
        <v>30</v>
      </c>
    </row>
    <row r="1540" spans="1:38" x14ac:dyDescent="0.2">
      <c r="A1540" s="1" t="s">
        <v>1620</v>
      </c>
      <c r="B1540" s="1" t="s">
        <v>1623</v>
      </c>
      <c r="C1540" s="1" t="s">
        <v>5722</v>
      </c>
      <c r="D1540" s="48">
        <v>5</v>
      </c>
      <c r="E1540" s="1">
        <v>4</v>
      </c>
      <c r="G1540" s="1" t="s">
        <v>1624</v>
      </c>
      <c r="I1540" s="1" t="s">
        <v>94</v>
      </c>
      <c r="AL1540" s="60" t="s">
        <v>30</v>
      </c>
    </row>
    <row r="1541" spans="1:38" x14ac:dyDescent="0.2">
      <c r="A1541" s="1" t="s">
        <v>1620</v>
      </c>
      <c r="B1541" s="1" t="s">
        <v>1658</v>
      </c>
      <c r="C1541" s="1" t="s">
        <v>5722</v>
      </c>
      <c r="D1541" s="48">
        <v>6</v>
      </c>
      <c r="E1541" s="1">
        <v>4</v>
      </c>
      <c r="G1541" s="1" t="s">
        <v>1659</v>
      </c>
      <c r="I1541" s="1" t="s">
        <v>94</v>
      </c>
      <c r="AL1541" s="60" t="s">
        <v>30</v>
      </c>
    </row>
    <row r="1542" spans="1:38" x14ac:dyDescent="0.2">
      <c r="A1542" s="1" t="s">
        <v>1620</v>
      </c>
      <c r="B1542" s="1" t="s">
        <v>1632</v>
      </c>
      <c r="C1542" s="1" t="s">
        <v>5722</v>
      </c>
      <c r="D1542" s="48">
        <v>7</v>
      </c>
      <c r="E1542" s="1">
        <v>3</v>
      </c>
      <c r="F1542" s="1" t="s">
        <v>5328</v>
      </c>
      <c r="G1542" s="1" t="s">
        <v>1633</v>
      </c>
      <c r="I1542" s="1" t="s">
        <v>104</v>
      </c>
      <c r="O1542" s="55">
        <v>1</v>
      </c>
      <c r="T1542" s="60">
        <v>6</v>
      </c>
      <c r="AL1542" s="60" t="s">
        <v>30</v>
      </c>
    </row>
    <row r="1543" spans="1:38" x14ac:dyDescent="0.2">
      <c r="A1543" s="1" t="s">
        <v>1620</v>
      </c>
      <c r="B1543" s="1" t="s">
        <v>1650</v>
      </c>
      <c r="C1543" s="1" t="s">
        <v>5722</v>
      </c>
      <c r="D1543" s="48">
        <v>8</v>
      </c>
      <c r="E1543" s="1">
        <v>2</v>
      </c>
      <c r="F1543" s="1" t="s">
        <v>5328</v>
      </c>
      <c r="G1543" s="1" t="s">
        <v>1651</v>
      </c>
      <c r="I1543" s="1" t="s">
        <v>104</v>
      </c>
      <c r="O1543" s="55">
        <v>1</v>
      </c>
      <c r="T1543" s="60">
        <v>3</v>
      </c>
      <c r="AL1543" s="60" t="s">
        <v>30</v>
      </c>
    </row>
    <row r="1544" spans="1:38" x14ac:dyDescent="0.2">
      <c r="A1544" s="1" t="s">
        <v>1620</v>
      </c>
      <c r="B1544" s="1" t="s">
        <v>1625</v>
      </c>
      <c r="C1544" s="1" t="s">
        <v>5722</v>
      </c>
      <c r="D1544" s="48">
        <v>9</v>
      </c>
      <c r="E1544" s="1">
        <v>2</v>
      </c>
      <c r="F1544" s="1" t="s">
        <v>5328</v>
      </c>
      <c r="G1544" s="1" t="s">
        <v>1626</v>
      </c>
      <c r="I1544" s="1" t="s">
        <v>104</v>
      </c>
      <c r="O1544" s="55">
        <v>5</v>
      </c>
      <c r="T1544" s="60">
        <v>5</v>
      </c>
      <c r="AL1544" s="60" t="s">
        <v>30</v>
      </c>
    </row>
    <row r="1545" spans="1:38" x14ac:dyDescent="0.2">
      <c r="A1545" s="1" t="s">
        <v>1620</v>
      </c>
      <c r="B1545" s="1" t="s">
        <v>1642</v>
      </c>
      <c r="C1545" s="1" t="s">
        <v>5722</v>
      </c>
      <c r="D1545" s="48">
        <v>10</v>
      </c>
      <c r="E1545" s="1">
        <v>2</v>
      </c>
      <c r="F1545" s="1" t="s">
        <v>5328</v>
      </c>
      <c r="G1545" s="1" t="s">
        <v>1643</v>
      </c>
      <c r="I1545" s="1" t="s">
        <v>104</v>
      </c>
      <c r="O1545" s="55">
        <v>2</v>
      </c>
      <c r="T1545" s="60">
        <v>2</v>
      </c>
      <c r="AL1545" s="60" t="s">
        <v>30</v>
      </c>
    </row>
    <row r="1546" spans="1:38" x14ac:dyDescent="0.2">
      <c r="A1546" s="1" t="s">
        <v>1620</v>
      </c>
      <c r="B1546" s="1" t="s">
        <v>1656</v>
      </c>
      <c r="C1546" s="1" t="s">
        <v>5722</v>
      </c>
      <c r="D1546" s="48">
        <v>11</v>
      </c>
      <c r="E1546" s="1">
        <v>3</v>
      </c>
      <c r="F1546" s="1" t="s">
        <v>5328</v>
      </c>
      <c r="G1546" s="1" t="s">
        <v>1657</v>
      </c>
      <c r="I1546" s="1" t="s">
        <v>104</v>
      </c>
      <c r="O1546" s="55">
        <v>3</v>
      </c>
      <c r="T1546" s="60">
        <v>3</v>
      </c>
      <c r="AL1546" s="60" t="s">
        <v>30</v>
      </c>
    </row>
    <row r="1547" spans="1:38" x14ac:dyDescent="0.2">
      <c r="A1547" s="1" t="s">
        <v>1620</v>
      </c>
      <c r="B1547" s="1" t="s">
        <v>1666</v>
      </c>
      <c r="C1547" s="1" t="s">
        <v>5722</v>
      </c>
      <c r="D1547" s="48">
        <v>12</v>
      </c>
      <c r="E1547" s="1">
        <v>1</v>
      </c>
      <c r="G1547" s="1" t="s">
        <v>1667</v>
      </c>
      <c r="I1547" s="1" t="s">
        <v>88</v>
      </c>
      <c r="AL1547" s="60" t="s">
        <v>30</v>
      </c>
    </row>
    <row r="1548" spans="1:38" x14ac:dyDescent="0.2">
      <c r="A1548" s="1" t="s">
        <v>1620</v>
      </c>
      <c r="B1548" s="1" t="s">
        <v>1640</v>
      </c>
      <c r="C1548" s="1" t="s">
        <v>5722</v>
      </c>
      <c r="D1548" s="48">
        <v>13</v>
      </c>
      <c r="E1548" s="1">
        <v>2</v>
      </c>
      <c r="G1548" s="1" t="s">
        <v>1641</v>
      </c>
      <c r="I1548" s="1" t="s">
        <v>88</v>
      </c>
      <c r="AL1548" s="60" t="s">
        <v>30</v>
      </c>
    </row>
    <row r="1549" spans="1:38" x14ac:dyDescent="0.2">
      <c r="A1549" s="1" t="s">
        <v>1620</v>
      </c>
      <c r="B1549" s="1" t="s">
        <v>1634</v>
      </c>
      <c r="C1549" s="1" t="s">
        <v>5722</v>
      </c>
      <c r="D1549" s="48">
        <v>14</v>
      </c>
      <c r="E1549" s="1">
        <v>1</v>
      </c>
      <c r="G1549" s="1" t="s">
        <v>1635</v>
      </c>
      <c r="I1549" s="1" t="s">
        <v>125</v>
      </c>
      <c r="M1549" s="18">
        <v>1</v>
      </c>
      <c r="N1549" s="54" t="s">
        <v>9529</v>
      </c>
      <c r="Y1549" s="1" t="s">
        <v>1635</v>
      </c>
      <c r="AA1549" s="1" t="s">
        <v>125</v>
      </c>
      <c r="AE1549" s="1">
        <v>1</v>
      </c>
      <c r="AF1549" s="54" t="s">
        <v>9530</v>
      </c>
      <c r="AL1549" s="60" t="s">
        <v>666</v>
      </c>
    </row>
    <row r="1550" spans="1:38" x14ac:dyDescent="0.2">
      <c r="A1550" s="1" t="s">
        <v>1620</v>
      </c>
      <c r="B1550" s="1" t="s">
        <v>1627</v>
      </c>
      <c r="C1550" s="1" t="s">
        <v>5722</v>
      </c>
      <c r="D1550" s="48">
        <v>15</v>
      </c>
      <c r="E1550" s="1">
        <v>1</v>
      </c>
      <c r="G1550" s="1" t="s">
        <v>1628</v>
      </c>
      <c r="I1550" s="1" t="s">
        <v>125</v>
      </c>
      <c r="M1550" s="18">
        <v>2</v>
      </c>
      <c r="N1550" s="54" t="s">
        <v>9529</v>
      </c>
      <c r="X1550" s="1" t="s">
        <v>1629</v>
      </c>
      <c r="Y1550" s="1" t="s">
        <v>1628</v>
      </c>
      <c r="AA1550" s="1" t="s">
        <v>125</v>
      </c>
      <c r="AE1550" s="1">
        <v>2</v>
      </c>
      <c r="AF1550" s="54" t="s">
        <v>9530</v>
      </c>
      <c r="AL1550" s="60" t="s">
        <v>346</v>
      </c>
    </row>
    <row r="1551" spans="1:38" x14ac:dyDescent="0.2">
      <c r="A1551" s="1" t="s">
        <v>1620</v>
      </c>
      <c r="B1551" s="1" t="s">
        <v>1648</v>
      </c>
      <c r="C1551" s="1" t="s">
        <v>5722</v>
      </c>
      <c r="D1551" s="48">
        <v>16</v>
      </c>
      <c r="E1551" s="1">
        <v>1</v>
      </c>
      <c r="G1551" s="1" t="s">
        <v>1649</v>
      </c>
      <c r="I1551" s="1" t="s">
        <v>125</v>
      </c>
      <c r="M1551" s="18">
        <v>3</v>
      </c>
      <c r="N1551" s="54" t="s">
        <v>9529</v>
      </c>
      <c r="Y1551" s="1" t="s">
        <v>1649</v>
      </c>
      <c r="AA1551" s="1" t="s">
        <v>125</v>
      </c>
      <c r="AE1551" s="1">
        <v>3</v>
      </c>
      <c r="AF1551" s="54" t="s">
        <v>9530</v>
      </c>
      <c r="AL1551" s="60" t="s">
        <v>166</v>
      </c>
    </row>
    <row r="1552" spans="1:38" x14ac:dyDescent="0.2">
      <c r="A1552" s="1" t="s">
        <v>1620</v>
      </c>
      <c r="B1552" s="1" t="s">
        <v>1664</v>
      </c>
      <c r="C1552" s="1" t="s">
        <v>5722</v>
      </c>
      <c r="D1552" s="48">
        <v>17</v>
      </c>
      <c r="E1552" s="1">
        <v>1</v>
      </c>
      <c r="G1552" s="1" t="s">
        <v>1665</v>
      </c>
      <c r="I1552" s="1" t="s">
        <v>125</v>
      </c>
      <c r="M1552" s="18">
        <v>4</v>
      </c>
      <c r="N1552" s="54" t="s">
        <v>9529</v>
      </c>
      <c r="Y1552" s="1" t="s">
        <v>1665</v>
      </c>
      <c r="AA1552" s="1" t="s">
        <v>125</v>
      </c>
      <c r="AE1552" s="1">
        <v>4</v>
      </c>
      <c r="AF1552" s="54" t="s">
        <v>9530</v>
      </c>
      <c r="AL1552" s="60" t="s">
        <v>36</v>
      </c>
    </row>
    <row r="1553" spans="1:40" x14ac:dyDescent="0.2">
      <c r="A1553" s="1" t="s">
        <v>1620</v>
      </c>
      <c r="B1553" s="1" t="s">
        <v>1644</v>
      </c>
      <c r="C1553" s="1" t="s">
        <v>5722</v>
      </c>
      <c r="D1553" s="48">
        <v>18</v>
      </c>
      <c r="E1553" s="1">
        <v>1</v>
      </c>
      <c r="G1553" s="1" t="s">
        <v>1645</v>
      </c>
      <c r="I1553" s="1" t="s">
        <v>125</v>
      </c>
      <c r="M1553" s="18">
        <v>5</v>
      </c>
      <c r="N1553" s="54" t="s">
        <v>9529</v>
      </c>
      <c r="Y1553" s="1" t="s">
        <v>1645</v>
      </c>
      <c r="AA1553" s="1" t="s">
        <v>125</v>
      </c>
      <c r="AE1553" s="1">
        <v>5</v>
      </c>
      <c r="AF1553" s="54" t="s">
        <v>9530</v>
      </c>
      <c r="AL1553" s="60" t="s">
        <v>67</v>
      </c>
    </row>
    <row r="1554" spans="1:40" x14ac:dyDescent="0.2">
      <c r="A1554" s="1" t="s">
        <v>1620</v>
      </c>
      <c r="B1554" s="1" t="s">
        <v>1638</v>
      </c>
      <c r="C1554" s="1" t="s">
        <v>5722</v>
      </c>
      <c r="D1554" s="48">
        <v>19</v>
      </c>
      <c r="E1554" s="1">
        <v>2</v>
      </c>
      <c r="G1554" s="1" t="s">
        <v>1639</v>
      </c>
      <c r="I1554" s="1" t="s">
        <v>82</v>
      </c>
      <c r="AL1554" s="60" t="s">
        <v>30</v>
      </c>
    </row>
    <row r="1555" spans="1:40" x14ac:dyDescent="0.2">
      <c r="A1555" s="1" t="s">
        <v>1620</v>
      </c>
      <c r="B1555" s="1" t="s">
        <v>1660</v>
      </c>
      <c r="C1555" s="1" t="s">
        <v>5722</v>
      </c>
      <c r="D1555" s="48">
        <v>20</v>
      </c>
      <c r="E1555" s="1">
        <v>3</v>
      </c>
      <c r="G1555" s="1" t="s">
        <v>1661</v>
      </c>
      <c r="I1555" s="1" t="s">
        <v>82</v>
      </c>
      <c r="AL1555" s="60" t="s">
        <v>30</v>
      </c>
    </row>
    <row r="1556" spans="1:40" x14ac:dyDescent="0.2">
      <c r="A1556" s="1" t="s">
        <v>1620</v>
      </c>
      <c r="B1556" s="1" t="s">
        <v>1621</v>
      </c>
      <c r="C1556" s="1" t="s">
        <v>5722</v>
      </c>
      <c r="D1556" s="48">
        <v>21</v>
      </c>
      <c r="E1556" s="1">
        <v>3</v>
      </c>
      <c r="G1556" s="1" t="s">
        <v>1622</v>
      </c>
      <c r="I1556" s="1" t="s">
        <v>82</v>
      </c>
      <c r="AL1556" s="60" t="s">
        <v>30</v>
      </c>
    </row>
    <row r="1557" spans="1:40" x14ac:dyDescent="0.2">
      <c r="A1557" s="1" t="s">
        <v>1620</v>
      </c>
      <c r="B1557" s="1" t="s">
        <v>1654</v>
      </c>
      <c r="C1557" s="1" t="s">
        <v>5722</v>
      </c>
      <c r="D1557" s="48">
        <v>22</v>
      </c>
      <c r="E1557" s="1">
        <v>4</v>
      </c>
      <c r="G1557" s="1" t="s">
        <v>1655</v>
      </c>
      <c r="I1557" s="1" t="s">
        <v>82</v>
      </c>
      <c r="AL1557" s="60" t="s">
        <v>30</v>
      </c>
    </row>
    <row r="1558" spans="1:40" x14ac:dyDescent="0.2">
      <c r="A1558" s="1" t="s">
        <v>1620</v>
      </c>
      <c r="B1558" s="1" t="s">
        <v>1646</v>
      </c>
      <c r="C1558" s="1" t="s">
        <v>5722</v>
      </c>
      <c r="D1558" s="48">
        <v>23</v>
      </c>
      <c r="E1558" s="1">
        <v>2</v>
      </c>
      <c r="G1558" s="1" t="s">
        <v>1647</v>
      </c>
      <c r="I1558" s="1" t="s">
        <v>82</v>
      </c>
      <c r="AL1558" s="60" t="s">
        <v>30</v>
      </c>
    </row>
    <row r="1559" spans="1:40" ht="24" x14ac:dyDescent="0.2">
      <c r="A1559" s="115" t="s">
        <v>874</v>
      </c>
      <c r="B1559" s="115" t="s">
        <v>887</v>
      </c>
      <c r="C1559" s="115" t="s">
        <v>5725</v>
      </c>
      <c r="D1559" s="116">
        <v>1</v>
      </c>
      <c r="E1559" s="115"/>
      <c r="F1559" s="115" t="s">
        <v>877</v>
      </c>
      <c r="G1559" s="115" t="s">
        <v>888</v>
      </c>
      <c r="H1559" s="1" t="s">
        <v>26</v>
      </c>
      <c r="I1559" s="1" t="s">
        <v>27</v>
      </c>
      <c r="J1559" s="1" t="s">
        <v>28</v>
      </c>
      <c r="K1559" s="1" t="s">
        <v>358</v>
      </c>
      <c r="M1559" s="18">
        <v>11</v>
      </c>
      <c r="P1559" s="56">
        <v>2</v>
      </c>
      <c r="Q1559" s="57">
        <v>2</v>
      </c>
      <c r="R1559" s="58">
        <v>2</v>
      </c>
      <c r="S1559" s="59">
        <v>5</v>
      </c>
      <c r="V1559" s="4" t="s">
        <v>889</v>
      </c>
      <c r="AL1559" s="60" t="s">
        <v>30</v>
      </c>
    </row>
    <row r="1560" spans="1:40" ht="60" x14ac:dyDescent="0.2">
      <c r="A1560" s="1" t="s">
        <v>874</v>
      </c>
      <c r="B1560" s="1" t="s">
        <v>890</v>
      </c>
      <c r="C1560" s="1" t="s">
        <v>5725</v>
      </c>
      <c r="D1560" s="48">
        <v>2</v>
      </c>
      <c r="F1560" s="1" t="s">
        <v>877</v>
      </c>
      <c r="G1560" s="1" t="s">
        <v>891</v>
      </c>
      <c r="I1560" s="1" t="s">
        <v>104</v>
      </c>
      <c r="K1560" s="1" t="s">
        <v>892</v>
      </c>
      <c r="O1560" s="55">
        <v>1</v>
      </c>
      <c r="T1560" s="60">
        <v>2</v>
      </c>
      <c r="U1560" s="1">
        <v>2</v>
      </c>
      <c r="V1560" s="4" t="s">
        <v>893</v>
      </c>
      <c r="AL1560" s="60" t="s">
        <v>30</v>
      </c>
    </row>
    <row r="1561" spans="1:40" ht="84" x14ac:dyDescent="0.2">
      <c r="A1561" s="1" t="s">
        <v>874</v>
      </c>
      <c r="B1561" s="1" t="s">
        <v>883</v>
      </c>
      <c r="C1561" s="1" t="s">
        <v>5725</v>
      </c>
      <c r="D1561" s="48">
        <v>3</v>
      </c>
      <c r="F1561" s="1" t="s">
        <v>877</v>
      </c>
      <c r="G1561" s="1" t="s">
        <v>884</v>
      </c>
      <c r="I1561" s="1" t="s">
        <v>88</v>
      </c>
      <c r="K1561" s="1" t="s">
        <v>885</v>
      </c>
      <c r="U1561" s="1">
        <v>1</v>
      </c>
      <c r="V1561" s="4" t="s">
        <v>886</v>
      </c>
      <c r="AL1561" s="60" t="s">
        <v>30</v>
      </c>
    </row>
    <row r="1562" spans="1:40" ht="36" x14ac:dyDescent="0.2">
      <c r="A1562" s="1" t="s">
        <v>874</v>
      </c>
      <c r="B1562" s="1" t="s">
        <v>880</v>
      </c>
      <c r="C1562" s="1" t="s">
        <v>5725</v>
      </c>
      <c r="D1562" s="48">
        <v>4</v>
      </c>
      <c r="F1562" s="1" t="s">
        <v>877</v>
      </c>
      <c r="G1562" s="1" t="s">
        <v>9576</v>
      </c>
      <c r="I1562" s="1" t="s">
        <v>125</v>
      </c>
      <c r="M1562" s="18">
        <v>1</v>
      </c>
      <c r="N1562" s="54" t="s">
        <v>9529</v>
      </c>
      <c r="V1562" s="4" t="s">
        <v>881</v>
      </c>
      <c r="X1562" s="1" t="s">
        <v>878</v>
      </c>
      <c r="Y1562" s="1" t="s">
        <v>9576</v>
      </c>
      <c r="AA1562" s="1" t="s">
        <v>125</v>
      </c>
      <c r="AE1562" s="1">
        <v>1</v>
      </c>
      <c r="AF1562" s="54" t="s">
        <v>9530</v>
      </c>
      <c r="AL1562" s="60" t="s">
        <v>275</v>
      </c>
      <c r="AN1562" s="4" t="s">
        <v>882</v>
      </c>
    </row>
    <row r="1563" spans="1:40" ht="48" x14ac:dyDescent="0.2">
      <c r="A1563" s="1" t="s">
        <v>874</v>
      </c>
      <c r="B1563" s="1" t="s">
        <v>875</v>
      </c>
      <c r="C1563" s="1" t="s">
        <v>5725</v>
      </c>
      <c r="D1563" s="48">
        <v>5</v>
      </c>
      <c r="F1563" s="1" t="s">
        <v>877</v>
      </c>
      <c r="G1563" s="1" t="s">
        <v>9635</v>
      </c>
      <c r="I1563" s="1" t="s">
        <v>125</v>
      </c>
      <c r="M1563" s="18">
        <v>2</v>
      </c>
      <c r="N1563" s="54" t="s">
        <v>9529</v>
      </c>
      <c r="V1563" s="4" t="s">
        <v>876</v>
      </c>
      <c r="X1563" s="1" t="s">
        <v>7847</v>
      </c>
      <c r="Y1563" s="1" t="s">
        <v>9635</v>
      </c>
      <c r="AA1563" s="1" t="s">
        <v>125</v>
      </c>
      <c r="AE1563" s="1">
        <v>2</v>
      </c>
      <c r="AF1563" s="54" t="s">
        <v>9530</v>
      </c>
      <c r="AL1563" s="60" t="s">
        <v>32</v>
      </c>
      <c r="AN1563" s="4" t="s">
        <v>879</v>
      </c>
    </row>
    <row r="1564" spans="1:40" ht="108" x14ac:dyDescent="0.2">
      <c r="A1564" s="1" t="s">
        <v>874</v>
      </c>
      <c r="B1564" s="1" t="s">
        <v>894</v>
      </c>
      <c r="C1564" s="1" t="s">
        <v>5725</v>
      </c>
      <c r="D1564" s="48">
        <v>6</v>
      </c>
      <c r="F1564" s="1" t="s">
        <v>877</v>
      </c>
      <c r="G1564" s="1" t="s">
        <v>9695</v>
      </c>
      <c r="I1564" s="1" t="s">
        <v>125</v>
      </c>
      <c r="M1564" s="18">
        <v>3</v>
      </c>
      <c r="N1564" s="54" t="s">
        <v>9529</v>
      </c>
      <c r="V1564" s="4" t="s">
        <v>895</v>
      </c>
      <c r="X1564" s="1" t="s">
        <v>2066</v>
      </c>
      <c r="Y1564" s="1" t="s">
        <v>9695</v>
      </c>
      <c r="AA1564" s="1" t="s">
        <v>125</v>
      </c>
      <c r="AE1564" s="1">
        <v>3</v>
      </c>
      <c r="AF1564" s="54" t="s">
        <v>9530</v>
      </c>
      <c r="AL1564" s="60" t="s">
        <v>34</v>
      </c>
      <c r="AN1564" s="4" t="s">
        <v>896</v>
      </c>
    </row>
    <row r="1565" spans="1:40" ht="96" x14ac:dyDescent="0.2">
      <c r="A1565" s="115" t="s">
        <v>1597</v>
      </c>
      <c r="B1565" s="115" t="s">
        <v>1616</v>
      </c>
      <c r="C1565" s="115" t="s">
        <v>5726</v>
      </c>
      <c r="D1565" s="116">
        <v>1</v>
      </c>
      <c r="E1565" s="115">
        <v>1</v>
      </c>
      <c r="F1565" s="115" t="s">
        <v>1602</v>
      </c>
      <c r="G1565" s="115" t="s">
        <v>1617</v>
      </c>
      <c r="H1565" s="1" t="s">
        <v>26</v>
      </c>
      <c r="I1565" s="1" t="s">
        <v>94</v>
      </c>
      <c r="K1565" s="1" t="s">
        <v>1618</v>
      </c>
      <c r="N1565" s="54">
        <v>44</v>
      </c>
      <c r="O1565" s="55" t="s">
        <v>113</v>
      </c>
      <c r="Q1565" s="57" t="s">
        <v>113</v>
      </c>
      <c r="R1565" s="58">
        <v>5</v>
      </c>
      <c r="S1565" s="59">
        <v>9</v>
      </c>
      <c r="U1565" s="1">
        <v>4</v>
      </c>
      <c r="V1565" s="4" t="s">
        <v>1619</v>
      </c>
      <c r="AL1565" s="60" t="s">
        <v>30</v>
      </c>
    </row>
    <row r="1566" spans="1:40" ht="72" x14ac:dyDescent="0.2">
      <c r="A1566" s="1" t="s">
        <v>1597</v>
      </c>
      <c r="B1566" s="1" t="s">
        <v>1607</v>
      </c>
      <c r="C1566" s="1" t="s">
        <v>5726</v>
      </c>
      <c r="D1566" s="48">
        <v>2</v>
      </c>
      <c r="E1566" s="1">
        <v>1</v>
      </c>
      <c r="F1566" s="1" t="s">
        <v>1602</v>
      </c>
      <c r="G1566" s="1" t="s">
        <v>1608</v>
      </c>
      <c r="I1566" s="1" t="s">
        <v>104</v>
      </c>
      <c r="K1566" s="1" t="s">
        <v>1600</v>
      </c>
      <c r="O1566" s="55" t="s">
        <v>113</v>
      </c>
      <c r="T1566" s="60">
        <v>6</v>
      </c>
      <c r="U1566" s="1">
        <v>2</v>
      </c>
      <c r="V1566" s="4" t="s">
        <v>1609</v>
      </c>
      <c r="AL1566" s="60" t="s">
        <v>30</v>
      </c>
    </row>
    <row r="1567" spans="1:40" ht="72" x14ac:dyDescent="0.2">
      <c r="A1567" s="1" t="s">
        <v>1597</v>
      </c>
      <c r="B1567" s="1" t="s">
        <v>1613</v>
      </c>
      <c r="C1567" s="1" t="s">
        <v>5726</v>
      </c>
      <c r="D1567" s="48">
        <v>3</v>
      </c>
      <c r="E1567" s="1">
        <v>1</v>
      </c>
      <c r="F1567" s="1" t="s">
        <v>1602</v>
      </c>
      <c r="G1567" s="1" t="s">
        <v>1614</v>
      </c>
      <c r="I1567" s="1" t="s">
        <v>104</v>
      </c>
      <c r="K1567" s="1" t="s">
        <v>1600</v>
      </c>
      <c r="O1567" s="55" t="s">
        <v>113</v>
      </c>
      <c r="T1567" s="60">
        <v>6</v>
      </c>
      <c r="U1567" s="1">
        <v>2</v>
      </c>
      <c r="V1567" s="4" t="s">
        <v>1615</v>
      </c>
      <c r="AL1567" s="60" t="s">
        <v>30</v>
      </c>
    </row>
    <row r="1568" spans="1:40" ht="72" x14ac:dyDescent="0.2">
      <c r="A1568" s="1" t="s">
        <v>1597</v>
      </c>
      <c r="B1568" s="1" t="s">
        <v>1598</v>
      </c>
      <c r="C1568" s="1" t="s">
        <v>5726</v>
      </c>
      <c r="D1568" s="48">
        <v>4</v>
      </c>
      <c r="E1568" s="1">
        <v>1</v>
      </c>
      <c r="F1568" s="1" t="s">
        <v>1602</v>
      </c>
      <c r="G1568" s="1" t="s">
        <v>1599</v>
      </c>
      <c r="I1568" s="1" t="s">
        <v>104</v>
      </c>
      <c r="K1568" s="1" t="s">
        <v>1600</v>
      </c>
      <c r="O1568" s="55" t="s">
        <v>113</v>
      </c>
      <c r="T1568" s="60">
        <v>6</v>
      </c>
      <c r="U1568" s="1">
        <v>2</v>
      </c>
      <c r="V1568" s="4" t="s">
        <v>1601</v>
      </c>
      <c r="AL1568" s="60" t="s">
        <v>30</v>
      </c>
    </row>
    <row r="1569" spans="1:40" ht="84" x14ac:dyDescent="0.2">
      <c r="A1569" s="1" t="s">
        <v>1597</v>
      </c>
      <c r="B1569" s="1" t="s">
        <v>1610</v>
      </c>
      <c r="C1569" s="1" t="s">
        <v>5726</v>
      </c>
      <c r="D1569" s="48">
        <v>5</v>
      </c>
      <c r="E1569" s="1">
        <v>1</v>
      </c>
      <c r="F1569" s="1" t="s">
        <v>1602</v>
      </c>
      <c r="G1569" s="1" t="s">
        <v>1611</v>
      </c>
      <c r="I1569" s="1" t="s">
        <v>104</v>
      </c>
      <c r="K1569" s="1" t="s">
        <v>1600</v>
      </c>
      <c r="O1569" s="55" t="s">
        <v>113</v>
      </c>
      <c r="T1569" s="60">
        <v>6</v>
      </c>
      <c r="U1569" s="1">
        <v>2</v>
      </c>
      <c r="V1569" s="4" t="s">
        <v>1612</v>
      </c>
      <c r="AL1569" s="60" t="s">
        <v>30</v>
      </c>
    </row>
    <row r="1570" spans="1:40" ht="96" x14ac:dyDescent="0.2">
      <c r="A1570" s="1" t="s">
        <v>1597</v>
      </c>
      <c r="B1570" s="1" t="s">
        <v>1603</v>
      </c>
      <c r="C1570" s="1" t="s">
        <v>5726</v>
      </c>
      <c r="D1570" s="48">
        <v>6</v>
      </c>
      <c r="E1570" s="1">
        <v>1</v>
      </c>
      <c r="F1570" s="1" t="s">
        <v>1602</v>
      </c>
      <c r="G1570" s="1" t="s">
        <v>9577</v>
      </c>
      <c r="I1570" s="1" t="s">
        <v>125</v>
      </c>
      <c r="M1570" s="18">
        <v>1</v>
      </c>
      <c r="N1570" s="54" t="s">
        <v>9529</v>
      </c>
      <c r="V1570" s="4" t="s">
        <v>1604</v>
      </c>
      <c r="X1570" s="1" t="s">
        <v>1605</v>
      </c>
      <c r="Y1570" s="1" t="s">
        <v>9577</v>
      </c>
      <c r="AA1570" s="1" t="s">
        <v>125</v>
      </c>
      <c r="AE1570" s="1">
        <v>1</v>
      </c>
      <c r="AF1570" s="54" t="s">
        <v>9530</v>
      </c>
      <c r="AL1570" s="60" t="s">
        <v>337</v>
      </c>
      <c r="AN1570" s="4" t="s">
        <v>1606</v>
      </c>
    </row>
    <row r="1571" spans="1:40" x14ac:dyDescent="0.2">
      <c r="A1571" s="115" t="s">
        <v>2148</v>
      </c>
      <c r="B1571" s="115" t="s">
        <v>2176</v>
      </c>
      <c r="C1571" s="115" t="s">
        <v>5727</v>
      </c>
      <c r="D1571" s="116">
        <v>1</v>
      </c>
      <c r="E1571" s="115"/>
      <c r="F1571" s="115" t="s">
        <v>1671</v>
      </c>
      <c r="G1571" s="115" t="s">
        <v>2177</v>
      </c>
      <c r="I1571" s="1" t="s">
        <v>94</v>
      </c>
      <c r="K1571" s="1" t="s">
        <v>2178</v>
      </c>
      <c r="N1571" s="54">
        <v>40</v>
      </c>
      <c r="O1571" s="55">
        <v>4</v>
      </c>
      <c r="Q1571" s="57">
        <v>4</v>
      </c>
      <c r="R1571" s="58">
        <v>2</v>
      </c>
      <c r="S1571" s="59">
        <v>7</v>
      </c>
      <c r="U1571" s="1">
        <v>2</v>
      </c>
      <c r="V1571" s="4" t="s">
        <v>2179</v>
      </c>
      <c r="AL1571" s="60" t="s">
        <v>30</v>
      </c>
    </row>
    <row r="1572" spans="1:40" ht="24" x14ac:dyDescent="0.2">
      <c r="A1572" s="1" t="s">
        <v>2148</v>
      </c>
      <c r="B1572" s="1" t="s">
        <v>2172</v>
      </c>
      <c r="C1572" s="1" t="s">
        <v>5727</v>
      </c>
      <c r="D1572" s="48">
        <v>2</v>
      </c>
      <c r="F1572" s="1" t="s">
        <v>1671</v>
      </c>
      <c r="G1572" s="1" t="s">
        <v>2173</v>
      </c>
      <c r="I1572" s="1" t="s">
        <v>94</v>
      </c>
      <c r="K1572" s="1" t="s">
        <v>2174</v>
      </c>
      <c r="N1572" s="54">
        <v>45</v>
      </c>
      <c r="O1572" s="55">
        <v>1</v>
      </c>
      <c r="Q1572" s="57">
        <v>2</v>
      </c>
      <c r="R1572" s="58">
        <v>3</v>
      </c>
      <c r="S1572" s="59">
        <v>11</v>
      </c>
      <c r="U1572" s="1">
        <v>5</v>
      </c>
      <c r="V1572" s="4" t="s">
        <v>2175</v>
      </c>
      <c r="AL1572" s="60" t="s">
        <v>30</v>
      </c>
    </row>
    <row r="1573" spans="1:40" ht="72" x14ac:dyDescent="0.2">
      <c r="A1573" s="1" t="s">
        <v>2148</v>
      </c>
      <c r="B1573" s="1" t="s">
        <v>2153</v>
      </c>
      <c r="C1573" s="1" t="s">
        <v>5727</v>
      </c>
      <c r="D1573" s="48">
        <v>3</v>
      </c>
      <c r="F1573" s="1" t="s">
        <v>1671</v>
      </c>
      <c r="G1573" s="1" t="s">
        <v>2154</v>
      </c>
      <c r="I1573" s="1" t="s">
        <v>88</v>
      </c>
      <c r="K1573" s="1" t="s">
        <v>2155</v>
      </c>
      <c r="L1573" s="2" t="s">
        <v>704</v>
      </c>
      <c r="V1573" s="4" t="s">
        <v>2156</v>
      </c>
      <c r="AL1573" s="60" t="s">
        <v>30</v>
      </c>
    </row>
    <row r="1574" spans="1:40" ht="96" x14ac:dyDescent="0.2">
      <c r="A1574" s="1" t="s">
        <v>2148</v>
      </c>
      <c r="B1574" s="1" t="s">
        <v>2149</v>
      </c>
      <c r="C1574" s="1" t="s">
        <v>5727</v>
      </c>
      <c r="D1574" s="48">
        <v>4</v>
      </c>
      <c r="F1574" s="1" t="s">
        <v>1671</v>
      </c>
      <c r="G1574" s="1" t="s">
        <v>9578</v>
      </c>
      <c r="I1574" s="1" t="s">
        <v>125</v>
      </c>
      <c r="M1574" s="18">
        <v>1</v>
      </c>
      <c r="N1574" s="54" t="s">
        <v>9529</v>
      </c>
      <c r="V1574" s="4" t="s">
        <v>2150</v>
      </c>
      <c r="X1574" s="1" t="s">
        <v>2151</v>
      </c>
      <c r="Y1574" s="1" t="s">
        <v>9578</v>
      </c>
      <c r="AA1574" s="1" t="s">
        <v>125</v>
      </c>
      <c r="AE1574" s="1">
        <v>1</v>
      </c>
      <c r="AF1574" s="54" t="s">
        <v>9530</v>
      </c>
      <c r="AL1574" s="60" t="s">
        <v>34</v>
      </c>
      <c r="AN1574" s="4" t="s">
        <v>2152</v>
      </c>
    </row>
    <row r="1575" spans="1:40" ht="36" x14ac:dyDescent="0.2">
      <c r="A1575" s="1" t="s">
        <v>2148</v>
      </c>
      <c r="B1575" s="1" t="s">
        <v>2157</v>
      </c>
      <c r="C1575" s="1" t="s">
        <v>5727</v>
      </c>
      <c r="D1575" s="48">
        <v>5</v>
      </c>
      <c r="F1575" s="1" t="s">
        <v>1671</v>
      </c>
      <c r="G1575" s="1" t="s">
        <v>9578</v>
      </c>
      <c r="I1575" s="1" t="s">
        <v>125</v>
      </c>
      <c r="M1575" s="18">
        <v>2</v>
      </c>
      <c r="N1575" s="54" t="s">
        <v>9529</v>
      </c>
      <c r="V1575" s="4" t="s">
        <v>2158</v>
      </c>
      <c r="Y1575" s="1" t="s">
        <v>9654</v>
      </c>
      <c r="AA1575" s="1" t="s">
        <v>125</v>
      </c>
      <c r="AE1575" s="1">
        <v>2</v>
      </c>
      <c r="AF1575" s="54" t="s">
        <v>9530</v>
      </c>
      <c r="AL1575" s="60" t="s">
        <v>32</v>
      </c>
      <c r="AN1575" s="4" t="s">
        <v>2159</v>
      </c>
    </row>
    <row r="1576" spans="1:40" ht="48" x14ac:dyDescent="0.2">
      <c r="A1576" s="1" t="s">
        <v>2148</v>
      </c>
      <c r="B1576" s="1" t="s">
        <v>2160</v>
      </c>
      <c r="C1576" s="1" t="s">
        <v>5727</v>
      </c>
      <c r="D1576" s="48">
        <v>6</v>
      </c>
      <c r="F1576" s="1" t="s">
        <v>1671</v>
      </c>
      <c r="G1576" s="1" t="s">
        <v>9578</v>
      </c>
      <c r="I1576" s="1" t="s">
        <v>125</v>
      </c>
      <c r="M1576" s="18">
        <v>2</v>
      </c>
      <c r="N1576" s="54" t="s">
        <v>9529</v>
      </c>
      <c r="V1576" s="4" t="s">
        <v>2158</v>
      </c>
      <c r="Y1576" s="1" t="s">
        <v>9655</v>
      </c>
      <c r="AA1576" s="1" t="s">
        <v>125</v>
      </c>
      <c r="AE1576" s="1">
        <v>2</v>
      </c>
      <c r="AF1576" s="54" t="s">
        <v>9530</v>
      </c>
      <c r="AL1576" s="60" t="s">
        <v>166</v>
      </c>
      <c r="AN1576" s="4" t="s">
        <v>2161</v>
      </c>
    </row>
    <row r="1577" spans="1:40" ht="60" x14ac:dyDescent="0.2">
      <c r="A1577" s="1" t="s">
        <v>2148</v>
      </c>
      <c r="B1577" s="1" t="s">
        <v>2162</v>
      </c>
      <c r="C1577" s="1" t="s">
        <v>5727</v>
      </c>
      <c r="D1577" s="48">
        <v>7</v>
      </c>
      <c r="F1577" s="1" t="s">
        <v>1671</v>
      </c>
      <c r="G1577" s="1" t="s">
        <v>9578</v>
      </c>
      <c r="I1577" s="1" t="s">
        <v>125</v>
      </c>
      <c r="M1577" s="18">
        <v>2</v>
      </c>
      <c r="N1577" s="54" t="s">
        <v>9529</v>
      </c>
      <c r="V1577" s="4" t="s">
        <v>2158</v>
      </c>
      <c r="Y1577" s="1" t="s">
        <v>9656</v>
      </c>
      <c r="AA1577" s="1" t="s">
        <v>125</v>
      </c>
      <c r="AE1577" s="1">
        <v>2</v>
      </c>
      <c r="AF1577" s="54" t="s">
        <v>9530</v>
      </c>
      <c r="AL1577" s="60" t="s">
        <v>33</v>
      </c>
      <c r="AN1577" s="4" t="s">
        <v>2163</v>
      </c>
    </row>
    <row r="1578" spans="1:40" ht="60" x14ac:dyDescent="0.2">
      <c r="A1578" s="1" t="s">
        <v>2148</v>
      </c>
      <c r="B1578" s="1" t="s">
        <v>2164</v>
      </c>
      <c r="C1578" s="1" t="s">
        <v>5727</v>
      </c>
      <c r="D1578" s="48">
        <v>8</v>
      </c>
      <c r="F1578" s="1" t="s">
        <v>1671</v>
      </c>
      <c r="G1578" s="1" t="s">
        <v>9578</v>
      </c>
      <c r="I1578" s="1" t="s">
        <v>125</v>
      </c>
      <c r="M1578" s="18">
        <v>2</v>
      </c>
      <c r="N1578" s="54" t="s">
        <v>9529</v>
      </c>
      <c r="V1578" s="4" t="s">
        <v>2158</v>
      </c>
      <c r="Y1578" s="1" t="s">
        <v>9657</v>
      </c>
      <c r="AA1578" s="1" t="s">
        <v>125</v>
      </c>
      <c r="AE1578" s="1">
        <v>2</v>
      </c>
      <c r="AF1578" s="54" t="s">
        <v>9530</v>
      </c>
      <c r="AL1578" s="60" t="s">
        <v>34</v>
      </c>
      <c r="AN1578" s="4" t="s">
        <v>2165</v>
      </c>
    </row>
    <row r="1579" spans="1:40" ht="96" x14ac:dyDescent="0.2">
      <c r="A1579" s="1" t="s">
        <v>2148</v>
      </c>
      <c r="B1579" s="1" t="s">
        <v>2166</v>
      </c>
      <c r="C1579" s="1" t="s">
        <v>5727</v>
      </c>
      <c r="D1579" s="48">
        <v>9</v>
      </c>
      <c r="F1579" s="1" t="s">
        <v>1671</v>
      </c>
      <c r="G1579" s="1" t="s">
        <v>9578</v>
      </c>
      <c r="I1579" s="1" t="s">
        <v>125</v>
      </c>
      <c r="M1579" s="18">
        <v>2</v>
      </c>
      <c r="N1579" s="54" t="s">
        <v>9529</v>
      </c>
      <c r="V1579" s="4" t="s">
        <v>2158</v>
      </c>
      <c r="Y1579" s="1" t="s">
        <v>9554</v>
      </c>
      <c r="AA1579" s="1" t="s">
        <v>125</v>
      </c>
      <c r="AE1579" s="1">
        <v>2</v>
      </c>
      <c r="AF1579" s="54" t="s">
        <v>9530</v>
      </c>
      <c r="AL1579" s="60" t="s">
        <v>36</v>
      </c>
      <c r="AN1579" s="4" t="s">
        <v>2167</v>
      </c>
    </row>
    <row r="1580" spans="1:40" ht="72" x14ac:dyDescent="0.2">
      <c r="A1580" s="1" t="s">
        <v>2148</v>
      </c>
      <c r="B1580" s="1" t="s">
        <v>2168</v>
      </c>
      <c r="C1580" s="1" t="s">
        <v>5727</v>
      </c>
      <c r="D1580" s="48">
        <v>10</v>
      </c>
      <c r="F1580" s="1" t="s">
        <v>1671</v>
      </c>
      <c r="G1580" s="1" t="s">
        <v>9578</v>
      </c>
      <c r="I1580" s="1" t="s">
        <v>125</v>
      </c>
      <c r="M1580" s="18">
        <v>2</v>
      </c>
      <c r="N1580" s="54" t="s">
        <v>9529</v>
      </c>
      <c r="V1580" s="4" t="s">
        <v>2158</v>
      </c>
      <c r="Y1580" s="1" t="s">
        <v>9658</v>
      </c>
      <c r="AA1580" s="1" t="s">
        <v>125</v>
      </c>
      <c r="AE1580" s="1">
        <v>2</v>
      </c>
      <c r="AF1580" s="54" t="s">
        <v>9530</v>
      </c>
      <c r="AL1580" s="60" t="s">
        <v>34</v>
      </c>
      <c r="AN1580" s="4" t="s">
        <v>2169</v>
      </c>
    </row>
    <row r="1581" spans="1:40" ht="60" x14ac:dyDescent="0.2">
      <c r="A1581" s="1" t="s">
        <v>2148</v>
      </c>
      <c r="B1581" s="1" t="s">
        <v>2170</v>
      </c>
      <c r="C1581" s="1" t="s">
        <v>5727</v>
      </c>
      <c r="D1581" s="48">
        <v>11</v>
      </c>
      <c r="F1581" s="1" t="s">
        <v>1671</v>
      </c>
      <c r="G1581" s="1" t="s">
        <v>9578</v>
      </c>
      <c r="I1581" s="1" t="s">
        <v>125</v>
      </c>
      <c r="M1581" s="18">
        <v>2</v>
      </c>
      <c r="N1581" s="54" t="s">
        <v>9529</v>
      </c>
      <c r="V1581" s="4" t="s">
        <v>2158</v>
      </c>
      <c r="Y1581" s="1" t="s">
        <v>9659</v>
      </c>
      <c r="AA1581" s="1" t="s">
        <v>125</v>
      </c>
      <c r="AE1581" s="1">
        <v>2</v>
      </c>
      <c r="AF1581" s="54" t="s">
        <v>9530</v>
      </c>
      <c r="AL1581" s="60" t="s">
        <v>46</v>
      </c>
      <c r="AN1581" s="4" t="s">
        <v>2171</v>
      </c>
    </row>
    <row r="1582" spans="1:40" ht="84" x14ac:dyDescent="0.2">
      <c r="A1582" s="1" t="s">
        <v>2148</v>
      </c>
      <c r="B1582" s="1" t="s">
        <v>2180</v>
      </c>
      <c r="C1582" s="1" t="s">
        <v>5727</v>
      </c>
      <c r="D1582" s="48">
        <v>12</v>
      </c>
      <c r="F1582" s="1" t="s">
        <v>1671</v>
      </c>
      <c r="G1582" s="1" t="s">
        <v>9578</v>
      </c>
      <c r="I1582" s="1" t="s">
        <v>125</v>
      </c>
      <c r="M1582" s="18">
        <v>3</v>
      </c>
      <c r="N1582" s="54" t="s">
        <v>9529</v>
      </c>
      <c r="V1582" s="4" t="s">
        <v>2181</v>
      </c>
      <c r="Y1582" s="1" t="s">
        <v>9707</v>
      </c>
      <c r="AA1582" s="1" t="s">
        <v>125</v>
      </c>
      <c r="AE1582" s="1">
        <v>3</v>
      </c>
      <c r="AF1582" s="54" t="s">
        <v>9530</v>
      </c>
      <c r="AL1582" s="60" t="s">
        <v>33</v>
      </c>
      <c r="AN1582" s="4" t="s">
        <v>2182</v>
      </c>
    </row>
    <row r="1583" spans="1:40" x14ac:dyDescent="0.2">
      <c r="A1583" s="115" t="s">
        <v>1899</v>
      </c>
      <c r="B1583" s="115" t="s">
        <v>1987</v>
      </c>
      <c r="C1583" s="115" t="s">
        <v>5728</v>
      </c>
      <c r="D1583" s="116">
        <v>1</v>
      </c>
      <c r="E1583" s="115">
        <v>3</v>
      </c>
      <c r="F1583" s="115" t="s">
        <v>1908</v>
      </c>
      <c r="G1583" s="115" t="s">
        <v>1988</v>
      </c>
      <c r="I1583" s="1" t="s">
        <v>94</v>
      </c>
      <c r="K1583" s="1" t="s">
        <v>1989</v>
      </c>
      <c r="L1583" s="2" t="s">
        <v>1990</v>
      </c>
      <c r="N1583" s="54">
        <v>34</v>
      </c>
      <c r="O1583" s="55">
        <v>2</v>
      </c>
      <c r="Q1583" s="57">
        <v>2</v>
      </c>
      <c r="R1583" s="58">
        <v>2</v>
      </c>
      <c r="S1583" s="59">
        <v>3</v>
      </c>
      <c r="AL1583" s="60" t="s">
        <v>30</v>
      </c>
    </row>
    <row r="1584" spans="1:40" x14ac:dyDescent="0.2">
      <c r="A1584" s="1" t="s">
        <v>1899</v>
      </c>
      <c r="B1584" s="1" t="s">
        <v>1945</v>
      </c>
      <c r="C1584" s="1" t="s">
        <v>5728</v>
      </c>
      <c r="D1584" s="48">
        <v>2</v>
      </c>
      <c r="E1584" s="1">
        <v>1</v>
      </c>
      <c r="F1584" s="1" t="s">
        <v>1908</v>
      </c>
      <c r="G1584" s="1" t="s">
        <v>1946</v>
      </c>
      <c r="H1584" s="1" t="s">
        <v>26</v>
      </c>
      <c r="I1584" s="1" t="s">
        <v>94</v>
      </c>
      <c r="K1584" s="1" t="s">
        <v>1947</v>
      </c>
      <c r="L1584" s="2" t="s">
        <v>1948</v>
      </c>
      <c r="N1584" s="54">
        <v>42</v>
      </c>
      <c r="O1584" s="55">
        <v>2</v>
      </c>
      <c r="Q1584" s="57">
        <v>3</v>
      </c>
      <c r="R1584" s="58">
        <v>3</v>
      </c>
      <c r="S1584" s="59">
        <v>5</v>
      </c>
      <c r="U1584" s="1">
        <v>4</v>
      </c>
      <c r="AL1584" s="60" t="s">
        <v>30</v>
      </c>
    </row>
    <row r="1585" spans="1:38" x14ac:dyDescent="0.2">
      <c r="A1585" s="1" t="s">
        <v>1899</v>
      </c>
      <c r="B1585" s="1" t="s">
        <v>2042</v>
      </c>
      <c r="C1585" s="1" t="s">
        <v>5728</v>
      </c>
      <c r="D1585" s="48">
        <v>3</v>
      </c>
      <c r="E1585" s="1">
        <v>2</v>
      </c>
      <c r="F1585" s="1" t="s">
        <v>1908</v>
      </c>
      <c r="G1585" s="1" t="s">
        <v>2043</v>
      </c>
      <c r="I1585" s="1" t="s">
        <v>94</v>
      </c>
      <c r="K1585" s="1" t="s">
        <v>1907</v>
      </c>
      <c r="L1585" s="2" t="s">
        <v>2044</v>
      </c>
      <c r="N1585" s="54">
        <v>40</v>
      </c>
      <c r="Q1585" s="57">
        <v>4</v>
      </c>
      <c r="R1585" s="58">
        <v>1</v>
      </c>
      <c r="S1585" s="59">
        <v>2</v>
      </c>
      <c r="AL1585" s="60" t="s">
        <v>30</v>
      </c>
    </row>
    <row r="1586" spans="1:38" x14ac:dyDescent="0.2">
      <c r="A1586" s="1" t="s">
        <v>1899</v>
      </c>
      <c r="B1586" s="1" t="s">
        <v>1905</v>
      </c>
      <c r="C1586" s="1" t="s">
        <v>5728</v>
      </c>
      <c r="D1586" s="48">
        <v>4</v>
      </c>
      <c r="E1586" s="1">
        <v>4</v>
      </c>
      <c r="F1586" s="1" t="s">
        <v>1908</v>
      </c>
      <c r="G1586" s="1" t="s">
        <v>1906</v>
      </c>
      <c r="I1586" s="1" t="s">
        <v>94</v>
      </c>
      <c r="K1586" s="1" t="s">
        <v>1907</v>
      </c>
      <c r="N1586" s="54">
        <v>38</v>
      </c>
      <c r="O1586" s="55">
        <v>2</v>
      </c>
      <c r="Q1586" s="57">
        <v>3</v>
      </c>
      <c r="R1586" s="58">
        <v>2</v>
      </c>
      <c r="S1586" s="59">
        <v>3</v>
      </c>
      <c r="AL1586" s="60" t="s">
        <v>30</v>
      </c>
    </row>
    <row r="1587" spans="1:38" x14ac:dyDescent="0.2">
      <c r="A1587" s="1" t="s">
        <v>1899</v>
      </c>
      <c r="B1587" s="1" t="s">
        <v>1964</v>
      </c>
      <c r="C1587" s="1" t="s">
        <v>5728</v>
      </c>
      <c r="D1587" s="48">
        <v>5</v>
      </c>
      <c r="E1587" s="1">
        <v>2</v>
      </c>
      <c r="F1587" s="1" t="s">
        <v>1908</v>
      </c>
      <c r="G1587" s="1" t="s">
        <v>1965</v>
      </c>
      <c r="I1587" s="1" t="s">
        <v>104</v>
      </c>
      <c r="K1587" s="1" t="s">
        <v>1966</v>
      </c>
      <c r="O1587" s="55">
        <v>3</v>
      </c>
      <c r="T1587" s="60">
        <v>3</v>
      </c>
      <c r="AL1587" s="60" t="s">
        <v>30</v>
      </c>
    </row>
    <row r="1588" spans="1:38" x14ac:dyDescent="0.2">
      <c r="A1588" s="1" t="s">
        <v>1899</v>
      </c>
      <c r="B1588" s="1" t="s">
        <v>2080</v>
      </c>
      <c r="C1588" s="1" t="s">
        <v>5728</v>
      </c>
      <c r="D1588" s="48">
        <v>6</v>
      </c>
      <c r="E1588" s="1">
        <v>3</v>
      </c>
      <c r="F1588" s="1" t="s">
        <v>1908</v>
      </c>
      <c r="G1588" s="1" t="s">
        <v>2081</v>
      </c>
      <c r="I1588" s="1" t="s">
        <v>104</v>
      </c>
      <c r="K1588" s="1" t="s">
        <v>2082</v>
      </c>
      <c r="O1588" s="55">
        <v>2</v>
      </c>
      <c r="T1588" s="60">
        <v>1</v>
      </c>
      <c r="AL1588" s="60" t="s">
        <v>30</v>
      </c>
    </row>
    <row r="1589" spans="1:38" x14ac:dyDescent="0.2">
      <c r="A1589" s="1" t="s">
        <v>1899</v>
      </c>
      <c r="B1589" s="1" t="s">
        <v>2091</v>
      </c>
      <c r="C1589" s="1" t="s">
        <v>5728</v>
      </c>
      <c r="D1589" s="48">
        <v>7</v>
      </c>
      <c r="E1589" s="1">
        <v>1</v>
      </c>
      <c r="F1589" s="1" t="s">
        <v>1908</v>
      </c>
      <c r="G1589" s="1" t="s">
        <v>2092</v>
      </c>
      <c r="I1589" s="1" t="s">
        <v>104</v>
      </c>
      <c r="K1589" s="1" t="s">
        <v>2093</v>
      </c>
      <c r="O1589" s="55">
        <v>3</v>
      </c>
      <c r="T1589" s="60">
        <v>4</v>
      </c>
      <c r="AL1589" s="60" t="s">
        <v>30</v>
      </c>
    </row>
    <row r="1590" spans="1:38" x14ac:dyDescent="0.2">
      <c r="A1590" s="1" t="s">
        <v>1899</v>
      </c>
      <c r="B1590" s="1" t="s">
        <v>2078</v>
      </c>
      <c r="C1590" s="1" t="s">
        <v>5728</v>
      </c>
      <c r="D1590" s="48">
        <v>8</v>
      </c>
      <c r="E1590" s="1">
        <v>3</v>
      </c>
      <c r="F1590" s="1" t="s">
        <v>1908</v>
      </c>
      <c r="G1590" s="1" t="s">
        <v>2079</v>
      </c>
      <c r="I1590" s="1" t="s">
        <v>82</v>
      </c>
      <c r="AL1590" s="60" t="s">
        <v>30</v>
      </c>
    </row>
    <row r="1591" spans="1:38" x14ac:dyDescent="0.2">
      <c r="A1591" s="1" t="s">
        <v>1899</v>
      </c>
      <c r="B1591" s="1" t="s">
        <v>2011</v>
      </c>
      <c r="C1591" s="1" t="s">
        <v>5728</v>
      </c>
      <c r="D1591" s="48">
        <v>9</v>
      </c>
      <c r="E1591" s="1">
        <v>2</v>
      </c>
      <c r="F1591" s="1" t="s">
        <v>1908</v>
      </c>
      <c r="G1591" s="1" t="s">
        <v>2012</v>
      </c>
      <c r="I1591" s="1" t="s">
        <v>82</v>
      </c>
      <c r="AL1591" s="60" t="s">
        <v>30</v>
      </c>
    </row>
    <row r="1592" spans="1:38" x14ac:dyDescent="0.2">
      <c r="A1592" s="1" t="s">
        <v>1899</v>
      </c>
      <c r="B1592" s="1" t="s">
        <v>2052</v>
      </c>
      <c r="C1592" s="1" t="s">
        <v>5728</v>
      </c>
      <c r="D1592" s="48">
        <v>10</v>
      </c>
      <c r="E1592" s="1">
        <v>5</v>
      </c>
      <c r="F1592" s="1" t="s">
        <v>1918</v>
      </c>
      <c r="G1592" s="1" t="s">
        <v>2053</v>
      </c>
      <c r="I1592" s="1" t="s">
        <v>94</v>
      </c>
      <c r="K1592" s="1" t="s">
        <v>2054</v>
      </c>
      <c r="N1592" s="54">
        <v>26</v>
      </c>
      <c r="O1592" s="55">
        <v>1</v>
      </c>
      <c r="Q1592" s="57">
        <v>2</v>
      </c>
      <c r="R1592" s="58">
        <v>1</v>
      </c>
      <c r="S1592" s="59">
        <v>2</v>
      </c>
      <c r="AL1592" s="60" t="s">
        <v>30</v>
      </c>
    </row>
    <row r="1593" spans="1:38" x14ac:dyDescent="0.2">
      <c r="A1593" s="1" t="s">
        <v>1899</v>
      </c>
      <c r="B1593" s="1" t="s">
        <v>1915</v>
      </c>
      <c r="C1593" s="1" t="s">
        <v>5728</v>
      </c>
      <c r="D1593" s="48">
        <v>11</v>
      </c>
      <c r="E1593" s="1">
        <v>3</v>
      </c>
      <c r="F1593" s="1" t="s">
        <v>1918</v>
      </c>
      <c r="G1593" s="1" t="s">
        <v>1916</v>
      </c>
      <c r="I1593" s="1" t="s">
        <v>94</v>
      </c>
      <c r="K1593" s="1" t="s">
        <v>1917</v>
      </c>
      <c r="N1593" s="54">
        <v>32</v>
      </c>
      <c r="O1593" s="55">
        <v>0</v>
      </c>
      <c r="Q1593" s="57">
        <v>4</v>
      </c>
      <c r="R1593" s="58">
        <v>1</v>
      </c>
      <c r="S1593" s="59">
        <v>4</v>
      </c>
      <c r="AL1593" s="60" t="s">
        <v>30</v>
      </c>
    </row>
    <row r="1594" spans="1:38" x14ac:dyDescent="0.2">
      <c r="A1594" s="1" t="s">
        <v>1899</v>
      </c>
      <c r="B1594" s="1" t="s">
        <v>2045</v>
      </c>
      <c r="C1594" s="1" t="s">
        <v>5728</v>
      </c>
      <c r="D1594" s="48">
        <v>12</v>
      </c>
      <c r="E1594" s="1">
        <v>2</v>
      </c>
      <c r="F1594" s="1" t="s">
        <v>1918</v>
      </c>
      <c r="G1594" s="1" t="s">
        <v>2046</v>
      </c>
      <c r="I1594" s="1" t="s">
        <v>94</v>
      </c>
      <c r="K1594" s="1" t="s">
        <v>2047</v>
      </c>
      <c r="N1594" s="54">
        <v>37</v>
      </c>
      <c r="O1594" s="55">
        <v>3</v>
      </c>
      <c r="Q1594" s="57">
        <v>5</v>
      </c>
      <c r="R1594" s="58">
        <v>2</v>
      </c>
      <c r="S1594" s="59">
        <v>6</v>
      </c>
      <c r="AL1594" s="60" t="s">
        <v>30</v>
      </c>
    </row>
    <row r="1595" spans="1:38" x14ac:dyDescent="0.2">
      <c r="A1595" s="1" t="s">
        <v>1899</v>
      </c>
      <c r="B1595" s="1" t="s">
        <v>2083</v>
      </c>
      <c r="C1595" s="1" t="s">
        <v>5728</v>
      </c>
      <c r="D1595" s="48">
        <v>13</v>
      </c>
      <c r="E1595" s="1">
        <v>1</v>
      </c>
      <c r="F1595" s="1" t="s">
        <v>1918</v>
      </c>
      <c r="G1595" s="1" t="s">
        <v>2084</v>
      </c>
      <c r="H1595" s="1" t="s">
        <v>26</v>
      </c>
      <c r="I1595" s="1" t="s">
        <v>94</v>
      </c>
      <c r="K1595" s="1" t="s">
        <v>2085</v>
      </c>
      <c r="N1595" s="54">
        <v>50</v>
      </c>
      <c r="O1595" s="55">
        <v>4</v>
      </c>
      <c r="Q1595" s="57">
        <v>0</v>
      </c>
      <c r="R1595" s="58">
        <v>4</v>
      </c>
      <c r="S1595" s="59">
        <v>6</v>
      </c>
      <c r="U1595" s="1">
        <v>5</v>
      </c>
      <c r="AL1595" s="60" t="s">
        <v>30</v>
      </c>
    </row>
    <row r="1596" spans="1:38" x14ac:dyDescent="0.2">
      <c r="A1596" s="1" t="s">
        <v>1899</v>
      </c>
      <c r="B1596" s="1" t="s">
        <v>1923</v>
      </c>
      <c r="C1596" s="1" t="s">
        <v>5728</v>
      </c>
      <c r="D1596" s="48">
        <v>14</v>
      </c>
      <c r="E1596" s="1">
        <v>2</v>
      </c>
      <c r="F1596" s="1" t="s">
        <v>1918</v>
      </c>
      <c r="G1596" s="1" t="s">
        <v>1924</v>
      </c>
      <c r="I1596" s="1" t="s">
        <v>104</v>
      </c>
      <c r="K1596" s="1" t="s">
        <v>1911</v>
      </c>
      <c r="O1596" s="55">
        <v>1</v>
      </c>
      <c r="T1596" s="60">
        <v>3</v>
      </c>
      <c r="AL1596" s="60" t="s">
        <v>30</v>
      </c>
    </row>
    <row r="1597" spans="1:38" x14ac:dyDescent="0.2">
      <c r="A1597" s="1" t="s">
        <v>1899</v>
      </c>
      <c r="B1597" s="1" t="s">
        <v>1953</v>
      </c>
      <c r="C1597" s="1" t="s">
        <v>5728</v>
      </c>
      <c r="D1597" s="48">
        <v>15</v>
      </c>
      <c r="E1597" s="1">
        <v>2</v>
      </c>
      <c r="F1597" s="1" t="s">
        <v>1918</v>
      </c>
      <c r="G1597" s="1" t="s">
        <v>1954</v>
      </c>
      <c r="I1597" s="1" t="s">
        <v>104</v>
      </c>
      <c r="K1597" s="1" t="s">
        <v>1178</v>
      </c>
      <c r="O1597" s="55">
        <v>2</v>
      </c>
      <c r="T1597" s="60">
        <v>4</v>
      </c>
      <c r="U1597" s="1">
        <v>2</v>
      </c>
      <c r="AL1597" s="60" t="s">
        <v>30</v>
      </c>
    </row>
    <row r="1598" spans="1:38" x14ac:dyDescent="0.2">
      <c r="A1598" s="1" t="s">
        <v>1899</v>
      </c>
      <c r="B1598" s="1" t="s">
        <v>2063</v>
      </c>
      <c r="C1598" s="1" t="s">
        <v>5728</v>
      </c>
      <c r="D1598" s="48">
        <v>16</v>
      </c>
      <c r="E1598" s="1">
        <v>3</v>
      </c>
      <c r="F1598" s="1" t="s">
        <v>1918</v>
      </c>
      <c r="G1598" s="1" t="s">
        <v>2064</v>
      </c>
      <c r="I1598" s="1" t="s">
        <v>82</v>
      </c>
      <c r="L1598" s="2" t="s">
        <v>1233</v>
      </c>
      <c r="AL1598" s="60" t="s">
        <v>30</v>
      </c>
    </row>
    <row r="1599" spans="1:38" x14ac:dyDescent="0.2">
      <c r="A1599" s="1" t="s">
        <v>1899</v>
      </c>
      <c r="B1599" s="1" t="s">
        <v>1995</v>
      </c>
      <c r="C1599" s="1" t="s">
        <v>5728</v>
      </c>
      <c r="D1599" s="48">
        <v>17</v>
      </c>
      <c r="E1599" s="1">
        <v>2</v>
      </c>
      <c r="F1599" s="1" t="s">
        <v>1918</v>
      </c>
      <c r="G1599" s="1" t="s">
        <v>1996</v>
      </c>
      <c r="I1599" s="1" t="s">
        <v>82</v>
      </c>
      <c r="AL1599" s="60" t="s">
        <v>30</v>
      </c>
    </row>
    <row r="1600" spans="1:38" x14ac:dyDescent="0.2">
      <c r="A1600" s="1" t="s">
        <v>1899</v>
      </c>
      <c r="B1600" s="1" t="s">
        <v>2070</v>
      </c>
      <c r="C1600" s="1" t="s">
        <v>5728</v>
      </c>
      <c r="D1600" s="48">
        <v>18</v>
      </c>
      <c r="E1600" s="1">
        <v>1</v>
      </c>
      <c r="F1600" s="1" t="s">
        <v>1922</v>
      </c>
      <c r="G1600" s="1" t="s">
        <v>2071</v>
      </c>
      <c r="H1600" s="1" t="s">
        <v>26</v>
      </c>
      <c r="I1600" s="1" t="s">
        <v>27</v>
      </c>
      <c r="J1600" s="1" t="s">
        <v>57</v>
      </c>
      <c r="K1600" s="1" t="s">
        <v>51</v>
      </c>
      <c r="M1600" s="18">
        <v>9</v>
      </c>
      <c r="P1600" s="56">
        <v>3</v>
      </c>
      <c r="Q1600" s="57">
        <v>1</v>
      </c>
      <c r="R1600" s="58">
        <v>1</v>
      </c>
      <c r="S1600" s="59">
        <v>3</v>
      </c>
      <c r="AL1600" s="60" t="s">
        <v>30</v>
      </c>
    </row>
    <row r="1601" spans="1:38" x14ac:dyDescent="0.2">
      <c r="A1601" s="1" t="s">
        <v>1899</v>
      </c>
      <c r="B1601" s="1" t="s">
        <v>2098</v>
      </c>
      <c r="C1601" s="1" t="s">
        <v>5728</v>
      </c>
      <c r="D1601" s="48">
        <v>19</v>
      </c>
      <c r="E1601" s="1">
        <v>1</v>
      </c>
      <c r="F1601" s="1" t="s">
        <v>1922</v>
      </c>
      <c r="G1601" s="1" t="s">
        <v>2099</v>
      </c>
      <c r="H1601" s="1" t="s">
        <v>26</v>
      </c>
      <c r="I1601" s="1" t="s">
        <v>27</v>
      </c>
      <c r="J1601" s="1" t="s">
        <v>50</v>
      </c>
      <c r="K1601" s="1" t="s">
        <v>51</v>
      </c>
      <c r="L1601" s="2" t="s">
        <v>1940</v>
      </c>
      <c r="M1601" s="18">
        <v>11</v>
      </c>
      <c r="P1601" s="56">
        <v>2</v>
      </c>
      <c r="Q1601" s="57">
        <v>2</v>
      </c>
      <c r="R1601" s="58">
        <v>2</v>
      </c>
      <c r="S1601" s="59">
        <v>4</v>
      </c>
      <c r="AL1601" s="60" t="s">
        <v>30</v>
      </c>
    </row>
    <row r="1602" spans="1:38" x14ac:dyDescent="0.2">
      <c r="A1602" s="1" t="s">
        <v>1899</v>
      </c>
      <c r="B1602" s="1" t="s">
        <v>1938</v>
      </c>
      <c r="C1602" s="1" t="s">
        <v>5728</v>
      </c>
      <c r="D1602" s="48">
        <v>20</v>
      </c>
      <c r="E1602" s="1">
        <v>1</v>
      </c>
      <c r="F1602" s="1" t="s">
        <v>1922</v>
      </c>
      <c r="G1602" s="1" t="s">
        <v>1939</v>
      </c>
      <c r="H1602" s="1" t="s">
        <v>26</v>
      </c>
      <c r="I1602" s="1" t="s">
        <v>27</v>
      </c>
      <c r="J1602" s="1" t="s">
        <v>50</v>
      </c>
      <c r="K1602" s="1" t="s">
        <v>51</v>
      </c>
      <c r="L1602" s="2" t="s">
        <v>1940</v>
      </c>
      <c r="M1602" s="18">
        <v>9</v>
      </c>
      <c r="P1602" s="56">
        <v>1</v>
      </c>
      <c r="Q1602" s="57">
        <v>4</v>
      </c>
      <c r="R1602" s="58">
        <v>0</v>
      </c>
      <c r="S1602" s="59">
        <v>4</v>
      </c>
      <c r="AL1602" s="60" t="s">
        <v>30</v>
      </c>
    </row>
    <row r="1603" spans="1:38" x14ac:dyDescent="0.2">
      <c r="A1603" s="1" t="s">
        <v>1899</v>
      </c>
      <c r="B1603" s="1" t="s">
        <v>1919</v>
      </c>
      <c r="C1603" s="1" t="s">
        <v>5728</v>
      </c>
      <c r="D1603" s="48">
        <v>21</v>
      </c>
      <c r="E1603" s="1">
        <v>1</v>
      </c>
      <c r="F1603" s="1" t="s">
        <v>1922</v>
      </c>
      <c r="G1603" s="1" t="s">
        <v>1920</v>
      </c>
      <c r="H1603" s="1" t="s">
        <v>26</v>
      </c>
      <c r="I1603" s="1" t="s">
        <v>27</v>
      </c>
      <c r="J1603" s="1" t="s">
        <v>28</v>
      </c>
      <c r="K1603" s="1" t="s">
        <v>51</v>
      </c>
      <c r="L1603" s="2" t="s">
        <v>1921</v>
      </c>
      <c r="M1603" s="18">
        <v>11</v>
      </c>
      <c r="P1603" s="56">
        <v>1</v>
      </c>
      <c r="Q1603" s="57">
        <v>3</v>
      </c>
      <c r="R1603" s="58">
        <v>2</v>
      </c>
      <c r="S1603" s="59">
        <v>4</v>
      </c>
      <c r="AL1603" s="60" t="s">
        <v>30</v>
      </c>
    </row>
    <row r="1604" spans="1:38" x14ac:dyDescent="0.2">
      <c r="A1604" s="1" t="s">
        <v>1899</v>
      </c>
      <c r="B1604" s="1" t="s">
        <v>1960</v>
      </c>
      <c r="C1604" s="1" t="s">
        <v>5728</v>
      </c>
      <c r="D1604" s="48">
        <v>22</v>
      </c>
      <c r="E1604" s="1">
        <v>1</v>
      </c>
      <c r="F1604" s="1" t="s">
        <v>1922</v>
      </c>
      <c r="G1604" s="1" t="s">
        <v>120</v>
      </c>
      <c r="H1604" s="1" t="s">
        <v>26</v>
      </c>
      <c r="I1604" s="1" t="s">
        <v>27</v>
      </c>
      <c r="J1604" s="1" t="s">
        <v>39</v>
      </c>
      <c r="K1604" s="1" t="s">
        <v>51</v>
      </c>
      <c r="L1604" s="2" t="s">
        <v>1921</v>
      </c>
      <c r="M1604" s="18">
        <v>9</v>
      </c>
      <c r="P1604" s="56">
        <v>2</v>
      </c>
      <c r="Q1604" s="57">
        <v>0</v>
      </c>
      <c r="R1604" s="58">
        <v>2</v>
      </c>
      <c r="S1604" s="59">
        <v>5</v>
      </c>
      <c r="AL1604" s="60" t="s">
        <v>30</v>
      </c>
    </row>
    <row r="1605" spans="1:38" x14ac:dyDescent="0.2">
      <c r="A1605" s="1" t="s">
        <v>1899</v>
      </c>
      <c r="B1605" s="1" t="s">
        <v>1961</v>
      </c>
      <c r="C1605" s="1" t="s">
        <v>5728</v>
      </c>
      <c r="D1605" s="48">
        <v>23</v>
      </c>
      <c r="E1605" s="1">
        <v>4</v>
      </c>
      <c r="F1605" s="1" t="s">
        <v>1922</v>
      </c>
      <c r="G1605" s="1" t="s">
        <v>1962</v>
      </c>
      <c r="I1605" s="1" t="s">
        <v>104</v>
      </c>
      <c r="K1605" s="1" t="s">
        <v>1963</v>
      </c>
      <c r="O1605" s="55">
        <v>2</v>
      </c>
      <c r="T1605" s="60">
        <v>2</v>
      </c>
      <c r="AL1605" s="60" t="s">
        <v>30</v>
      </c>
    </row>
    <row r="1606" spans="1:38" x14ac:dyDescent="0.2">
      <c r="A1606" s="1" t="s">
        <v>1899</v>
      </c>
      <c r="B1606" s="1" t="s">
        <v>2027</v>
      </c>
      <c r="C1606" s="1" t="s">
        <v>5728</v>
      </c>
      <c r="D1606" s="48">
        <v>24</v>
      </c>
      <c r="E1606" s="1">
        <v>3</v>
      </c>
      <c r="F1606" s="1" t="s">
        <v>1922</v>
      </c>
      <c r="G1606" s="1" t="s">
        <v>2028</v>
      </c>
      <c r="I1606" s="1" t="s">
        <v>104</v>
      </c>
      <c r="K1606" s="1" t="s">
        <v>1911</v>
      </c>
      <c r="O1606" s="55">
        <v>2</v>
      </c>
      <c r="T1606" s="60">
        <v>4</v>
      </c>
      <c r="AL1606" s="60" t="s">
        <v>30</v>
      </c>
    </row>
    <row r="1607" spans="1:38" x14ac:dyDescent="0.2">
      <c r="A1607" s="1" t="s">
        <v>1899</v>
      </c>
      <c r="B1607" s="1" t="s">
        <v>1933</v>
      </c>
      <c r="C1607" s="1" t="s">
        <v>5728</v>
      </c>
      <c r="D1607" s="48">
        <v>25</v>
      </c>
      <c r="E1607" s="1">
        <v>1</v>
      </c>
      <c r="F1607" s="1" t="s">
        <v>1922</v>
      </c>
      <c r="G1607" s="1" t="s">
        <v>1934</v>
      </c>
      <c r="I1607" s="1" t="s">
        <v>104</v>
      </c>
      <c r="K1607" s="1" t="s">
        <v>1935</v>
      </c>
      <c r="O1607" s="55">
        <v>0</v>
      </c>
      <c r="T1607" s="60" t="s">
        <v>113</v>
      </c>
      <c r="U1607" s="1">
        <v>1</v>
      </c>
      <c r="AL1607" s="60" t="s">
        <v>30</v>
      </c>
    </row>
    <row r="1608" spans="1:38" x14ac:dyDescent="0.2">
      <c r="A1608" s="1" t="s">
        <v>1899</v>
      </c>
      <c r="B1608" s="1" t="s">
        <v>2087</v>
      </c>
      <c r="C1608" s="1" t="s">
        <v>5728</v>
      </c>
      <c r="D1608" s="48">
        <v>26</v>
      </c>
      <c r="F1608" s="1" t="s">
        <v>1922</v>
      </c>
      <c r="G1608" s="1" t="s">
        <v>9726</v>
      </c>
      <c r="I1608" s="1" t="s">
        <v>125</v>
      </c>
      <c r="M1608" s="18">
        <v>1</v>
      </c>
      <c r="N1608" s="54" t="s">
        <v>9529</v>
      </c>
      <c r="X1608" s="1" t="s">
        <v>2088</v>
      </c>
      <c r="Y1608" s="1" t="s">
        <v>9726</v>
      </c>
      <c r="AA1608" s="1" t="s">
        <v>125</v>
      </c>
      <c r="AE1608" s="1">
        <v>1</v>
      </c>
      <c r="AF1608" s="54" t="s">
        <v>9530</v>
      </c>
      <c r="AL1608" s="60" t="s">
        <v>36</v>
      </c>
    </row>
    <row r="1609" spans="1:38" x14ac:dyDescent="0.2">
      <c r="A1609" s="1" t="s">
        <v>1899</v>
      </c>
      <c r="B1609" s="1" t="s">
        <v>1925</v>
      </c>
      <c r="C1609" s="1" t="s">
        <v>5728</v>
      </c>
      <c r="D1609" s="48">
        <v>27</v>
      </c>
      <c r="E1609" s="1">
        <v>1</v>
      </c>
      <c r="F1609" s="1" t="s">
        <v>1922</v>
      </c>
      <c r="G1609" s="1" t="s">
        <v>9703</v>
      </c>
      <c r="I1609" s="1" t="s">
        <v>125</v>
      </c>
      <c r="M1609" s="18">
        <v>2</v>
      </c>
      <c r="N1609" s="54" t="s">
        <v>9529</v>
      </c>
      <c r="Y1609" s="1" t="s">
        <v>9703</v>
      </c>
      <c r="AA1609" s="1" t="s">
        <v>125</v>
      </c>
      <c r="AE1609" s="1">
        <v>2</v>
      </c>
      <c r="AF1609" s="54" t="s">
        <v>9530</v>
      </c>
      <c r="AL1609" s="60" t="s">
        <v>46</v>
      </c>
    </row>
    <row r="1610" spans="1:38" x14ac:dyDescent="0.2">
      <c r="A1610" s="1" t="s">
        <v>1899</v>
      </c>
      <c r="B1610" s="1" t="s">
        <v>2003</v>
      </c>
      <c r="C1610" s="1" t="s">
        <v>5728</v>
      </c>
      <c r="D1610" s="48">
        <v>28</v>
      </c>
      <c r="E1610" s="1">
        <v>1</v>
      </c>
      <c r="F1610" s="1" t="s">
        <v>1922</v>
      </c>
      <c r="G1610" s="1" t="s">
        <v>9731</v>
      </c>
      <c r="I1610" s="1" t="s">
        <v>125</v>
      </c>
      <c r="M1610" s="18">
        <v>3</v>
      </c>
      <c r="N1610" s="54" t="s">
        <v>9529</v>
      </c>
      <c r="Y1610" s="1" t="s">
        <v>9731</v>
      </c>
      <c r="AA1610" s="1" t="s">
        <v>125</v>
      </c>
      <c r="AE1610" s="1">
        <v>3</v>
      </c>
      <c r="AF1610" s="54" t="s">
        <v>9530</v>
      </c>
      <c r="AL1610" s="60" t="s">
        <v>166</v>
      </c>
    </row>
    <row r="1611" spans="1:38" x14ac:dyDescent="0.2">
      <c r="A1611" s="1" t="s">
        <v>1899</v>
      </c>
      <c r="B1611" s="1" t="s">
        <v>1949</v>
      </c>
      <c r="C1611" s="1" t="s">
        <v>5728</v>
      </c>
      <c r="D1611" s="48">
        <v>29</v>
      </c>
      <c r="E1611" s="1">
        <v>1</v>
      </c>
      <c r="F1611" s="1" t="s">
        <v>1922</v>
      </c>
      <c r="G1611" s="1" t="s">
        <v>9736</v>
      </c>
      <c r="I1611" s="1" t="s">
        <v>125</v>
      </c>
      <c r="M1611" s="18">
        <v>4</v>
      </c>
      <c r="N1611" s="54" t="s">
        <v>9529</v>
      </c>
      <c r="Y1611" s="1" t="s">
        <v>9736</v>
      </c>
      <c r="AA1611" s="1" t="s">
        <v>125</v>
      </c>
      <c r="AE1611" s="1">
        <v>4</v>
      </c>
      <c r="AF1611" s="54" t="s">
        <v>9530</v>
      </c>
      <c r="AL1611" s="60" t="s">
        <v>46</v>
      </c>
    </row>
    <row r="1612" spans="1:38" x14ac:dyDescent="0.2">
      <c r="A1612" s="1" t="s">
        <v>1899</v>
      </c>
      <c r="B1612" s="1" t="s">
        <v>1926</v>
      </c>
      <c r="C1612" s="1" t="s">
        <v>5728</v>
      </c>
      <c r="D1612" s="48">
        <v>30</v>
      </c>
      <c r="E1612" s="1">
        <v>1</v>
      </c>
      <c r="F1612" s="1" t="s">
        <v>1922</v>
      </c>
      <c r="G1612" s="1" t="s">
        <v>9737</v>
      </c>
      <c r="I1612" s="1" t="s">
        <v>125</v>
      </c>
      <c r="M1612" s="18">
        <v>4</v>
      </c>
      <c r="N1612" s="54" t="s">
        <v>9529</v>
      </c>
      <c r="Y1612" s="1" t="s">
        <v>9737</v>
      </c>
      <c r="AA1612" s="1" t="s">
        <v>125</v>
      </c>
      <c r="AE1612" s="1">
        <v>4</v>
      </c>
      <c r="AF1612" s="54" t="s">
        <v>9530</v>
      </c>
      <c r="AL1612" s="60" t="s">
        <v>46</v>
      </c>
    </row>
    <row r="1613" spans="1:38" x14ac:dyDescent="0.2">
      <c r="A1613" s="1" t="s">
        <v>1899</v>
      </c>
      <c r="B1613" s="1" t="s">
        <v>1958</v>
      </c>
      <c r="C1613" s="1" t="s">
        <v>5728</v>
      </c>
      <c r="D1613" s="48">
        <v>31</v>
      </c>
      <c r="E1613" s="1">
        <v>2</v>
      </c>
      <c r="F1613" s="1" t="s">
        <v>1922</v>
      </c>
      <c r="G1613" s="1" t="s">
        <v>1959</v>
      </c>
      <c r="I1613" s="1" t="s">
        <v>82</v>
      </c>
      <c r="AL1613" s="60" t="s">
        <v>30</v>
      </c>
    </row>
    <row r="1614" spans="1:38" x14ac:dyDescent="0.2">
      <c r="A1614" s="1" t="s">
        <v>1899</v>
      </c>
      <c r="B1614" s="1" t="s">
        <v>2013</v>
      </c>
      <c r="C1614" s="1" t="s">
        <v>5728</v>
      </c>
      <c r="D1614" s="48">
        <v>32</v>
      </c>
      <c r="E1614" s="1">
        <v>3</v>
      </c>
      <c r="F1614" s="1" t="s">
        <v>1922</v>
      </c>
      <c r="G1614" s="1" t="s">
        <v>2014</v>
      </c>
      <c r="I1614" s="1" t="s">
        <v>82</v>
      </c>
      <c r="L1614" s="2" t="s">
        <v>685</v>
      </c>
      <c r="AL1614" s="60" t="s">
        <v>30</v>
      </c>
    </row>
    <row r="1615" spans="1:38" x14ac:dyDescent="0.2">
      <c r="A1615" s="1" t="s">
        <v>1899</v>
      </c>
      <c r="B1615" s="1" t="s">
        <v>2000</v>
      </c>
      <c r="C1615" s="1" t="s">
        <v>5728</v>
      </c>
      <c r="D1615" s="48">
        <v>33</v>
      </c>
      <c r="E1615" s="1">
        <v>2</v>
      </c>
      <c r="F1615" s="1" t="s">
        <v>1937</v>
      </c>
      <c r="G1615" s="1" t="s">
        <v>2001</v>
      </c>
      <c r="I1615" s="1" t="s">
        <v>94</v>
      </c>
      <c r="K1615" s="1" t="s">
        <v>2002</v>
      </c>
      <c r="O1615" s="55">
        <v>1</v>
      </c>
      <c r="Q1615" s="57">
        <v>2</v>
      </c>
      <c r="R1615" s="58">
        <v>2</v>
      </c>
      <c r="S1615" s="59">
        <v>4</v>
      </c>
      <c r="AL1615" s="60" t="s">
        <v>30</v>
      </c>
    </row>
    <row r="1616" spans="1:38" x14ac:dyDescent="0.2">
      <c r="A1616" s="1" t="s">
        <v>1899</v>
      </c>
      <c r="B1616" s="1" t="s">
        <v>1941</v>
      </c>
      <c r="C1616" s="1" t="s">
        <v>5728</v>
      </c>
      <c r="D1616" s="48">
        <v>34</v>
      </c>
      <c r="E1616" s="1">
        <v>2</v>
      </c>
      <c r="F1616" s="1" t="s">
        <v>1937</v>
      </c>
      <c r="G1616" s="1" t="s">
        <v>1942</v>
      </c>
      <c r="I1616" s="1" t="s">
        <v>94</v>
      </c>
      <c r="K1616" s="1" t="s">
        <v>1943</v>
      </c>
      <c r="O1616" s="55">
        <v>2</v>
      </c>
      <c r="Q1616" s="57">
        <v>2</v>
      </c>
      <c r="R1616" s="58">
        <v>1</v>
      </c>
      <c r="S1616" s="59">
        <v>3</v>
      </c>
      <c r="AL1616" s="60" t="s">
        <v>30</v>
      </c>
    </row>
    <row r="1617" spans="1:38" x14ac:dyDescent="0.2">
      <c r="A1617" s="1" t="s">
        <v>1899</v>
      </c>
      <c r="B1617" s="1" t="s">
        <v>2094</v>
      </c>
      <c r="C1617" s="1" t="s">
        <v>5728</v>
      </c>
      <c r="D1617" s="48">
        <v>35</v>
      </c>
      <c r="E1617" s="1">
        <v>1</v>
      </c>
      <c r="F1617" s="1" t="s">
        <v>1937</v>
      </c>
      <c r="G1617" s="1" t="s">
        <v>2095</v>
      </c>
      <c r="H1617" s="1" t="s">
        <v>26</v>
      </c>
      <c r="I1617" s="1" t="s">
        <v>94</v>
      </c>
      <c r="K1617" s="1" t="s">
        <v>2096</v>
      </c>
      <c r="L1617" s="2" t="s">
        <v>2097</v>
      </c>
      <c r="O1617" s="55">
        <v>2</v>
      </c>
      <c r="Q1617" s="57">
        <v>3</v>
      </c>
      <c r="R1617" s="58">
        <v>3</v>
      </c>
      <c r="S1617" s="59">
        <v>5</v>
      </c>
      <c r="U1617" s="1">
        <v>4</v>
      </c>
      <c r="AL1617" s="60" t="s">
        <v>30</v>
      </c>
    </row>
    <row r="1618" spans="1:38" x14ac:dyDescent="0.2">
      <c r="A1618" s="1" t="s">
        <v>1899</v>
      </c>
      <c r="B1618" s="1" t="s">
        <v>1976</v>
      </c>
      <c r="C1618" s="1" t="s">
        <v>5728</v>
      </c>
      <c r="D1618" s="48">
        <v>36</v>
      </c>
      <c r="E1618" s="1">
        <v>2</v>
      </c>
      <c r="F1618" s="1" t="s">
        <v>1937</v>
      </c>
      <c r="G1618" s="1" t="s">
        <v>1977</v>
      </c>
      <c r="I1618" s="1" t="s">
        <v>94</v>
      </c>
      <c r="K1618" s="1" t="s">
        <v>1978</v>
      </c>
      <c r="O1618" s="55">
        <v>2</v>
      </c>
      <c r="Q1618" s="57">
        <v>3</v>
      </c>
      <c r="R1618" s="58">
        <v>1</v>
      </c>
      <c r="S1618" s="59">
        <v>3</v>
      </c>
      <c r="AL1618" s="60" t="s">
        <v>30</v>
      </c>
    </row>
    <row r="1619" spans="1:38" x14ac:dyDescent="0.2">
      <c r="A1619" s="1" t="s">
        <v>1899</v>
      </c>
      <c r="B1619" s="1" t="s">
        <v>1955</v>
      </c>
      <c r="C1619" s="1" t="s">
        <v>5728</v>
      </c>
      <c r="D1619" s="48">
        <v>37</v>
      </c>
      <c r="E1619" s="1">
        <v>1</v>
      </c>
      <c r="F1619" s="1" t="s">
        <v>1937</v>
      </c>
      <c r="G1619" s="1" t="s">
        <v>1956</v>
      </c>
      <c r="I1619" s="1" t="s">
        <v>104</v>
      </c>
      <c r="K1619" s="1" t="s">
        <v>1957</v>
      </c>
      <c r="O1619" s="55">
        <v>2</v>
      </c>
      <c r="T1619" s="60">
        <v>5</v>
      </c>
      <c r="U1619" s="1">
        <v>1</v>
      </c>
      <c r="AL1619" s="60" t="s">
        <v>30</v>
      </c>
    </row>
    <row r="1620" spans="1:38" x14ac:dyDescent="0.2">
      <c r="A1620" s="1" t="s">
        <v>1899</v>
      </c>
      <c r="B1620" s="1" t="s">
        <v>1972</v>
      </c>
      <c r="C1620" s="1" t="s">
        <v>5728</v>
      </c>
      <c r="D1620" s="48">
        <v>38</v>
      </c>
      <c r="E1620" s="1">
        <v>3</v>
      </c>
      <c r="F1620" s="1" t="s">
        <v>1937</v>
      </c>
      <c r="G1620" s="1" t="s">
        <v>1973</v>
      </c>
      <c r="I1620" s="1" t="s">
        <v>104</v>
      </c>
      <c r="K1620" s="1" t="s">
        <v>1957</v>
      </c>
      <c r="O1620" s="55">
        <v>2</v>
      </c>
      <c r="T1620" s="60">
        <v>3</v>
      </c>
      <c r="AL1620" s="60" t="s">
        <v>30</v>
      </c>
    </row>
    <row r="1621" spans="1:38" x14ac:dyDescent="0.2">
      <c r="A1621" s="1" t="s">
        <v>1899</v>
      </c>
      <c r="B1621" s="1" t="s">
        <v>2015</v>
      </c>
      <c r="C1621" s="1" t="s">
        <v>5728</v>
      </c>
      <c r="D1621" s="48">
        <v>39</v>
      </c>
      <c r="E1621" s="1">
        <v>1</v>
      </c>
      <c r="F1621" s="1" t="s">
        <v>1937</v>
      </c>
      <c r="G1621" s="1" t="s">
        <v>2016</v>
      </c>
      <c r="I1621" s="1" t="s">
        <v>88</v>
      </c>
      <c r="K1621" s="1" t="s">
        <v>2017</v>
      </c>
      <c r="P1621" s="56">
        <v>2</v>
      </c>
      <c r="Q1621" s="57">
        <v>1</v>
      </c>
      <c r="R1621" s="58">
        <v>1</v>
      </c>
      <c r="S1621" s="59">
        <v>3</v>
      </c>
      <c r="AL1621" s="60" t="s">
        <v>30</v>
      </c>
    </row>
    <row r="1622" spans="1:38" x14ac:dyDescent="0.2">
      <c r="A1622" s="1" t="s">
        <v>1899</v>
      </c>
      <c r="B1622" s="1" t="s">
        <v>1974</v>
      </c>
      <c r="C1622" s="1" t="s">
        <v>5728</v>
      </c>
      <c r="D1622" s="48">
        <v>40</v>
      </c>
      <c r="E1622" s="1">
        <v>1</v>
      </c>
      <c r="F1622" s="1" t="s">
        <v>1937</v>
      </c>
      <c r="G1622" s="1" t="s">
        <v>1975</v>
      </c>
      <c r="I1622" s="1" t="s">
        <v>88</v>
      </c>
      <c r="K1622" s="1" t="s">
        <v>89</v>
      </c>
      <c r="AL1622" s="60" t="s">
        <v>30</v>
      </c>
    </row>
    <row r="1623" spans="1:38" x14ac:dyDescent="0.2">
      <c r="A1623" s="1" t="s">
        <v>1899</v>
      </c>
      <c r="B1623" s="1" t="s">
        <v>1997</v>
      </c>
      <c r="C1623" s="1" t="s">
        <v>5728</v>
      </c>
      <c r="D1623" s="48">
        <v>41</v>
      </c>
      <c r="E1623" s="1">
        <v>1</v>
      </c>
      <c r="F1623" s="1" t="s">
        <v>1937</v>
      </c>
      <c r="G1623" s="1" t="s">
        <v>1998</v>
      </c>
      <c r="I1623" s="1" t="s">
        <v>88</v>
      </c>
      <c r="K1623" s="1" t="s">
        <v>1999</v>
      </c>
      <c r="AL1623" s="60" t="s">
        <v>30</v>
      </c>
    </row>
    <row r="1624" spans="1:38" x14ac:dyDescent="0.2">
      <c r="A1624" s="1" t="s">
        <v>1899</v>
      </c>
      <c r="B1624" s="1" t="s">
        <v>1985</v>
      </c>
      <c r="C1624" s="1" t="s">
        <v>5728</v>
      </c>
      <c r="D1624" s="48">
        <v>42</v>
      </c>
      <c r="E1624" s="1">
        <v>1</v>
      </c>
      <c r="F1624" s="1" t="s">
        <v>1937</v>
      </c>
      <c r="G1624" s="1" t="s">
        <v>1986</v>
      </c>
      <c r="I1624" s="1" t="s">
        <v>88</v>
      </c>
      <c r="AL1624" s="60" t="s">
        <v>30</v>
      </c>
    </row>
    <row r="1625" spans="1:38" x14ac:dyDescent="0.2">
      <c r="A1625" s="1" t="s">
        <v>1899</v>
      </c>
      <c r="B1625" s="1" t="s">
        <v>2005</v>
      </c>
      <c r="C1625" s="1" t="s">
        <v>5728</v>
      </c>
      <c r="D1625" s="48">
        <v>43</v>
      </c>
      <c r="E1625" s="1">
        <v>1</v>
      </c>
      <c r="F1625" s="1" t="s">
        <v>1937</v>
      </c>
      <c r="G1625" s="1" t="s">
        <v>2006</v>
      </c>
      <c r="I1625" s="1" t="s">
        <v>88</v>
      </c>
      <c r="AL1625" s="60" t="s">
        <v>30</v>
      </c>
    </row>
    <row r="1626" spans="1:38" x14ac:dyDescent="0.2">
      <c r="A1626" s="1" t="s">
        <v>1899</v>
      </c>
      <c r="B1626" s="1" t="s">
        <v>2065</v>
      </c>
      <c r="C1626" s="1" t="s">
        <v>5728</v>
      </c>
      <c r="D1626" s="48">
        <v>44</v>
      </c>
      <c r="E1626" s="1">
        <v>1</v>
      </c>
      <c r="F1626" s="1" t="s">
        <v>1937</v>
      </c>
      <c r="G1626" s="1" t="s">
        <v>9727</v>
      </c>
      <c r="I1626" s="1" t="s">
        <v>125</v>
      </c>
      <c r="M1626" s="18">
        <v>1</v>
      </c>
      <c r="N1626" s="54" t="s">
        <v>9529</v>
      </c>
      <c r="X1626" s="1" t="s">
        <v>2066</v>
      </c>
      <c r="Y1626" s="1" t="s">
        <v>9727</v>
      </c>
      <c r="AA1626" s="1" t="s">
        <v>125</v>
      </c>
      <c r="AE1626" s="1">
        <v>1</v>
      </c>
      <c r="AF1626" s="54" t="s">
        <v>9530</v>
      </c>
      <c r="AL1626" s="60" t="s">
        <v>46</v>
      </c>
    </row>
    <row r="1627" spans="1:38" x14ac:dyDescent="0.2">
      <c r="A1627" s="1" t="s">
        <v>1899</v>
      </c>
      <c r="B1627" s="1" t="s">
        <v>1991</v>
      </c>
      <c r="C1627" s="1" t="s">
        <v>5728</v>
      </c>
      <c r="D1627" s="48">
        <v>45</v>
      </c>
      <c r="E1627" s="1">
        <v>1</v>
      </c>
      <c r="F1627" s="1" t="s">
        <v>1937</v>
      </c>
      <c r="G1627" s="1" t="s">
        <v>9729</v>
      </c>
      <c r="I1627" s="1" t="s">
        <v>125</v>
      </c>
      <c r="M1627" s="18">
        <v>2</v>
      </c>
      <c r="N1627" s="54" t="s">
        <v>9529</v>
      </c>
      <c r="Y1627" s="1" t="s">
        <v>9729</v>
      </c>
      <c r="AA1627" s="1" t="s">
        <v>125</v>
      </c>
      <c r="AE1627" s="1">
        <v>2</v>
      </c>
      <c r="AF1627" s="54" t="s">
        <v>9530</v>
      </c>
      <c r="AL1627" s="60" t="s">
        <v>341</v>
      </c>
    </row>
    <row r="1628" spans="1:38" x14ac:dyDescent="0.2">
      <c r="A1628" s="1" t="s">
        <v>1899</v>
      </c>
      <c r="B1628" s="1" t="s">
        <v>2004</v>
      </c>
      <c r="C1628" s="1" t="s">
        <v>5728</v>
      </c>
      <c r="D1628" s="48">
        <v>46</v>
      </c>
      <c r="E1628" s="1">
        <v>1</v>
      </c>
      <c r="F1628" s="1" t="s">
        <v>1937</v>
      </c>
      <c r="G1628" s="1" t="s">
        <v>9732</v>
      </c>
      <c r="I1628" s="1" t="s">
        <v>125</v>
      </c>
      <c r="M1628" s="18">
        <v>3</v>
      </c>
      <c r="N1628" s="54" t="s">
        <v>9529</v>
      </c>
      <c r="Y1628" s="1" t="s">
        <v>9732</v>
      </c>
      <c r="AA1628" s="1" t="s">
        <v>125</v>
      </c>
      <c r="AE1628" s="1">
        <v>3</v>
      </c>
      <c r="AF1628" s="54" t="s">
        <v>9530</v>
      </c>
      <c r="AL1628" s="60" t="s">
        <v>666</v>
      </c>
    </row>
    <row r="1629" spans="1:38" x14ac:dyDescent="0.2">
      <c r="A1629" s="1" t="s">
        <v>1899</v>
      </c>
      <c r="B1629" s="1" t="s">
        <v>1936</v>
      </c>
      <c r="C1629" s="1" t="s">
        <v>5728</v>
      </c>
      <c r="D1629" s="48">
        <v>47</v>
      </c>
      <c r="E1629" s="1">
        <v>1</v>
      </c>
      <c r="F1629" s="1" t="s">
        <v>1937</v>
      </c>
      <c r="G1629" s="1" t="s">
        <v>9738</v>
      </c>
      <c r="I1629" s="1" t="s">
        <v>125</v>
      </c>
      <c r="M1629" s="18">
        <v>4</v>
      </c>
      <c r="N1629" s="54" t="s">
        <v>9529</v>
      </c>
      <c r="Y1629" s="1" t="s">
        <v>9738</v>
      </c>
      <c r="AA1629" s="1" t="s">
        <v>125</v>
      </c>
      <c r="AE1629" s="1">
        <v>4</v>
      </c>
      <c r="AF1629" s="54" t="s">
        <v>9530</v>
      </c>
      <c r="AL1629" s="60" t="s">
        <v>67</v>
      </c>
    </row>
    <row r="1630" spans="1:38" x14ac:dyDescent="0.2">
      <c r="A1630" s="1" t="s">
        <v>1899</v>
      </c>
      <c r="B1630" s="1" t="s">
        <v>2086</v>
      </c>
      <c r="C1630" s="1" t="s">
        <v>5728</v>
      </c>
      <c r="D1630" s="48">
        <v>48</v>
      </c>
      <c r="E1630" s="1">
        <v>1</v>
      </c>
      <c r="F1630" s="1" t="s">
        <v>1937</v>
      </c>
      <c r="G1630" s="1" t="s">
        <v>1797</v>
      </c>
      <c r="I1630" s="1" t="s">
        <v>3482</v>
      </c>
      <c r="AL1630" s="60" t="s">
        <v>30</v>
      </c>
    </row>
    <row r="1631" spans="1:38" x14ac:dyDescent="0.2">
      <c r="A1631" s="1" t="s">
        <v>1899</v>
      </c>
      <c r="B1631" s="1" t="s">
        <v>2020</v>
      </c>
      <c r="C1631" s="1" t="s">
        <v>5728</v>
      </c>
      <c r="D1631" s="48">
        <v>49</v>
      </c>
      <c r="E1631" s="1">
        <v>2</v>
      </c>
      <c r="F1631" s="1" t="s">
        <v>1937</v>
      </c>
      <c r="G1631" s="1" t="s">
        <v>2021</v>
      </c>
      <c r="I1631" s="1" t="s">
        <v>82</v>
      </c>
      <c r="AL1631" s="60" t="s">
        <v>30</v>
      </c>
    </row>
    <row r="1632" spans="1:38" x14ac:dyDescent="0.2">
      <c r="A1632" s="1" t="s">
        <v>1899</v>
      </c>
      <c r="B1632" s="1" t="s">
        <v>1983</v>
      </c>
      <c r="C1632" s="1" t="s">
        <v>5728</v>
      </c>
      <c r="D1632" s="48">
        <v>50</v>
      </c>
      <c r="E1632" s="1">
        <v>3</v>
      </c>
      <c r="F1632" s="1" t="s">
        <v>1937</v>
      </c>
      <c r="G1632" s="1" t="s">
        <v>1984</v>
      </c>
      <c r="I1632" s="1" t="s">
        <v>82</v>
      </c>
      <c r="AL1632" s="60" t="s">
        <v>30</v>
      </c>
    </row>
    <row r="1633" spans="1:38" x14ac:dyDescent="0.2">
      <c r="A1633" s="1" t="s">
        <v>1899</v>
      </c>
      <c r="B1633" s="1" t="s">
        <v>2074</v>
      </c>
      <c r="C1633" s="1" t="s">
        <v>5728</v>
      </c>
      <c r="D1633" s="48">
        <v>51</v>
      </c>
      <c r="E1633" s="1">
        <v>1</v>
      </c>
      <c r="F1633" s="1" t="s">
        <v>1904</v>
      </c>
      <c r="G1633" s="1" t="s">
        <v>2075</v>
      </c>
      <c r="I1633" s="1" t="s">
        <v>94</v>
      </c>
      <c r="K1633" s="1" t="s">
        <v>2076</v>
      </c>
      <c r="L1633" s="2" t="s">
        <v>2077</v>
      </c>
      <c r="O1633" s="55">
        <v>1</v>
      </c>
      <c r="Q1633" s="57">
        <v>4</v>
      </c>
      <c r="R1633" s="58">
        <v>2</v>
      </c>
      <c r="S1633" s="59">
        <v>6</v>
      </c>
      <c r="AL1633" s="60" t="s">
        <v>30</v>
      </c>
    </row>
    <row r="1634" spans="1:38" x14ac:dyDescent="0.2">
      <c r="A1634" s="1" t="s">
        <v>1899</v>
      </c>
      <c r="B1634" s="1" t="s">
        <v>2031</v>
      </c>
      <c r="C1634" s="1" t="s">
        <v>5728</v>
      </c>
      <c r="D1634" s="48">
        <v>52</v>
      </c>
      <c r="E1634" s="1">
        <v>2</v>
      </c>
      <c r="F1634" s="1" t="s">
        <v>1904</v>
      </c>
      <c r="G1634" s="1" t="s">
        <v>2032</v>
      </c>
      <c r="I1634" s="1" t="s">
        <v>94</v>
      </c>
      <c r="K1634" s="1" t="s">
        <v>2033</v>
      </c>
      <c r="N1634" s="54">
        <v>27</v>
      </c>
      <c r="O1634" s="55">
        <v>3</v>
      </c>
      <c r="Q1634" s="57">
        <v>3</v>
      </c>
      <c r="R1634" s="58">
        <v>2</v>
      </c>
      <c r="S1634" s="59">
        <v>3</v>
      </c>
      <c r="AL1634" s="60" t="s">
        <v>30</v>
      </c>
    </row>
    <row r="1635" spans="1:38" x14ac:dyDescent="0.2">
      <c r="A1635" s="1" t="s">
        <v>1899</v>
      </c>
      <c r="B1635" s="1" t="s">
        <v>2060</v>
      </c>
      <c r="C1635" s="1" t="s">
        <v>5728</v>
      </c>
      <c r="D1635" s="48">
        <v>53</v>
      </c>
      <c r="E1635" s="1">
        <v>1</v>
      </c>
      <c r="F1635" s="1" t="s">
        <v>1904</v>
      </c>
      <c r="G1635" s="1" t="s">
        <v>2061</v>
      </c>
      <c r="H1635" s="1" t="s">
        <v>26</v>
      </c>
      <c r="I1635" s="1" t="s">
        <v>94</v>
      </c>
      <c r="K1635" s="1" t="s">
        <v>2062</v>
      </c>
      <c r="O1635" s="55">
        <v>3</v>
      </c>
      <c r="Q1635" s="57">
        <v>4</v>
      </c>
      <c r="R1635" s="58">
        <v>2</v>
      </c>
      <c r="S1635" s="59">
        <v>4</v>
      </c>
      <c r="AL1635" s="60" t="s">
        <v>30</v>
      </c>
    </row>
    <row r="1636" spans="1:38" x14ac:dyDescent="0.2">
      <c r="A1636" s="1" t="s">
        <v>1899</v>
      </c>
      <c r="B1636" s="1" t="s">
        <v>1900</v>
      </c>
      <c r="C1636" s="1" t="s">
        <v>5728</v>
      </c>
      <c r="D1636" s="48">
        <v>54</v>
      </c>
      <c r="E1636" s="1">
        <v>1</v>
      </c>
      <c r="F1636" s="1" t="s">
        <v>1904</v>
      </c>
      <c r="G1636" s="1" t="s">
        <v>1901</v>
      </c>
      <c r="H1636" s="1" t="s">
        <v>26</v>
      </c>
      <c r="I1636" s="1" t="s">
        <v>94</v>
      </c>
      <c r="K1636" s="1" t="s">
        <v>1902</v>
      </c>
      <c r="L1636" s="2" t="s">
        <v>1903</v>
      </c>
      <c r="N1636" s="54">
        <v>36</v>
      </c>
      <c r="O1636" s="55">
        <v>2</v>
      </c>
      <c r="Q1636" s="57">
        <v>4</v>
      </c>
      <c r="R1636" s="58">
        <v>2</v>
      </c>
      <c r="S1636" s="59">
        <v>5</v>
      </c>
      <c r="AL1636" s="60" t="s">
        <v>30</v>
      </c>
    </row>
    <row r="1637" spans="1:38" x14ac:dyDescent="0.2">
      <c r="A1637" s="1" t="s">
        <v>1899</v>
      </c>
      <c r="B1637" s="1" t="s">
        <v>1979</v>
      </c>
      <c r="C1637" s="1" t="s">
        <v>5728</v>
      </c>
      <c r="D1637" s="48">
        <v>55</v>
      </c>
      <c r="E1637" s="1">
        <v>4</v>
      </c>
      <c r="F1637" s="1" t="s">
        <v>1904</v>
      </c>
      <c r="G1637" s="1" t="s">
        <v>1980</v>
      </c>
      <c r="I1637" s="1" t="s">
        <v>94</v>
      </c>
      <c r="K1637" s="1" t="s">
        <v>1981</v>
      </c>
      <c r="N1637" s="54">
        <v>16</v>
      </c>
      <c r="O1637" s="55">
        <v>0</v>
      </c>
      <c r="Q1637" s="57">
        <v>2</v>
      </c>
      <c r="R1637" s="58">
        <v>2</v>
      </c>
      <c r="S1637" s="59">
        <v>2</v>
      </c>
      <c r="AL1637" s="60" t="s">
        <v>30</v>
      </c>
    </row>
    <row r="1638" spans="1:38" x14ac:dyDescent="0.2">
      <c r="A1638" s="1" t="s">
        <v>1899</v>
      </c>
      <c r="B1638" s="1" t="s">
        <v>1950</v>
      </c>
      <c r="C1638" s="1" t="s">
        <v>5728</v>
      </c>
      <c r="D1638" s="48">
        <v>56</v>
      </c>
      <c r="E1638" s="1">
        <v>3</v>
      </c>
      <c r="F1638" s="1" t="s">
        <v>1904</v>
      </c>
      <c r="G1638" s="1" t="s">
        <v>1951</v>
      </c>
      <c r="I1638" s="1" t="s">
        <v>94</v>
      </c>
      <c r="K1638" s="1" t="s">
        <v>1952</v>
      </c>
      <c r="L1638" s="2" t="s">
        <v>1903</v>
      </c>
      <c r="N1638" s="54">
        <v>45</v>
      </c>
      <c r="O1638" s="55">
        <v>1</v>
      </c>
      <c r="Q1638" s="57">
        <v>6</v>
      </c>
      <c r="R1638" s="58">
        <v>3</v>
      </c>
      <c r="S1638" s="59">
        <v>4</v>
      </c>
      <c r="AL1638" s="60" t="s">
        <v>30</v>
      </c>
    </row>
    <row r="1639" spans="1:38" x14ac:dyDescent="0.2">
      <c r="A1639" s="1" t="s">
        <v>1899</v>
      </c>
      <c r="B1639" s="1" t="s">
        <v>2040</v>
      </c>
      <c r="C1639" s="1" t="s">
        <v>5728</v>
      </c>
      <c r="D1639" s="48">
        <v>57</v>
      </c>
      <c r="E1639" s="1">
        <v>1</v>
      </c>
      <c r="F1639" s="1" t="s">
        <v>1904</v>
      </c>
      <c r="G1639" s="1" t="s">
        <v>2041</v>
      </c>
      <c r="H1639" s="1" t="s">
        <v>26</v>
      </c>
      <c r="I1639" s="1" t="s">
        <v>94</v>
      </c>
      <c r="K1639" s="1" t="s">
        <v>1952</v>
      </c>
      <c r="O1639" s="55">
        <v>4</v>
      </c>
      <c r="Q1639" s="57">
        <v>12</v>
      </c>
      <c r="R1639" s="58">
        <v>2</v>
      </c>
      <c r="S1639" s="59">
        <v>7</v>
      </c>
      <c r="AL1639" s="60" t="s">
        <v>30</v>
      </c>
    </row>
    <row r="1640" spans="1:38" x14ac:dyDescent="0.2">
      <c r="A1640" s="1" t="s">
        <v>1899</v>
      </c>
      <c r="B1640" s="1" t="s">
        <v>2022</v>
      </c>
      <c r="C1640" s="1" t="s">
        <v>5728</v>
      </c>
      <c r="D1640" s="48">
        <v>58</v>
      </c>
      <c r="E1640" s="1">
        <v>1</v>
      </c>
      <c r="F1640" s="1" t="s">
        <v>1904</v>
      </c>
      <c r="G1640" s="1" t="s">
        <v>2023</v>
      </c>
      <c r="H1640" s="1" t="s">
        <v>26</v>
      </c>
      <c r="I1640" s="1" t="s">
        <v>94</v>
      </c>
      <c r="K1640" s="1" t="s">
        <v>2024</v>
      </c>
      <c r="L1640" s="2" t="s">
        <v>2025</v>
      </c>
      <c r="N1640" s="54">
        <v>33</v>
      </c>
      <c r="O1640" s="55">
        <v>0</v>
      </c>
      <c r="Q1640" s="57">
        <v>3</v>
      </c>
      <c r="R1640" s="58">
        <v>2</v>
      </c>
      <c r="S1640" s="59">
        <v>2</v>
      </c>
      <c r="AL1640" s="60" t="s">
        <v>30</v>
      </c>
    </row>
    <row r="1641" spans="1:38" x14ac:dyDescent="0.2">
      <c r="A1641" s="1" t="s">
        <v>1899</v>
      </c>
      <c r="B1641" s="1" t="s">
        <v>2037</v>
      </c>
      <c r="C1641" s="1" t="s">
        <v>5728</v>
      </c>
      <c r="D1641" s="48">
        <v>59</v>
      </c>
      <c r="E1641" s="1">
        <v>1</v>
      </c>
      <c r="F1641" s="1" t="s">
        <v>1904</v>
      </c>
      <c r="G1641" s="1" t="s">
        <v>2038</v>
      </c>
      <c r="I1641" s="1" t="s">
        <v>94</v>
      </c>
      <c r="K1641" s="1" t="s">
        <v>1952</v>
      </c>
      <c r="L1641" s="2" t="s">
        <v>2039</v>
      </c>
      <c r="N1641" s="54">
        <v>32</v>
      </c>
      <c r="O1641" s="55">
        <v>2</v>
      </c>
      <c r="Q1641" s="57">
        <v>4</v>
      </c>
      <c r="R1641" s="58">
        <v>4</v>
      </c>
      <c r="S1641" s="59">
        <v>5</v>
      </c>
      <c r="AL1641" s="60" t="s">
        <v>30</v>
      </c>
    </row>
    <row r="1642" spans="1:38" x14ac:dyDescent="0.2">
      <c r="A1642" s="1" t="s">
        <v>1899</v>
      </c>
      <c r="B1642" s="1" t="s">
        <v>2067</v>
      </c>
      <c r="C1642" s="1" t="s">
        <v>5728</v>
      </c>
      <c r="D1642" s="48">
        <v>60</v>
      </c>
      <c r="E1642" s="1">
        <v>3</v>
      </c>
      <c r="F1642" s="1" t="s">
        <v>1904</v>
      </c>
      <c r="G1642" s="1" t="s">
        <v>2068</v>
      </c>
      <c r="I1642" s="1" t="s">
        <v>94</v>
      </c>
      <c r="K1642" s="1" t="s">
        <v>2069</v>
      </c>
      <c r="O1642" s="55">
        <v>2</v>
      </c>
      <c r="Q1642" s="57">
        <v>2</v>
      </c>
      <c r="R1642" s="58">
        <v>1</v>
      </c>
      <c r="S1642" s="59">
        <v>3</v>
      </c>
      <c r="AL1642" s="60" t="s">
        <v>30</v>
      </c>
    </row>
    <row r="1643" spans="1:38" x14ac:dyDescent="0.2">
      <c r="A1643" s="1" t="s">
        <v>1899</v>
      </c>
      <c r="B1643" s="1" t="s">
        <v>2058</v>
      </c>
      <c r="C1643" s="1" t="s">
        <v>5728</v>
      </c>
      <c r="D1643" s="48">
        <v>61</v>
      </c>
      <c r="E1643" s="1">
        <v>2</v>
      </c>
      <c r="F1643" s="1" t="s">
        <v>1904</v>
      </c>
      <c r="G1643" s="1" t="s">
        <v>2059</v>
      </c>
      <c r="I1643" s="1" t="s">
        <v>94</v>
      </c>
      <c r="O1643" s="55">
        <v>2</v>
      </c>
      <c r="Q1643" s="57">
        <v>4</v>
      </c>
      <c r="R1643" s="58">
        <v>1</v>
      </c>
      <c r="S1643" s="59">
        <v>5</v>
      </c>
      <c r="AL1643" s="60" t="s">
        <v>30</v>
      </c>
    </row>
    <row r="1644" spans="1:38" x14ac:dyDescent="0.2">
      <c r="A1644" s="1" t="s">
        <v>1899</v>
      </c>
      <c r="B1644" s="1" t="s">
        <v>1912</v>
      </c>
      <c r="C1644" s="1" t="s">
        <v>5728</v>
      </c>
      <c r="D1644" s="48">
        <v>62</v>
      </c>
      <c r="E1644" s="1">
        <v>1</v>
      </c>
      <c r="F1644" s="1" t="s">
        <v>1904</v>
      </c>
      <c r="G1644" s="1" t="s">
        <v>1913</v>
      </c>
      <c r="I1644" s="1" t="s">
        <v>94</v>
      </c>
      <c r="L1644" s="2" t="s">
        <v>1914</v>
      </c>
      <c r="O1644" s="55">
        <v>1</v>
      </c>
      <c r="Q1644" s="57">
        <v>7</v>
      </c>
      <c r="R1644" s="58">
        <v>2</v>
      </c>
      <c r="S1644" s="59">
        <v>5</v>
      </c>
      <c r="AL1644" s="60" t="s">
        <v>30</v>
      </c>
    </row>
    <row r="1645" spans="1:38" x14ac:dyDescent="0.2">
      <c r="A1645" s="1" t="s">
        <v>1899</v>
      </c>
      <c r="B1645" s="1" t="s">
        <v>1969</v>
      </c>
      <c r="C1645" s="1" t="s">
        <v>5728</v>
      </c>
      <c r="D1645" s="48">
        <v>63</v>
      </c>
      <c r="E1645" s="1">
        <v>1</v>
      </c>
      <c r="F1645" s="1" t="s">
        <v>1904</v>
      </c>
      <c r="G1645" s="1" t="s">
        <v>1970</v>
      </c>
      <c r="H1645" s="1" t="s">
        <v>26</v>
      </c>
      <c r="I1645" s="1" t="s">
        <v>27</v>
      </c>
      <c r="J1645" s="1" t="s">
        <v>39</v>
      </c>
      <c r="K1645" s="1" t="s">
        <v>1971</v>
      </c>
      <c r="L1645" s="2" t="s">
        <v>1940</v>
      </c>
      <c r="P1645" s="56">
        <v>3</v>
      </c>
      <c r="Q1645" s="57">
        <v>4</v>
      </c>
      <c r="R1645" s="58">
        <v>2</v>
      </c>
      <c r="S1645" s="59">
        <v>6</v>
      </c>
      <c r="AL1645" s="60" t="s">
        <v>30</v>
      </c>
    </row>
    <row r="1646" spans="1:38" x14ac:dyDescent="0.2">
      <c r="A1646" s="1" t="s">
        <v>1899</v>
      </c>
      <c r="B1646" s="1" t="s">
        <v>2050</v>
      </c>
      <c r="C1646" s="1" t="s">
        <v>5728</v>
      </c>
      <c r="D1646" s="48">
        <v>64</v>
      </c>
      <c r="E1646" s="1">
        <v>1</v>
      </c>
      <c r="F1646" s="1" t="s">
        <v>1904</v>
      </c>
      <c r="G1646" s="1" t="s">
        <v>2051</v>
      </c>
      <c r="I1646" s="1" t="s">
        <v>104</v>
      </c>
      <c r="K1646" s="1" t="s">
        <v>105</v>
      </c>
      <c r="O1646" s="55">
        <v>2</v>
      </c>
      <c r="T1646" s="60">
        <v>2</v>
      </c>
      <c r="AL1646" s="60" t="s">
        <v>30</v>
      </c>
    </row>
    <row r="1647" spans="1:38" x14ac:dyDescent="0.2">
      <c r="A1647" s="1" t="s">
        <v>1899</v>
      </c>
      <c r="B1647" s="1" t="s">
        <v>1909</v>
      </c>
      <c r="C1647" s="1" t="s">
        <v>5728</v>
      </c>
      <c r="D1647" s="48">
        <v>65</v>
      </c>
      <c r="E1647" s="1">
        <v>1</v>
      </c>
      <c r="F1647" s="1" t="s">
        <v>1904</v>
      </c>
      <c r="G1647" s="1" t="s">
        <v>1910</v>
      </c>
      <c r="I1647" s="1" t="s">
        <v>104</v>
      </c>
      <c r="K1647" s="1" t="s">
        <v>1911</v>
      </c>
      <c r="O1647" s="55">
        <v>1</v>
      </c>
      <c r="T1647" s="60">
        <v>4</v>
      </c>
      <c r="U1647" s="1">
        <v>2</v>
      </c>
      <c r="AL1647" s="60" t="s">
        <v>30</v>
      </c>
    </row>
    <row r="1648" spans="1:38" x14ac:dyDescent="0.2">
      <c r="A1648" s="1" t="s">
        <v>1899</v>
      </c>
      <c r="B1648" s="1" t="s">
        <v>1929</v>
      </c>
      <c r="C1648" s="1" t="s">
        <v>5728</v>
      </c>
      <c r="D1648" s="48">
        <v>66</v>
      </c>
      <c r="E1648" s="1">
        <v>3</v>
      </c>
      <c r="F1648" s="1" t="s">
        <v>1904</v>
      </c>
      <c r="G1648" s="1" t="s">
        <v>1930</v>
      </c>
      <c r="I1648" s="1" t="s">
        <v>104</v>
      </c>
      <c r="K1648" s="1" t="s">
        <v>105</v>
      </c>
      <c r="O1648" s="55">
        <v>2</v>
      </c>
      <c r="T1648" s="60">
        <v>3</v>
      </c>
      <c r="AL1648" s="60" t="s">
        <v>30</v>
      </c>
    </row>
    <row r="1649" spans="1:38" x14ac:dyDescent="0.2">
      <c r="A1649" s="1" t="s">
        <v>1899</v>
      </c>
      <c r="B1649" s="1" t="s">
        <v>1931</v>
      </c>
      <c r="C1649" s="1" t="s">
        <v>5728</v>
      </c>
      <c r="D1649" s="48">
        <v>67</v>
      </c>
      <c r="E1649" s="1">
        <v>3</v>
      </c>
      <c r="F1649" s="1" t="s">
        <v>1904</v>
      </c>
      <c r="G1649" s="1" t="s">
        <v>1932</v>
      </c>
      <c r="I1649" s="1" t="s">
        <v>104</v>
      </c>
      <c r="O1649" s="55">
        <v>2</v>
      </c>
      <c r="T1649" s="60">
        <v>3</v>
      </c>
      <c r="AL1649" s="60" t="s">
        <v>30</v>
      </c>
    </row>
    <row r="1650" spans="1:38" x14ac:dyDescent="0.2">
      <c r="A1650" s="1" t="s">
        <v>1899</v>
      </c>
      <c r="B1650" s="1" t="s">
        <v>2048</v>
      </c>
      <c r="C1650" s="1" t="s">
        <v>5728</v>
      </c>
      <c r="D1650" s="48">
        <v>68</v>
      </c>
      <c r="E1650" s="1">
        <v>3</v>
      </c>
      <c r="F1650" s="1" t="s">
        <v>1904</v>
      </c>
      <c r="G1650" s="1" t="s">
        <v>2049</v>
      </c>
      <c r="I1650" s="1" t="s">
        <v>104</v>
      </c>
      <c r="O1650" s="55">
        <v>3</v>
      </c>
      <c r="T1650" s="60">
        <v>2</v>
      </c>
      <c r="U1650" s="1">
        <v>1</v>
      </c>
      <c r="AL1650" s="60" t="s">
        <v>30</v>
      </c>
    </row>
    <row r="1651" spans="1:38" x14ac:dyDescent="0.2">
      <c r="A1651" s="1" t="s">
        <v>1899</v>
      </c>
      <c r="B1651" s="1" t="s">
        <v>2034</v>
      </c>
      <c r="C1651" s="1" t="s">
        <v>5728</v>
      </c>
      <c r="D1651" s="48">
        <v>69</v>
      </c>
      <c r="E1651" s="1">
        <v>1</v>
      </c>
      <c r="F1651" s="1" t="s">
        <v>1904</v>
      </c>
      <c r="G1651" s="1" t="s">
        <v>2035</v>
      </c>
      <c r="I1651" s="1" t="s">
        <v>88</v>
      </c>
      <c r="K1651" s="1" t="s">
        <v>2036</v>
      </c>
      <c r="AL1651" s="60" t="s">
        <v>30</v>
      </c>
    </row>
    <row r="1652" spans="1:38" x14ac:dyDescent="0.2">
      <c r="A1652" s="1" t="s">
        <v>1899</v>
      </c>
      <c r="B1652" s="1" t="s">
        <v>2007</v>
      </c>
      <c r="C1652" s="1" t="s">
        <v>5728</v>
      </c>
      <c r="D1652" s="48">
        <v>70</v>
      </c>
      <c r="E1652" s="1">
        <v>1</v>
      </c>
      <c r="F1652" s="1" t="s">
        <v>1904</v>
      </c>
      <c r="G1652" s="1" t="s">
        <v>2008</v>
      </c>
      <c r="I1652" s="1" t="s">
        <v>88</v>
      </c>
      <c r="K1652" s="1" t="s">
        <v>2009</v>
      </c>
      <c r="L1652" s="2" t="s">
        <v>2010</v>
      </c>
      <c r="AL1652" s="60" t="s">
        <v>30</v>
      </c>
    </row>
    <row r="1653" spans="1:38" x14ac:dyDescent="0.2">
      <c r="A1653" s="1" t="s">
        <v>1899</v>
      </c>
      <c r="B1653" s="1" t="s">
        <v>1928</v>
      </c>
      <c r="C1653" s="1" t="s">
        <v>5728</v>
      </c>
      <c r="D1653" s="48">
        <v>71</v>
      </c>
      <c r="E1653" s="1">
        <v>1</v>
      </c>
      <c r="F1653" s="1" t="s">
        <v>1904</v>
      </c>
      <c r="G1653" s="1" t="s">
        <v>9728</v>
      </c>
      <c r="I1653" s="1" t="s">
        <v>125</v>
      </c>
      <c r="M1653" s="18">
        <v>1</v>
      </c>
      <c r="N1653" s="54" t="s">
        <v>9529</v>
      </c>
      <c r="Y1653" s="1" t="s">
        <v>9728</v>
      </c>
      <c r="AA1653" s="1" t="s">
        <v>125</v>
      </c>
      <c r="AE1653" s="1">
        <v>1</v>
      </c>
      <c r="AF1653" s="54" t="s">
        <v>9530</v>
      </c>
      <c r="AL1653" s="60" t="s">
        <v>166</v>
      </c>
    </row>
    <row r="1654" spans="1:38" x14ac:dyDescent="0.2">
      <c r="A1654" s="1" t="s">
        <v>1899</v>
      </c>
      <c r="B1654" s="1" t="s">
        <v>2026</v>
      </c>
      <c r="C1654" s="1" t="s">
        <v>5728</v>
      </c>
      <c r="D1654" s="48">
        <v>72</v>
      </c>
      <c r="E1654" s="1">
        <v>1</v>
      </c>
      <c r="F1654" s="1" t="s">
        <v>1904</v>
      </c>
      <c r="G1654" s="1" t="s">
        <v>9730</v>
      </c>
      <c r="I1654" s="1" t="s">
        <v>125</v>
      </c>
      <c r="M1654" s="18">
        <v>2</v>
      </c>
      <c r="N1654" s="54" t="s">
        <v>9529</v>
      </c>
      <c r="Y1654" s="1" t="s">
        <v>9730</v>
      </c>
      <c r="AA1654" s="1" t="s">
        <v>125</v>
      </c>
      <c r="AE1654" s="1">
        <v>2</v>
      </c>
      <c r="AF1654" s="54" t="s">
        <v>9530</v>
      </c>
      <c r="AL1654" s="60" t="s">
        <v>341</v>
      </c>
    </row>
    <row r="1655" spans="1:38" x14ac:dyDescent="0.2">
      <c r="A1655" s="1" t="s">
        <v>1899</v>
      </c>
      <c r="B1655" s="1" t="s">
        <v>2057</v>
      </c>
      <c r="C1655" s="1" t="s">
        <v>5728</v>
      </c>
      <c r="D1655" s="48">
        <v>73</v>
      </c>
      <c r="E1655" s="1">
        <v>1</v>
      </c>
      <c r="F1655" s="1" t="s">
        <v>1904</v>
      </c>
      <c r="G1655" s="1" t="s">
        <v>9733</v>
      </c>
      <c r="I1655" s="1" t="s">
        <v>125</v>
      </c>
      <c r="M1655" s="18">
        <v>3</v>
      </c>
      <c r="N1655" s="54" t="s">
        <v>9529</v>
      </c>
      <c r="Y1655" s="1" t="s">
        <v>9733</v>
      </c>
      <c r="AA1655" s="1" t="s">
        <v>125</v>
      </c>
      <c r="AE1655" s="1">
        <v>3</v>
      </c>
      <c r="AF1655" s="54" t="s">
        <v>9530</v>
      </c>
      <c r="AL1655" s="60" t="s">
        <v>166</v>
      </c>
    </row>
    <row r="1656" spans="1:38" x14ac:dyDescent="0.2">
      <c r="A1656" s="1" t="s">
        <v>1899</v>
      </c>
      <c r="B1656" s="1" t="s">
        <v>2029</v>
      </c>
      <c r="C1656" s="1" t="s">
        <v>5728</v>
      </c>
      <c r="D1656" s="48">
        <v>74</v>
      </c>
      <c r="E1656" s="1">
        <v>1</v>
      </c>
      <c r="F1656" s="1" t="s">
        <v>1904</v>
      </c>
      <c r="G1656" s="1" t="s">
        <v>9734</v>
      </c>
      <c r="I1656" s="1" t="s">
        <v>125</v>
      </c>
      <c r="M1656" s="18">
        <v>3</v>
      </c>
      <c r="N1656" s="54" t="s">
        <v>9529</v>
      </c>
      <c r="Y1656" s="1" t="s">
        <v>9734</v>
      </c>
      <c r="AA1656" s="1" t="s">
        <v>125</v>
      </c>
      <c r="AE1656" s="1">
        <v>3</v>
      </c>
      <c r="AF1656" s="54" t="s">
        <v>9530</v>
      </c>
      <c r="AL1656" s="60" t="s">
        <v>32</v>
      </c>
    </row>
    <row r="1657" spans="1:38" x14ac:dyDescent="0.2">
      <c r="A1657" s="1" t="s">
        <v>1899</v>
      </c>
      <c r="B1657" s="1" t="s">
        <v>1927</v>
      </c>
      <c r="C1657" s="1" t="s">
        <v>5728</v>
      </c>
      <c r="D1657" s="48">
        <v>75</v>
      </c>
      <c r="E1657" s="1">
        <v>1</v>
      </c>
      <c r="F1657" s="1" t="s">
        <v>1904</v>
      </c>
      <c r="G1657" s="1" t="s">
        <v>9735</v>
      </c>
      <c r="I1657" s="1" t="s">
        <v>125</v>
      </c>
      <c r="M1657" s="18">
        <v>3</v>
      </c>
      <c r="N1657" s="54" t="s">
        <v>9529</v>
      </c>
      <c r="Y1657" s="1" t="s">
        <v>9735</v>
      </c>
      <c r="AA1657" s="1" t="s">
        <v>125</v>
      </c>
      <c r="AE1657" s="1">
        <v>3</v>
      </c>
      <c r="AF1657" s="54" t="s">
        <v>9530</v>
      </c>
      <c r="AL1657" s="60" t="s">
        <v>31</v>
      </c>
    </row>
    <row r="1658" spans="1:38" x14ac:dyDescent="0.2">
      <c r="A1658" s="1" t="s">
        <v>1899</v>
      </c>
      <c r="B1658" s="1" t="s">
        <v>1992</v>
      </c>
      <c r="C1658" s="1" t="s">
        <v>5728</v>
      </c>
      <c r="D1658" s="48">
        <v>76</v>
      </c>
      <c r="E1658" s="1">
        <v>1</v>
      </c>
      <c r="F1658" s="1" t="s">
        <v>1904</v>
      </c>
      <c r="G1658" s="1" t="s">
        <v>9739</v>
      </c>
      <c r="I1658" s="1" t="s">
        <v>125</v>
      </c>
      <c r="M1658" s="18">
        <v>4</v>
      </c>
      <c r="N1658" s="54" t="s">
        <v>9529</v>
      </c>
      <c r="Y1658" s="1" t="s">
        <v>9739</v>
      </c>
      <c r="AA1658" s="1" t="s">
        <v>125</v>
      </c>
      <c r="AE1658" s="1">
        <v>4</v>
      </c>
      <c r="AF1658" s="54" t="s">
        <v>9530</v>
      </c>
      <c r="AL1658" s="60" t="s">
        <v>46</v>
      </c>
    </row>
    <row r="1659" spans="1:38" x14ac:dyDescent="0.2">
      <c r="A1659" s="1" t="s">
        <v>1899</v>
      </c>
      <c r="B1659" s="1" t="s">
        <v>1944</v>
      </c>
      <c r="C1659" s="1" t="s">
        <v>5728</v>
      </c>
      <c r="D1659" s="48">
        <v>77</v>
      </c>
      <c r="E1659" s="1">
        <v>1</v>
      </c>
      <c r="F1659" s="1" t="s">
        <v>1904</v>
      </c>
      <c r="G1659" s="1" t="s">
        <v>9740</v>
      </c>
      <c r="I1659" s="1" t="s">
        <v>125</v>
      </c>
      <c r="M1659" s="18">
        <v>5</v>
      </c>
      <c r="N1659" s="54" t="s">
        <v>9529</v>
      </c>
      <c r="Y1659" s="1" t="s">
        <v>9740</v>
      </c>
      <c r="AA1659" s="1" t="s">
        <v>125</v>
      </c>
      <c r="AE1659" s="1">
        <v>5</v>
      </c>
      <c r="AF1659" s="54" t="s">
        <v>9530</v>
      </c>
      <c r="AL1659" s="60" t="s">
        <v>67</v>
      </c>
    </row>
    <row r="1660" spans="1:38" x14ac:dyDescent="0.2">
      <c r="A1660" s="1" t="s">
        <v>1899</v>
      </c>
      <c r="B1660" s="1" t="s">
        <v>2030</v>
      </c>
      <c r="C1660" s="1" t="s">
        <v>5728</v>
      </c>
      <c r="D1660" s="48">
        <v>78</v>
      </c>
      <c r="E1660" s="1">
        <v>1</v>
      </c>
      <c r="F1660" s="1" t="s">
        <v>1904</v>
      </c>
      <c r="G1660" s="1" t="s">
        <v>1797</v>
      </c>
      <c r="I1660" s="1" t="s">
        <v>3482</v>
      </c>
      <c r="AL1660" s="60" t="s">
        <v>30</v>
      </c>
    </row>
    <row r="1661" spans="1:38" x14ac:dyDescent="0.2">
      <c r="A1661" s="1" t="s">
        <v>1899</v>
      </c>
      <c r="B1661" s="1" t="s">
        <v>1967</v>
      </c>
      <c r="C1661" s="1" t="s">
        <v>5728</v>
      </c>
      <c r="D1661" s="48">
        <v>79</v>
      </c>
      <c r="E1661" s="1">
        <v>2</v>
      </c>
      <c r="F1661" s="1" t="s">
        <v>1904</v>
      </c>
      <c r="G1661" s="1" t="s">
        <v>1968</v>
      </c>
      <c r="I1661" s="1" t="s">
        <v>82</v>
      </c>
      <c r="AL1661" s="60" t="s">
        <v>30</v>
      </c>
    </row>
    <row r="1662" spans="1:38" x14ac:dyDescent="0.2">
      <c r="A1662" s="1" t="s">
        <v>1899</v>
      </c>
      <c r="B1662" s="1" t="s">
        <v>2055</v>
      </c>
      <c r="C1662" s="1" t="s">
        <v>5728</v>
      </c>
      <c r="D1662" s="48">
        <v>80</v>
      </c>
      <c r="E1662" s="1">
        <v>2</v>
      </c>
      <c r="F1662" s="1" t="s">
        <v>1904</v>
      </c>
      <c r="G1662" s="1" t="s">
        <v>2056</v>
      </c>
      <c r="I1662" s="1" t="s">
        <v>82</v>
      </c>
      <c r="AL1662" s="60" t="s">
        <v>30</v>
      </c>
    </row>
    <row r="1663" spans="1:38" x14ac:dyDescent="0.2">
      <c r="A1663" s="1" t="s">
        <v>1899</v>
      </c>
      <c r="B1663" s="1" t="s">
        <v>1993</v>
      </c>
      <c r="C1663" s="1" t="s">
        <v>5728</v>
      </c>
      <c r="D1663" s="48">
        <v>81</v>
      </c>
      <c r="E1663" s="1">
        <v>2</v>
      </c>
      <c r="F1663" s="1" t="s">
        <v>1904</v>
      </c>
      <c r="G1663" s="1" t="s">
        <v>1994</v>
      </c>
      <c r="I1663" s="1" t="s">
        <v>82</v>
      </c>
      <c r="AL1663" s="60" t="s">
        <v>30</v>
      </c>
    </row>
    <row r="1664" spans="1:38" x14ac:dyDescent="0.2">
      <c r="A1664" s="1" t="s">
        <v>1899</v>
      </c>
      <c r="B1664" s="1" t="s">
        <v>2072</v>
      </c>
      <c r="C1664" s="1" t="s">
        <v>5728</v>
      </c>
      <c r="D1664" s="48">
        <v>82</v>
      </c>
      <c r="E1664" s="1">
        <v>2</v>
      </c>
      <c r="F1664" s="1" t="s">
        <v>1904</v>
      </c>
      <c r="G1664" s="1" t="s">
        <v>2073</v>
      </c>
      <c r="I1664" s="1" t="s">
        <v>82</v>
      </c>
      <c r="AL1664" s="60" t="s">
        <v>30</v>
      </c>
    </row>
    <row r="1665" spans="1:40" x14ac:dyDescent="0.2">
      <c r="A1665" s="1" t="s">
        <v>1899</v>
      </c>
      <c r="B1665" s="1" t="s">
        <v>2018</v>
      </c>
      <c r="C1665" s="1" t="s">
        <v>5728</v>
      </c>
      <c r="D1665" s="48">
        <v>83</v>
      </c>
      <c r="E1665" s="1">
        <v>2</v>
      </c>
      <c r="F1665" s="1" t="s">
        <v>1904</v>
      </c>
      <c r="G1665" s="1" t="s">
        <v>2019</v>
      </c>
      <c r="I1665" s="1" t="s">
        <v>82</v>
      </c>
      <c r="AL1665" s="60" t="s">
        <v>30</v>
      </c>
    </row>
    <row r="1666" spans="1:40" x14ac:dyDescent="0.2">
      <c r="A1666" s="1" t="s">
        <v>1899</v>
      </c>
      <c r="B1666" s="1" t="s">
        <v>2089</v>
      </c>
      <c r="C1666" s="1" t="s">
        <v>5728</v>
      </c>
      <c r="D1666" s="48">
        <v>84</v>
      </c>
      <c r="E1666" s="1">
        <v>2</v>
      </c>
      <c r="F1666" s="1" t="s">
        <v>1904</v>
      </c>
      <c r="G1666" s="1" t="s">
        <v>2090</v>
      </c>
      <c r="I1666" s="1" t="s">
        <v>82</v>
      </c>
      <c r="AL1666" s="60" t="s">
        <v>30</v>
      </c>
    </row>
    <row r="1667" spans="1:40" ht="48" x14ac:dyDescent="0.2">
      <c r="A1667" s="115" t="s">
        <v>1668</v>
      </c>
      <c r="B1667" s="115" t="s">
        <v>1716</v>
      </c>
      <c r="C1667" s="115" t="s">
        <v>5729</v>
      </c>
      <c r="D1667" s="116">
        <v>1</v>
      </c>
      <c r="E1667" s="115">
        <v>1</v>
      </c>
      <c r="F1667" s="115" t="s">
        <v>1718</v>
      </c>
      <c r="G1667" s="115" t="s">
        <v>9579</v>
      </c>
      <c r="I1667" s="1" t="s">
        <v>125</v>
      </c>
      <c r="M1667" s="18">
        <v>1</v>
      </c>
      <c r="N1667" s="54" t="s">
        <v>9529</v>
      </c>
      <c r="V1667" s="4" t="s">
        <v>1717</v>
      </c>
      <c r="X1667" s="1" t="s">
        <v>1719</v>
      </c>
      <c r="Y1667" s="1" t="s">
        <v>9579</v>
      </c>
      <c r="AA1667" s="1" t="s">
        <v>125</v>
      </c>
      <c r="AE1667" s="1">
        <v>1</v>
      </c>
      <c r="AF1667" s="54" t="s">
        <v>9530</v>
      </c>
      <c r="AL1667" s="60" t="s">
        <v>275</v>
      </c>
      <c r="AN1667" s="4" t="s">
        <v>1720</v>
      </c>
    </row>
    <row r="1668" spans="1:40" ht="36" x14ac:dyDescent="0.2">
      <c r="A1668" s="1" t="s">
        <v>1668</v>
      </c>
      <c r="B1668" s="1" t="s">
        <v>1721</v>
      </c>
      <c r="C1668" s="1" t="s">
        <v>5729</v>
      </c>
      <c r="D1668" s="48">
        <v>2</v>
      </c>
      <c r="E1668" s="1">
        <v>1</v>
      </c>
      <c r="F1668" s="1" t="s">
        <v>1718</v>
      </c>
      <c r="G1668" s="1" t="s">
        <v>9636</v>
      </c>
      <c r="I1668" s="1" t="s">
        <v>125</v>
      </c>
      <c r="M1668" s="18">
        <v>2</v>
      </c>
      <c r="N1668" s="54" t="s">
        <v>9529</v>
      </c>
      <c r="Y1668" s="1" t="s">
        <v>9636</v>
      </c>
      <c r="AA1668" s="1" t="s">
        <v>125</v>
      </c>
      <c r="AE1668" s="1">
        <v>2</v>
      </c>
      <c r="AF1668" s="54" t="s">
        <v>9530</v>
      </c>
      <c r="AL1668" s="60" t="s">
        <v>275</v>
      </c>
      <c r="AN1668" s="4" t="s">
        <v>1722</v>
      </c>
    </row>
    <row r="1669" spans="1:40" ht="48" x14ac:dyDescent="0.2">
      <c r="A1669" s="1" t="s">
        <v>1668</v>
      </c>
      <c r="B1669" s="1" t="s">
        <v>1723</v>
      </c>
      <c r="C1669" s="1" t="s">
        <v>5729</v>
      </c>
      <c r="D1669" s="48">
        <v>3</v>
      </c>
      <c r="E1669" s="1">
        <v>1</v>
      </c>
      <c r="F1669" s="1" t="s">
        <v>1718</v>
      </c>
      <c r="G1669" s="1" t="s">
        <v>9696</v>
      </c>
      <c r="I1669" s="1" t="s">
        <v>125</v>
      </c>
      <c r="M1669" s="18">
        <v>3</v>
      </c>
      <c r="N1669" s="54" t="s">
        <v>9529</v>
      </c>
      <c r="Y1669" s="1" t="s">
        <v>9696</v>
      </c>
      <c r="AA1669" s="1" t="s">
        <v>125</v>
      </c>
      <c r="AE1669" s="1">
        <v>3</v>
      </c>
      <c r="AF1669" s="54" t="s">
        <v>9530</v>
      </c>
      <c r="AL1669" s="60" t="s">
        <v>5621</v>
      </c>
      <c r="AN1669" s="4" t="s">
        <v>1724</v>
      </c>
    </row>
    <row r="1670" spans="1:40" ht="36" x14ac:dyDescent="0.2">
      <c r="A1670" s="1" t="s">
        <v>1668</v>
      </c>
      <c r="B1670" s="1" t="s">
        <v>1725</v>
      </c>
      <c r="C1670" s="1" t="s">
        <v>5729</v>
      </c>
      <c r="D1670" s="48">
        <v>4</v>
      </c>
      <c r="E1670" s="1">
        <v>1</v>
      </c>
      <c r="F1670" s="1" t="s">
        <v>1718</v>
      </c>
      <c r="G1670" s="1" t="s">
        <v>9715</v>
      </c>
      <c r="I1670" s="1" t="s">
        <v>125</v>
      </c>
      <c r="M1670" s="18">
        <v>4</v>
      </c>
      <c r="N1670" s="54" t="s">
        <v>9529</v>
      </c>
      <c r="Y1670" s="1" t="s">
        <v>9715</v>
      </c>
      <c r="AA1670" s="1" t="s">
        <v>125</v>
      </c>
      <c r="AE1670" s="1">
        <v>4</v>
      </c>
      <c r="AF1670" s="54" t="s">
        <v>9530</v>
      </c>
      <c r="AL1670" s="60" t="s">
        <v>275</v>
      </c>
      <c r="AN1670" s="4" t="s">
        <v>1726</v>
      </c>
    </row>
    <row r="1671" spans="1:40" ht="48" x14ac:dyDescent="0.2">
      <c r="A1671" s="1" t="s">
        <v>1668</v>
      </c>
      <c r="B1671" s="1" t="s">
        <v>1727</v>
      </c>
      <c r="C1671" s="1" t="s">
        <v>5729</v>
      </c>
      <c r="D1671" s="48">
        <v>5</v>
      </c>
      <c r="E1671" s="1">
        <v>1</v>
      </c>
      <c r="F1671" s="1" t="s">
        <v>1718</v>
      </c>
      <c r="G1671" s="1" t="s">
        <v>9723</v>
      </c>
      <c r="I1671" s="1" t="s">
        <v>125</v>
      </c>
      <c r="M1671" s="18">
        <v>5</v>
      </c>
      <c r="N1671" s="54" t="s">
        <v>9529</v>
      </c>
      <c r="Y1671" s="1" t="s">
        <v>9723</v>
      </c>
      <c r="AA1671" s="1" t="s">
        <v>125</v>
      </c>
      <c r="AE1671" s="1">
        <v>5</v>
      </c>
      <c r="AF1671" s="54" t="s">
        <v>9530</v>
      </c>
      <c r="AL1671" s="60" t="s">
        <v>337</v>
      </c>
      <c r="AN1671" s="4" t="s">
        <v>1728</v>
      </c>
    </row>
    <row r="1672" spans="1:40" ht="36" x14ac:dyDescent="0.2">
      <c r="A1672" s="1" t="s">
        <v>1668</v>
      </c>
      <c r="B1672" s="1" t="s">
        <v>1729</v>
      </c>
      <c r="C1672" s="1" t="s">
        <v>5729</v>
      </c>
      <c r="D1672" s="48">
        <v>6</v>
      </c>
      <c r="E1672" s="1">
        <v>1</v>
      </c>
      <c r="F1672" s="1" t="s">
        <v>1718</v>
      </c>
      <c r="G1672" s="1" t="s">
        <v>9724</v>
      </c>
      <c r="I1672" s="1" t="s">
        <v>125</v>
      </c>
      <c r="M1672" s="18">
        <v>6</v>
      </c>
      <c r="N1672" s="54" t="s">
        <v>9529</v>
      </c>
      <c r="Y1672" s="1" t="s">
        <v>9724</v>
      </c>
      <c r="AA1672" s="1" t="s">
        <v>125</v>
      </c>
      <c r="AE1672" s="1">
        <v>6</v>
      </c>
      <c r="AF1672" s="54" t="s">
        <v>9530</v>
      </c>
      <c r="AL1672" s="60" t="s">
        <v>341</v>
      </c>
      <c r="AN1672" s="4" t="s">
        <v>1730</v>
      </c>
    </row>
    <row r="1673" spans="1:40" ht="24" x14ac:dyDescent="0.2">
      <c r="A1673" s="1" t="s">
        <v>1668</v>
      </c>
      <c r="B1673" s="1" t="s">
        <v>1731</v>
      </c>
      <c r="C1673" s="1" t="s">
        <v>5729</v>
      </c>
      <c r="D1673" s="48">
        <v>7</v>
      </c>
      <c r="E1673" s="1">
        <v>1</v>
      </c>
      <c r="F1673" s="1" t="s">
        <v>1718</v>
      </c>
      <c r="G1673" s="1" t="s">
        <v>9725</v>
      </c>
      <c r="I1673" s="1" t="s">
        <v>125</v>
      </c>
      <c r="M1673" s="18">
        <v>7</v>
      </c>
      <c r="N1673" s="54" t="s">
        <v>9529</v>
      </c>
      <c r="Y1673" s="1" t="s">
        <v>9725</v>
      </c>
      <c r="AA1673" s="1" t="s">
        <v>125</v>
      </c>
      <c r="AE1673" s="1">
        <v>7</v>
      </c>
      <c r="AF1673" s="54" t="s">
        <v>9530</v>
      </c>
      <c r="AL1673" s="60" t="s">
        <v>341</v>
      </c>
      <c r="AN1673" s="4" t="s">
        <v>1732</v>
      </c>
    </row>
    <row r="1674" spans="1:40" ht="24" x14ac:dyDescent="0.2">
      <c r="A1674" s="1" t="s">
        <v>1668</v>
      </c>
      <c r="B1674" s="1" t="s">
        <v>1687</v>
      </c>
      <c r="C1674" s="1" t="s">
        <v>5729</v>
      </c>
      <c r="D1674" s="48">
        <v>8</v>
      </c>
      <c r="E1674" s="1">
        <v>1</v>
      </c>
      <c r="F1674" s="1" t="s">
        <v>1689</v>
      </c>
      <c r="G1674" s="1" t="s">
        <v>9580</v>
      </c>
      <c r="I1674" s="1" t="s">
        <v>125</v>
      </c>
      <c r="M1674" s="18">
        <v>1</v>
      </c>
      <c r="N1674" s="54" t="s">
        <v>9529</v>
      </c>
      <c r="V1674" s="4" t="s">
        <v>1688</v>
      </c>
      <c r="X1674" s="1" t="s">
        <v>1690</v>
      </c>
      <c r="Y1674" s="1" t="s">
        <v>9580</v>
      </c>
      <c r="AA1674" s="1" t="s">
        <v>125</v>
      </c>
      <c r="AE1674" s="1">
        <v>1</v>
      </c>
      <c r="AF1674" s="54" t="s">
        <v>9530</v>
      </c>
      <c r="AL1674" s="60" t="s">
        <v>346</v>
      </c>
      <c r="AN1674" s="4" t="s">
        <v>1691</v>
      </c>
    </row>
    <row r="1675" spans="1:40" ht="24" x14ac:dyDescent="0.2">
      <c r="A1675" s="1" t="s">
        <v>1668</v>
      </c>
      <c r="B1675" s="1" t="s">
        <v>1692</v>
      </c>
      <c r="C1675" s="1" t="s">
        <v>5729</v>
      </c>
      <c r="D1675" s="48">
        <v>9</v>
      </c>
      <c r="E1675" s="1">
        <v>1</v>
      </c>
      <c r="F1675" s="1" t="s">
        <v>1689</v>
      </c>
      <c r="G1675" s="1" t="s">
        <v>9637</v>
      </c>
      <c r="I1675" s="1" t="s">
        <v>125</v>
      </c>
      <c r="M1675" s="18">
        <v>2</v>
      </c>
      <c r="N1675" s="54" t="s">
        <v>9529</v>
      </c>
      <c r="V1675" s="4" t="s">
        <v>1693</v>
      </c>
      <c r="Y1675" s="1" t="s">
        <v>9637</v>
      </c>
      <c r="AA1675" s="1" t="s">
        <v>125</v>
      </c>
      <c r="AE1675" s="1">
        <v>2</v>
      </c>
      <c r="AF1675" s="54" t="s">
        <v>9530</v>
      </c>
      <c r="AL1675" s="60" t="s">
        <v>341</v>
      </c>
      <c r="AN1675" s="4" t="s">
        <v>1694</v>
      </c>
    </row>
    <row r="1676" spans="1:40" ht="36" x14ac:dyDescent="0.2">
      <c r="A1676" s="1" t="s">
        <v>1668</v>
      </c>
      <c r="B1676" s="1" t="s">
        <v>1695</v>
      </c>
      <c r="C1676" s="1" t="s">
        <v>5729</v>
      </c>
      <c r="D1676" s="48">
        <v>10</v>
      </c>
      <c r="E1676" s="1">
        <v>1</v>
      </c>
      <c r="F1676" s="1" t="s">
        <v>1689</v>
      </c>
      <c r="G1676" s="1" t="s">
        <v>9697</v>
      </c>
      <c r="I1676" s="1" t="s">
        <v>125</v>
      </c>
      <c r="M1676" s="18">
        <v>3</v>
      </c>
      <c r="N1676" s="54" t="s">
        <v>9529</v>
      </c>
      <c r="V1676" s="4" t="s">
        <v>1696</v>
      </c>
      <c r="Y1676" s="1" t="s">
        <v>9697</v>
      </c>
      <c r="AA1676" s="1" t="s">
        <v>125</v>
      </c>
      <c r="AE1676" s="1">
        <v>3</v>
      </c>
      <c r="AF1676" s="54" t="s">
        <v>9530</v>
      </c>
      <c r="AL1676" s="60" t="s">
        <v>166</v>
      </c>
      <c r="AN1676" s="4" t="s">
        <v>1697</v>
      </c>
    </row>
    <row r="1677" spans="1:40" ht="24" x14ac:dyDescent="0.2">
      <c r="A1677" s="1" t="s">
        <v>1668</v>
      </c>
      <c r="B1677" s="1" t="s">
        <v>1698</v>
      </c>
      <c r="C1677" s="1" t="s">
        <v>5729</v>
      </c>
      <c r="D1677" s="48">
        <v>11</v>
      </c>
      <c r="E1677" s="1">
        <v>1</v>
      </c>
      <c r="F1677" s="1" t="s">
        <v>1700</v>
      </c>
      <c r="G1677" s="1" t="s">
        <v>3021</v>
      </c>
      <c r="I1677" s="1" t="s">
        <v>125</v>
      </c>
      <c r="M1677" s="18">
        <v>1</v>
      </c>
      <c r="N1677" s="54" t="s">
        <v>9529</v>
      </c>
      <c r="V1677" s="4" t="s">
        <v>1699</v>
      </c>
      <c r="Y1677" s="1" t="s">
        <v>3021</v>
      </c>
      <c r="AA1677" s="1" t="s">
        <v>125</v>
      </c>
      <c r="AE1677" s="1">
        <v>1</v>
      </c>
      <c r="AF1677" s="54" t="s">
        <v>9530</v>
      </c>
      <c r="AL1677" s="60" t="s">
        <v>337</v>
      </c>
      <c r="AN1677" s="4" t="s">
        <v>1701</v>
      </c>
    </row>
    <row r="1678" spans="1:40" ht="36" x14ac:dyDescent="0.2">
      <c r="A1678" s="1" t="s">
        <v>1668</v>
      </c>
      <c r="B1678" s="1" t="s">
        <v>1702</v>
      </c>
      <c r="C1678" s="1" t="s">
        <v>5729</v>
      </c>
      <c r="D1678" s="48">
        <v>12</v>
      </c>
      <c r="E1678" s="1">
        <v>1</v>
      </c>
      <c r="F1678" s="1" t="s">
        <v>1700</v>
      </c>
      <c r="G1678" s="1" t="s">
        <v>9638</v>
      </c>
      <c r="I1678" s="1" t="s">
        <v>125</v>
      </c>
      <c r="M1678" s="18">
        <v>2</v>
      </c>
      <c r="N1678" s="54" t="s">
        <v>9529</v>
      </c>
      <c r="Y1678" s="1" t="s">
        <v>9638</v>
      </c>
      <c r="AA1678" s="1" t="s">
        <v>125</v>
      </c>
      <c r="AE1678" s="1">
        <v>2</v>
      </c>
      <c r="AF1678" s="54" t="s">
        <v>9530</v>
      </c>
      <c r="AL1678" s="60" t="s">
        <v>46</v>
      </c>
      <c r="AN1678" s="4" t="s">
        <v>1703</v>
      </c>
    </row>
    <row r="1679" spans="1:40" ht="48" x14ac:dyDescent="0.2">
      <c r="A1679" s="1" t="s">
        <v>1668</v>
      </c>
      <c r="B1679" s="1" t="s">
        <v>1704</v>
      </c>
      <c r="C1679" s="1" t="s">
        <v>5729</v>
      </c>
      <c r="D1679" s="48">
        <v>13</v>
      </c>
      <c r="E1679" s="1">
        <v>1</v>
      </c>
      <c r="F1679" s="1" t="s">
        <v>1700</v>
      </c>
      <c r="G1679" s="1" t="s">
        <v>9698</v>
      </c>
      <c r="I1679" s="1" t="s">
        <v>125</v>
      </c>
      <c r="M1679" s="18">
        <v>3</v>
      </c>
      <c r="N1679" s="54" t="s">
        <v>9529</v>
      </c>
      <c r="V1679" s="4" t="s">
        <v>1699</v>
      </c>
      <c r="Y1679" s="1" t="s">
        <v>9698</v>
      </c>
      <c r="AA1679" s="1" t="s">
        <v>125</v>
      </c>
      <c r="AE1679" s="1">
        <v>3</v>
      </c>
      <c r="AF1679" s="54" t="s">
        <v>9530</v>
      </c>
      <c r="AL1679" s="60" t="s">
        <v>275</v>
      </c>
      <c r="AN1679" s="4" t="s">
        <v>1705</v>
      </c>
    </row>
    <row r="1680" spans="1:40" ht="36" x14ac:dyDescent="0.2">
      <c r="A1680" s="1" t="s">
        <v>1668</v>
      </c>
      <c r="B1680" s="1" t="s">
        <v>1678</v>
      </c>
      <c r="C1680" s="1" t="s">
        <v>5729</v>
      </c>
      <c r="D1680" s="48">
        <v>14</v>
      </c>
      <c r="E1680" s="1">
        <v>1</v>
      </c>
      <c r="F1680" s="1" t="s">
        <v>1680</v>
      </c>
      <c r="G1680" s="1" t="s">
        <v>9581</v>
      </c>
      <c r="I1680" s="1" t="s">
        <v>125</v>
      </c>
      <c r="M1680" s="18">
        <v>1</v>
      </c>
      <c r="N1680" s="54" t="s">
        <v>9529</v>
      </c>
      <c r="V1680" s="4" t="s">
        <v>1679</v>
      </c>
      <c r="X1680" s="1" t="s">
        <v>1681</v>
      </c>
      <c r="Y1680" s="1" t="s">
        <v>9581</v>
      </c>
      <c r="AA1680" s="1" t="s">
        <v>125</v>
      </c>
      <c r="AE1680" s="1">
        <v>1</v>
      </c>
      <c r="AF1680" s="54" t="s">
        <v>9530</v>
      </c>
      <c r="AL1680" s="60" t="s">
        <v>34</v>
      </c>
      <c r="AN1680" s="4" t="s">
        <v>1682</v>
      </c>
    </row>
    <row r="1681" spans="1:40" ht="24" x14ac:dyDescent="0.2">
      <c r="A1681" s="1" t="s">
        <v>1668</v>
      </c>
      <c r="B1681" s="1" t="s">
        <v>1683</v>
      </c>
      <c r="C1681" s="1" t="s">
        <v>5729</v>
      </c>
      <c r="D1681" s="48">
        <v>15</v>
      </c>
      <c r="E1681" s="1">
        <v>1</v>
      </c>
      <c r="F1681" s="1" t="s">
        <v>1680</v>
      </c>
      <c r="G1681" s="1" t="s">
        <v>9639</v>
      </c>
      <c r="I1681" s="1" t="s">
        <v>125</v>
      </c>
      <c r="M1681" s="18">
        <v>2</v>
      </c>
      <c r="N1681" s="54" t="s">
        <v>9529</v>
      </c>
      <c r="Y1681" s="1" t="s">
        <v>9639</v>
      </c>
      <c r="AA1681" s="1" t="s">
        <v>125</v>
      </c>
      <c r="AE1681" s="1">
        <v>2</v>
      </c>
      <c r="AF1681" s="54" t="s">
        <v>9530</v>
      </c>
      <c r="AL1681" s="60" t="s">
        <v>32</v>
      </c>
      <c r="AN1681" s="4" t="s">
        <v>1684</v>
      </c>
    </row>
    <row r="1682" spans="1:40" ht="24" x14ac:dyDescent="0.2">
      <c r="A1682" s="1" t="s">
        <v>1668</v>
      </c>
      <c r="B1682" s="1" t="s">
        <v>1685</v>
      </c>
      <c r="C1682" s="1" t="s">
        <v>5729</v>
      </c>
      <c r="D1682" s="48">
        <v>16</v>
      </c>
      <c r="E1682" s="1">
        <v>1</v>
      </c>
      <c r="F1682" s="1" t="s">
        <v>1680</v>
      </c>
      <c r="G1682" s="1" t="s">
        <v>9699</v>
      </c>
      <c r="I1682" s="1" t="s">
        <v>125</v>
      </c>
      <c r="M1682" s="18">
        <v>3</v>
      </c>
      <c r="N1682" s="54" t="s">
        <v>9529</v>
      </c>
      <c r="Y1682" s="1" t="s">
        <v>9699</v>
      </c>
      <c r="AA1682" s="1" t="s">
        <v>125</v>
      </c>
      <c r="AE1682" s="1">
        <v>3</v>
      </c>
      <c r="AF1682" s="54" t="s">
        <v>9530</v>
      </c>
      <c r="AL1682" s="60" t="s">
        <v>34</v>
      </c>
      <c r="AN1682" s="4" t="s">
        <v>1686</v>
      </c>
    </row>
    <row r="1683" spans="1:40" ht="36" x14ac:dyDescent="0.2">
      <c r="A1683" s="1" t="s">
        <v>1668</v>
      </c>
      <c r="B1683" s="1" t="s">
        <v>1669</v>
      </c>
      <c r="C1683" s="1" t="s">
        <v>5729</v>
      </c>
      <c r="D1683" s="48">
        <v>17</v>
      </c>
      <c r="E1683" s="1">
        <v>1</v>
      </c>
      <c r="F1683" s="1" t="s">
        <v>1671</v>
      </c>
      <c r="G1683" s="1" t="s">
        <v>9582</v>
      </c>
      <c r="I1683" s="1" t="s">
        <v>125</v>
      </c>
      <c r="M1683" s="18">
        <v>1</v>
      </c>
      <c r="N1683" s="54" t="s">
        <v>9529</v>
      </c>
      <c r="V1683" s="4" t="s">
        <v>1670</v>
      </c>
      <c r="X1683" s="1" t="s">
        <v>1672</v>
      </c>
      <c r="Y1683" s="1" t="s">
        <v>9582</v>
      </c>
      <c r="AA1683" s="1" t="s">
        <v>125</v>
      </c>
      <c r="AE1683" s="1">
        <v>1</v>
      </c>
      <c r="AF1683" s="54" t="s">
        <v>9530</v>
      </c>
      <c r="AL1683" s="60" t="s">
        <v>341</v>
      </c>
      <c r="AN1683" s="4" t="s">
        <v>1673</v>
      </c>
    </row>
    <row r="1684" spans="1:40" ht="24" x14ac:dyDescent="0.2">
      <c r="A1684" s="1" t="s">
        <v>1668</v>
      </c>
      <c r="B1684" s="1" t="s">
        <v>1674</v>
      </c>
      <c r="C1684" s="1" t="s">
        <v>5729</v>
      </c>
      <c r="D1684" s="48">
        <v>18</v>
      </c>
      <c r="E1684" s="1">
        <v>1</v>
      </c>
      <c r="F1684" s="1" t="s">
        <v>1671</v>
      </c>
      <c r="G1684" s="1" t="s">
        <v>9640</v>
      </c>
      <c r="I1684" s="1" t="s">
        <v>125</v>
      </c>
      <c r="M1684" s="18">
        <v>2</v>
      </c>
      <c r="N1684" s="54" t="s">
        <v>9529</v>
      </c>
      <c r="X1684" s="1" t="s">
        <v>1672</v>
      </c>
      <c r="Y1684" s="1" t="s">
        <v>9640</v>
      </c>
      <c r="AA1684" s="1" t="s">
        <v>125</v>
      </c>
      <c r="AE1684" s="1">
        <v>2</v>
      </c>
      <c r="AF1684" s="54" t="s">
        <v>9530</v>
      </c>
      <c r="AL1684" s="60" t="s">
        <v>341</v>
      </c>
      <c r="AN1684" s="4" t="s">
        <v>1675</v>
      </c>
    </row>
    <row r="1685" spans="1:40" ht="36" x14ac:dyDescent="0.2">
      <c r="A1685" s="1" t="s">
        <v>1668</v>
      </c>
      <c r="B1685" s="1" t="s">
        <v>1676</v>
      </c>
      <c r="C1685" s="1" t="s">
        <v>5729</v>
      </c>
      <c r="D1685" s="48">
        <v>19</v>
      </c>
      <c r="E1685" s="1">
        <v>1</v>
      </c>
      <c r="F1685" s="1" t="s">
        <v>1671</v>
      </c>
      <c r="G1685" s="1" t="s">
        <v>9700</v>
      </c>
      <c r="I1685" s="1" t="s">
        <v>125</v>
      </c>
      <c r="M1685" s="18">
        <v>3</v>
      </c>
      <c r="N1685" s="54" t="s">
        <v>9529</v>
      </c>
      <c r="Y1685" s="1" t="s">
        <v>9700</v>
      </c>
      <c r="AA1685" s="1" t="s">
        <v>125</v>
      </c>
      <c r="AE1685" s="1">
        <v>3</v>
      </c>
      <c r="AF1685" s="54" t="s">
        <v>9530</v>
      </c>
      <c r="AL1685" s="60" t="s">
        <v>341</v>
      </c>
      <c r="AN1685" s="4" t="s">
        <v>1677</v>
      </c>
    </row>
    <row r="1686" spans="1:40" ht="36" x14ac:dyDescent="0.2">
      <c r="A1686" s="1" t="s">
        <v>1668</v>
      </c>
      <c r="B1686" s="1" t="s">
        <v>1706</v>
      </c>
      <c r="C1686" s="1" t="s">
        <v>5729</v>
      </c>
      <c r="D1686" s="48">
        <v>20</v>
      </c>
      <c r="E1686" s="1">
        <v>1</v>
      </c>
      <c r="F1686" s="1" t="s">
        <v>1708</v>
      </c>
      <c r="G1686" s="1" t="s">
        <v>9583</v>
      </c>
      <c r="I1686" s="1" t="s">
        <v>125</v>
      </c>
      <c r="M1686" s="18">
        <v>1</v>
      </c>
      <c r="N1686" s="54" t="s">
        <v>9529</v>
      </c>
      <c r="V1686" s="4" t="s">
        <v>1707</v>
      </c>
      <c r="X1686" s="1" t="s">
        <v>1690</v>
      </c>
      <c r="Y1686" s="1" t="s">
        <v>9583</v>
      </c>
      <c r="AA1686" s="1" t="s">
        <v>125</v>
      </c>
      <c r="AE1686" s="1">
        <v>1</v>
      </c>
      <c r="AF1686" s="54" t="s">
        <v>9530</v>
      </c>
      <c r="AL1686" s="60" t="s">
        <v>275</v>
      </c>
      <c r="AN1686" s="4" t="s">
        <v>1709</v>
      </c>
    </row>
    <row r="1687" spans="1:40" ht="36" x14ac:dyDescent="0.2">
      <c r="A1687" s="1" t="s">
        <v>1668</v>
      </c>
      <c r="B1687" s="1" t="s">
        <v>1710</v>
      </c>
      <c r="C1687" s="1" t="s">
        <v>5729</v>
      </c>
      <c r="D1687" s="48">
        <v>21</v>
      </c>
      <c r="E1687" s="1">
        <v>1</v>
      </c>
      <c r="F1687" s="1" t="s">
        <v>1708</v>
      </c>
      <c r="G1687" s="1" t="s">
        <v>9641</v>
      </c>
      <c r="I1687" s="1" t="s">
        <v>125</v>
      </c>
      <c r="M1687" s="18">
        <v>2</v>
      </c>
      <c r="N1687" s="54" t="s">
        <v>9529</v>
      </c>
      <c r="V1687" s="4" t="s">
        <v>1711</v>
      </c>
      <c r="Y1687" s="1" t="s">
        <v>9641</v>
      </c>
      <c r="AA1687" s="1" t="s">
        <v>125</v>
      </c>
      <c r="AE1687" s="1">
        <v>2</v>
      </c>
      <c r="AF1687" s="54" t="s">
        <v>9530</v>
      </c>
      <c r="AL1687" s="60" t="s">
        <v>275</v>
      </c>
      <c r="AN1687" s="4" t="s">
        <v>1712</v>
      </c>
    </row>
    <row r="1688" spans="1:40" ht="36" x14ac:dyDescent="0.2">
      <c r="A1688" s="1" t="s">
        <v>1668</v>
      </c>
      <c r="B1688" s="1" t="s">
        <v>1713</v>
      </c>
      <c r="C1688" s="1" t="s">
        <v>5729</v>
      </c>
      <c r="D1688" s="48">
        <v>22</v>
      </c>
      <c r="E1688" s="1">
        <v>1</v>
      </c>
      <c r="F1688" s="1" t="s">
        <v>1708</v>
      </c>
      <c r="G1688" s="1" t="s">
        <v>9701</v>
      </c>
      <c r="I1688" s="1" t="s">
        <v>125</v>
      </c>
      <c r="M1688" s="18">
        <v>3</v>
      </c>
      <c r="N1688" s="54" t="s">
        <v>9529</v>
      </c>
      <c r="V1688" s="4" t="s">
        <v>1714</v>
      </c>
      <c r="Y1688" s="1" t="s">
        <v>9701</v>
      </c>
      <c r="AA1688" s="1" t="s">
        <v>125</v>
      </c>
      <c r="AE1688" s="1">
        <v>3</v>
      </c>
      <c r="AF1688" s="54" t="s">
        <v>9530</v>
      </c>
      <c r="AL1688" s="60" t="s">
        <v>275</v>
      </c>
      <c r="AN1688" s="4" t="s">
        <v>1715</v>
      </c>
    </row>
    <row r="1689" spans="1:40" ht="36" x14ac:dyDescent="0.2">
      <c r="A1689" s="115" t="s">
        <v>2188</v>
      </c>
      <c r="B1689" s="115" t="s">
        <v>2189</v>
      </c>
      <c r="C1689" s="115" t="s">
        <v>5730</v>
      </c>
      <c r="D1689" s="116">
        <v>0</v>
      </c>
      <c r="E1689" s="115">
        <v>1</v>
      </c>
      <c r="F1689" s="115" t="s">
        <v>2194</v>
      </c>
      <c r="G1689" s="115" t="s">
        <v>2190</v>
      </c>
      <c r="H1689" s="1" t="s">
        <v>26</v>
      </c>
      <c r="I1689" s="1" t="s">
        <v>94</v>
      </c>
      <c r="K1689" s="1" t="s">
        <v>2191</v>
      </c>
      <c r="L1689" s="2" t="s">
        <v>2192</v>
      </c>
      <c r="N1689" s="54">
        <v>0</v>
      </c>
      <c r="O1689" s="55" t="s">
        <v>799</v>
      </c>
      <c r="Q1689" s="57">
        <v>15</v>
      </c>
      <c r="R1689" s="58">
        <v>12</v>
      </c>
      <c r="S1689" s="59">
        <v>0</v>
      </c>
      <c r="V1689" s="4" t="s">
        <v>2193</v>
      </c>
      <c r="AL1689" s="60" t="s">
        <v>30</v>
      </c>
    </row>
    <row r="1690" spans="1:40" ht="36" x14ac:dyDescent="0.2">
      <c r="A1690" s="1" t="s">
        <v>2188</v>
      </c>
      <c r="B1690" s="1" t="s">
        <v>2195</v>
      </c>
      <c r="C1690" s="1" t="s">
        <v>5730</v>
      </c>
      <c r="D1690" s="48">
        <v>1</v>
      </c>
      <c r="E1690" s="1">
        <v>4</v>
      </c>
      <c r="F1690" s="1" t="s">
        <v>2194</v>
      </c>
      <c r="G1690" s="1" t="s">
        <v>2196</v>
      </c>
      <c r="I1690" s="1" t="s">
        <v>88</v>
      </c>
      <c r="K1690" s="1" t="s">
        <v>261</v>
      </c>
      <c r="V1690" s="4" t="s">
        <v>2197</v>
      </c>
      <c r="AL1690" s="60" t="s">
        <v>30</v>
      </c>
    </row>
    <row r="1691" spans="1:40" ht="24" x14ac:dyDescent="0.2">
      <c r="A1691" s="1" t="s">
        <v>2188</v>
      </c>
      <c r="B1691" s="1" t="s">
        <v>2198</v>
      </c>
      <c r="C1691" s="1" t="s">
        <v>5730</v>
      </c>
      <c r="D1691" s="48">
        <v>2</v>
      </c>
      <c r="E1691" s="1">
        <v>4</v>
      </c>
      <c r="F1691" s="1" t="s">
        <v>2194</v>
      </c>
      <c r="G1691" s="1" t="s">
        <v>2199</v>
      </c>
      <c r="I1691" s="1" t="s">
        <v>88</v>
      </c>
      <c r="K1691" s="1" t="s">
        <v>261</v>
      </c>
      <c r="V1691" s="4" t="s">
        <v>2200</v>
      </c>
      <c r="AL1691" s="60" t="s">
        <v>30</v>
      </c>
    </row>
    <row r="1692" spans="1:40" ht="48" x14ac:dyDescent="0.2">
      <c r="A1692" s="1" t="s">
        <v>2188</v>
      </c>
      <c r="B1692" s="1" t="s">
        <v>2201</v>
      </c>
      <c r="C1692" s="1" t="s">
        <v>5730</v>
      </c>
      <c r="D1692" s="48">
        <v>3</v>
      </c>
      <c r="E1692" s="1">
        <v>1</v>
      </c>
      <c r="F1692" s="1" t="s">
        <v>2194</v>
      </c>
      <c r="G1692" s="1" t="s">
        <v>2202</v>
      </c>
      <c r="H1692" s="1" t="s">
        <v>26</v>
      </c>
      <c r="I1692" s="1" t="s">
        <v>88</v>
      </c>
      <c r="K1692" s="1" t="s">
        <v>196</v>
      </c>
      <c r="L1692" s="2" t="s">
        <v>2203</v>
      </c>
      <c r="U1692" s="1">
        <v>15</v>
      </c>
      <c r="V1692" s="4" t="s">
        <v>2204</v>
      </c>
      <c r="AL1692" s="60" t="s">
        <v>30</v>
      </c>
    </row>
    <row r="1693" spans="1:40" ht="60" x14ac:dyDescent="0.2">
      <c r="A1693" s="1" t="s">
        <v>2188</v>
      </c>
      <c r="B1693" s="1" t="s">
        <v>2207</v>
      </c>
      <c r="C1693" s="1" t="s">
        <v>5730</v>
      </c>
      <c r="D1693" s="48">
        <v>4</v>
      </c>
      <c r="E1693" s="1">
        <v>1</v>
      </c>
      <c r="F1693" s="1" t="s">
        <v>2194</v>
      </c>
      <c r="G1693" s="1" t="s">
        <v>9584</v>
      </c>
      <c r="I1693" s="1" t="s">
        <v>125</v>
      </c>
      <c r="M1693" s="18">
        <v>1</v>
      </c>
      <c r="N1693" s="54" t="s">
        <v>9529</v>
      </c>
      <c r="V1693" s="4" t="s">
        <v>2208</v>
      </c>
      <c r="X1693" s="1" t="s">
        <v>1672</v>
      </c>
      <c r="Y1693" s="1" t="s">
        <v>9584</v>
      </c>
      <c r="AA1693" s="1" t="s">
        <v>125</v>
      </c>
      <c r="AE1693" s="1">
        <v>1</v>
      </c>
      <c r="AF1693" s="54" t="s">
        <v>9530</v>
      </c>
      <c r="AL1693" s="60" t="s">
        <v>67</v>
      </c>
      <c r="AN1693" s="4" t="s">
        <v>2209</v>
      </c>
    </row>
    <row r="1694" spans="1:40" ht="48" x14ac:dyDescent="0.2">
      <c r="A1694" s="1" t="s">
        <v>2188</v>
      </c>
      <c r="B1694" s="1" t="s">
        <v>2205</v>
      </c>
      <c r="C1694" s="1" t="s">
        <v>5730</v>
      </c>
      <c r="D1694" s="48">
        <v>5</v>
      </c>
      <c r="E1694" s="1">
        <v>1</v>
      </c>
      <c r="F1694" s="1" t="s">
        <v>2194</v>
      </c>
      <c r="G1694" s="1" t="s">
        <v>9642</v>
      </c>
      <c r="I1694" s="1" t="s">
        <v>125</v>
      </c>
      <c r="M1694" s="18">
        <v>2</v>
      </c>
      <c r="N1694" s="54" t="s">
        <v>9529</v>
      </c>
      <c r="Y1694" s="1" t="s">
        <v>9642</v>
      </c>
      <c r="AA1694" s="1" t="s">
        <v>125</v>
      </c>
      <c r="AE1694" s="1">
        <v>2</v>
      </c>
      <c r="AF1694" s="54" t="s">
        <v>9530</v>
      </c>
      <c r="AL1694" s="60" t="s">
        <v>5622</v>
      </c>
      <c r="AN1694" s="4" t="s">
        <v>2206</v>
      </c>
    </row>
    <row r="1695" spans="1:40" ht="84" x14ac:dyDescent="0.2">
      <c r="A1695" s="1" t="s">
        <v>2188</v>
      </c>
      <c r="B1695" s="1" t="s">
        <v>2210</v>
      </c>
      <c r="C1695" s="1" t="s">
        <v>5730</v>
      </c>
      <c r="D1695" s="48">
        <v>6</v>
      </c>
      <c r="E1695" s="1">
        <v>1</v>
      </c>
      <c r="F1695" s="1" t="s">
        <v>2194</v>
      </c>
      <c r="G1695" s="1" t="s">
        <v>9702</v>
      </c>
      <c r="I1695" s="1" t="s">
        <v>125</v>
      </c>
      <c r="M1695" s="18">
        <v>3</v>
      </c>
      <c r="N1695" s="54" t="s">
        <v>9529</v>
      </c>
      <c r="V1695" s="4" t="s">
        <v>2211</v>
      </c>
      <c r="Y1695" s="1" t="s">
        <v>9702</v>
      </c>
      <c r="AA1695" s="1" t="s">
        <v>125</v>
      </c>
      <c r="AE1695" s="1">
        <v>3</v>
      </c>
      <c r="AF1695" s="54" t="s">
        <v>9530</v>
      </c>
      <c r="AL1695" s="60" t="s">
        <v>67</v>
      </c>
      <c r="AN1695" s="4" t="s">
        <v>2212</v>
      </c>
    </row>
    <row r="1696" spans="1:40" ht="60" x14ac:dyDescent="0.2">
      <c r="A1696" s="115" t="s">
        <v>897</v>
      </c>
      <c r="B1696" s="115" t="s">
        <v>898</v>
      </c>
      <c r="C1696" s="115" t="s">
        <v>5731</v>
      </c>
      <c r="D1696" s="116">
        <v>1</v>
      </c>
      <c r="E1696" s="115">
        <v>1</v>
      </c>
      <c r="F1696" s="115" t="s">
        <v>901</v>
      </c>
      <c r="G1696" s="115" t="s">
        <v>899</v>
      </c>
      <c r="I1696" s="1" t="s">
        <v>104</v>
      </c>
      <c r="K1696" s="1" t="s">
        <v>105</v>
      </c>
      <c r="O1696" s="55" t="s">
        <v>113</v>
      </c>
      <c r="T1696" s="60">
        <v>12</v>
      </c>
      <c r="V1696" s="4" t="s">
        <v>900</v>
      </c>
      <c r="AL1696" s="60" t="s">
        <v>30</v>
      </c>
    </row>
    <row r="1697" spans="1:40" ht="60" x14ac:dyDescent="0.2">
      <c r="A1697" s="1" t="s">
        <v>897</v>
      </c>
      <c r="B1697" s="1" t="s">
        <v>902</v>
      </c>
      <c r="C1697" s="1" t="s">
        <v>5731</v>
      </c>
      <c r="D1697" s="48">
        <v>2</v>
      </c>
      <c r="E1697" s="1">
        <v>1</v>
      </c>
      <c r="F1697" s="1" t="s">
        <v>901</v>
      </c>
      <c r="G1697" s="1" t="s">
        <v>903</v>
      </c>
      <c r="I1697" s="1" t="s">
        <v>88</v>
      </c>
      <c r="K1697" s="1" t="s">
        <v>89</v>
      </c>
      <c r="L1697" s="2" t="s">
        <v>904</v>
      </c>
      <c r="V1697" s="4" t="s">
        <v>905</v>
      </c>
      <c r="AL1697" s="60" t="s">
        <v>30</v>
      </c>
    </row>
    <row r="1698" spans="1:40" ht="48" x14ac:dyDescent="0.2">
      <c r="A1698" s="1" t="s">
        <v>897</v>
      </c>
      <c r="B1698" s="1" t="s">
        <v>909</v>
      </c>
      <c r="C1698" s="1" t="s">
        <v>5731</v>
      </c>
      <c r="D1698" s="48">
        <v>3</v>
      </c>
      <c r="E1698" s="1">
        <v>1</v>
      </c>
      <c r="F1698" s="1" t="s">
        <v>901</v>
      </c>
      <c r="G1698" s="1" t="s">
        <v>9585</v>
      </c>
      <c r="I1698" s="1" t="s">
        <v>125</v>
      </c>
      <c r="M1698" s="18">
        <v>1</v>
      </c>
      <c r="N1698" s="54" t="s">
        <v>9529</v>
      </c>
      <c r="V1698" s="4" t="s">
        <v>910</v>
      </c>
      <c r="X1698" s="1" t="s">
        <v>911</v>
      </c>
      <c r="Y1698" s="1" t="s">
        <v>9585</v>
      </c>
      <c r="AA1698" s="1" t="s">
        <v>125</v>
      </c>
      <c r="AE1698" s="1">
        <v>1</v>
      </c>
      <c r="AF1698" s="54" t="s">
        <v>9530</v>
      </c>
      <c r="AL1698" s="60" t="s">
        <v>666</v>
      </c>
      <c r="AN1698" s="4" t="s">
        <v>912</v>
      </c>
    </row>
    <row r="1699" spans="1:40" ht="60" x14ac:dyDescent="0.2">
      <c r="A1699" s="1" t="s">
        <v>897</v>
      </c>
      <c r="B1699" s="1" t="s">
        <v>906</v>
      </c>
      <c r="C1699" s="1" t="s">
        <v>5731</v>
      </c>
      <c r="D1699" s="48">
        <v>4</v>
      </c>
      <c r="E1699" s="1">
        <v>1</v>
      </c>
      <c r="F1699" s="1" t="s">
        <v>901</v>
      </c>
      <c r="G1699" s="1" t="s">
        <v>9643</v>
      </c>
      <c r="I1699" s="1" t="s">
        <v>125</v>
      </c>
      <c r="M1699" s="18">
        <v>2</v>
      </c>
      <c r="N1699" s="54" t="s">
        <v>9529</v>
      </c>
      <c r="V1699" s="4" t="s">
        <v>907</v>
      </c>
      <c r="Y1699" s="1" t="s">
        <v>9643</v>
      </c>
      <c r="AA1699" s="1" t="s">
        <v>125</v>
      </c>
      <c r="AE1699" s="1">
        <v>2</v>
      </c>
      <c r="AF1699" s="54" t="s">
        <v>9530</v>
      </c>
      <c r="AL1699" s="60" t="s">
        <v>243</v>
      </c>
      <c r="AN1699" s="4" t="s">
        <v>908</v>
      </c>
    </row>
    <row r="1700" spans="1:40" ht="72" x14ac:dyDescent="0.2">
      <c r="A1700" s="1" t="s">
        <v>897</v>
      </c>
      <c r="B1700" s="1" t="s">
        <v>913</v>
      </c>
      <c r="C1700" s="1" t="s">
        <v>5731</v>
      </c>
      <c r="D1700" s="48">
        <v>5</v>
      </c>
      <c r="E1700" s="1">
        <v>1</v>
      </c>
      <c r="F1700" s="1" t="s">
        <v>901</v>
      </c>
      <c r="G1700" s="1" t="s">
        <v>9703</v>
      </c>
      <c r="I1700" s="1" t="s">
        <v>125</v>
      </c>
      <c r="M1700" s="18">
        <v>3</v>
      </c>
      <c r="N1700" s="54" t="s">
        <v>9529</v>
      </c>
      <c r="V1700" s="4" t="s">
        <v>914</v>
      </c>
      <c r="Y1700" s="1" t="s">
        <v>9703</v>
      </c>
      <c r="AA1700" s="1" t="s">
        <v>125</v>
      </c>
      <c r="AE1700" s="1">
        <v>3</v>
      </c>
      <c r="AF1700" s="54" t="s">
        <v>9530</v>
      </c>
      <c r="AL1700" s="60" t="s">
        <v>243</v>
      </c>
      <c r="AN1700" s="4" t="s">
        <v>915</v>
      </c>
    </row>
    <row r="1701" spans="1:40" ht="108" x14ac:dyDescent="0.2">
      <c r="A1701" s="115" t="s">
        <v>2183</v>
      </c>
      <c r="B1701" s="115" t="s">
        <v>2184</v>
      </c>
      <c r="C1701" s="115" t="s">
        <v>5732</v>
      </c>
      <c r="D1701" s="116">
        <v>1</v>
      </c>
      <c r="E1701" s="115">
        <v>1</v>
      </c>
      <c r="F1701" s="115" t="s">
        <v>2186</v>
      </c>
      <c r="G1701" s="115" t="s">
        <v>2186</v>
      </c>
      <c r="I1701" s="1" t="s">
        <v>125</v>
      </c>
      <c r="M1701" s="18">
        <v>1</v>
      </c>
      <c r="N1701" s="54" t="s">
        <v>9529</v>
      </c>
      <c r="V1701" s="4" t="s">
        <v>2185</v>
      </c>
      <c r="X1701" s="1" t="s">
        <v>1672</v>
      </c>
      <c r="Y1701" s="1" t="s">
        <v>2186</v>
      </c>
      <c r="AA1701" s="1" t="s">
        <v>125</v>
      </c>
      <c r="AE1701" s="1">
        <v>1</v>
      </c>
      <c r="AF1701" s="54" t="s">
        <v>9530</v>
      </c>
      <c r="AL1701" s="60" t="s">
        <v>67</v>
      </c>
      <c r="AN1701" s="4" t="s">
        <v>2187</v>
      </c>
    </row>
    <row r="1702" spans="1:40" ht="48" x14ac:dyDescent="0.2">
      <c r="A1702" s="115" t="s">
        <v>1733</v>
      </c>
      <c r="B1702" s="115" t="s">
        <v>1841</v>
      </c>
      <c r="C1702" s="115" t="s">
        <v>5733</v>
      </c>
      <c r="D1702" s="115">
        <v>1</v>
      </c>
      <c r="E1702" s="115">
        <v>5</v>
      </c>
      <c r="F1702" s="115" t="s">
        <v>1738</v>
      </c>
      <c r="G1702" s="115" t="s">
        <v>1842</v>
      </c>
      <c r="I1702" s="1" t="s">
        <v>94</v>
      </c>
      <c r="K1702" s="4" t="s">
        <v>1746</v>
      </c>
      <c r="L1702" s="4"/>
      <c r="M1702" s="1"/>
      <c r="N1702" s="54">
        <v>20</v>
      </c>
      <c r="O1702" s="55">
        <v>1</v>
      </c>
      <c r="Q1702" s="57">
        <v>1</v>
      </c>
      <c r="R1702" s="58">
        <v>0</v>
      </c>
      <c r="S1702" s="59">
        <v>1</v>
      </c>
      <c r="U1702" s="1">
        <v>1</v>
      </c>
      <c r="V1702" s="4" t="s">
        <v>1843</v>
      </c>
      <c r="AL1702" s="60" t="s">
        <v>30</v>
      </c>
      <c r="AN1702" s="4" t="s">
        <v>30</v>
      </c>
    </row>
    <row r="1703" spans="1:40" ht="24" x14ac:dyDescent="0.2">
      <c r="A1703" s="1" t="s">
        <v>1733</v>
      </c>
      <c r="B1703" s="1" t="s">
        <v>1815</v>
      </c>
      <c r="C1703" s="1" t="s">
        <v>5733</v>
      </c>
      <c r="D1703" s="1">
        <v>2</v>
      </c>
      <c r="E1703" s="1">
        <v>5</v>
      </c>
      <c r="F1703" s="1" t="s">
        <v>1738</v>
      </c>
      <c r="G1703" s="1" t="s">
        <v>1816</v>
      </c>
      <c r="I1703" s="1" t="s">
        <v>94</v>
      </c>
      <c r="K1703" s="4" t="s">
        <v>95</v>
      </c>
      <c r="L1703" s="4" t="s">
        <v>1817</v>
      </c>
      <c r="M1703" s="1"/>
      <c r="N1703" s="54">
        <v>20</v>
      </c>
      <c r="O1703" s="55">
        <v>1</v>
      </c>
      <c r="Q1703" s="57">
        <v>2</v>
      </c>
      <c r="R1703" s="58">
        <v>1</v>
      </c>
      <c r="S1703" s="59">
        <v>3</v>
      </c>
      <c r="W1703" s="4" t="s">
        <v>1818</v>
      </c>
      <c r="AL1703" s="60" t="s">
        <v>30</v>
      </c>
      <c r="AN1703" s="4" t="s">
        <v>30</v>
      </c>
    </row>
    <row r="1704" spans="1:40" ht="24" x14ac:dyDescent="0.2">
      <c r="A1704" s="1" t="s">
        <v>1733</v>
      </c>
      <c r="B1704" s="1" t="s">
        <v>1734</v>
      </c>
      <c r="C1704" s="1" t="s">
        <v>5733</v>
      </c>
      <c r="D1704" s="1">
        <v>3</v>
      </c>
      <c r="E1704" s="1">
        <v>4</v>
      </c>
      <c r="F1704" s="1" t="s">
        <v>1738</v>
      </c>
      <c r="G1704" s="1" t="s">
        <v>1735</v>
      </c>
      <c r="I1704" s="1" t="s">
        <v>94</v>
      </c>
      <c r="K1704" s="4" t="s">
        <v>95</v>
      </c>
      <c r="L1704" s="4"/>
      <c r="M1704" s="1"/>
      <c r="N1704" s="54">
        <v>30</v>
      </c>
      <c r="O1704" s="55">
        <v>1</v>
      </c>
      <c r="Q1704" s="57">
        <v>2</v>
      </c>
      <c r="R1704" s="58">
        <v>1</v>
      </c>
      <c r="S1704" s="59">
        <v>2</v>
      </c>
      <c r="V1704" s="4" t="s">
        <v>1736</v>
      </c>
      <c r="W1704" s="4" t="s">
        <v>1737</v>
      </c>
      <c r="AL1704" s="60" t="s">
        <v>30</v>
      </c>
      <c r="AN1704" s="4" t="s">
        <v>30</v>
      </c>
    </row>
    <row r="1705" spans="1:40" ht="24" x14ac:dyDescent="0.2">
      <c r="A1705" s="1" t="s">
        <v>1733</v>
      </c>
      <c r="B1705" s="1" t="s">
        <v>1786</v>
      </c>
      <c r="C1705" s="1" t="s">
        <v>5733</v>
      </c>
      <c r="D1705" s="1">
        <v>4</v>
      </c>
      <c r="E1705" s="1">
        <v>2</v>
      </c>
      <c r="F1705" s="1" t="s">
        <v>1738</v>
      </c>
      <c r="G1705" s="1" t="s">
        <v>1787</v>
      </c>
      <c r="I1705" s="1" t="s">
        <v>94</v>
      </c>
      <c r="K1705" s="4" t="s">
        <v>1788</v>
      </c>
      <c r="L1705" s="4"/>
      <c r="M1705" s="1"/>
      <c r="N1705" s="54">
        <v>32</v>
      </c>
      <c r="O1705" s="55">
        <v>1</v>
      </c>
      <c r="Q1705" s="57">
        <v>2</v>
      </c>
      <c r="R1705" s="58">
        <v>2</v>
      </c>
      <c r="S1705" s="59">
        <v>2</v>
      </c>
      <c r="V1705" s="4" t="s">
        <v>1789</v>
      </c>
      <c r="W1705" s="4" t="s">
        <v>1790</v>
      </c>
      <c r="AL1705" s="60" t="s">
        <v>30</v>
      </c>
      <c r="AN1705" s="4" t="s">
        <v>30</v>
      </c>
    </row>
    <row r="1706" spans="1:40" ht="24" x14ac:dyDescent="0.2">
      <c r="A1706" s="1" t="s">
        <v>1733</v>
      </c>
      <c r="B1706" s="1" t="s">
        <v>1834</v>
      </c>
      <c r="C1706" s="1" t="s">
        <v>5733</v>
      </c>
      <c r="D1706" s="1">
        <v>5</v>
      </c>
      <c r="E1706" s="1">
        <v>3</v>
      </c>
      <c r="F1706" s="1" t="s">
        <v>1738</v>
      </c>
      <c r="G1706" s="1" t="s">
        <v>1835</v>
      </c>
      <c r="I1706" s="1" t="s">
        <v>94</v>
      </c>
      <c r="K1706" s="4" t="s">
        <v>1788</v>
      </c>
      <c r="L1706" s="4"/>
      <c r="M1706" s="1"/>
      <c r="N1706" s="54">
        <v>38</v>
      </c>
      <c r="O1706" s="55">
        <v>2</v>
      </c>
      <c r="Q1706" s="57">
        <v>2</v>
      </c>
      <c r="R1706" s="58">
        <v>2</v>
      </c>
      <c r="S1706" s="59">
        <v>3</v>
      </c>
      <c r="V1706" s="4" t="s">
        <v>1836</v>
      </c>
      <c r="W1706" s="4" t="s">
        <v>1790</v>
      </c>
      <c r="AL1706" s="60" t="s">
        <v>30</v>
      </c>
      <c r="AN1706" s="4" t="s">
        <v>30</v>
      </c>
    </row>
    <row r="1707" spans="1:40" ht="24" x14ac:dyDescent="0.2">
      <c r="A1707" s="1" t="s">
        <v>1733</v>
      </c>
      <c r="B1707" s="1" t="s">
        <v>1819</v>
      </c>
      <c r="C1707" s="1" t="s">
        <v>5733</v>
      </c>
      <c r="D1707" s="1">
        <v>6</v>
      </c>
      <c r="E1707" s="1">
        <v>5</v>
      </c>
      <c r="F1707" s="1" t="s">
        <v>1738</v>
      </c>
      <c r="G1707" s="1" t="s">
        <v>1820</v>
      </c>
      <c r="I1707" s="1" t="s">
        <v>94</v>
      </c>
      <c r="K1707" s="4" t="s">
        <v>1746</v>
      </c>
      <c r="L1707" s="4" t="s">
        <v>1821</v>
      </c>
      <c r="M1707" s="1"/>
      <c r="N1707" s="54">
        <v>25</v>
      </c>
      <c r="O1707" s="55">
        <v>1</v>
      </c>
      <c r="Q1707" s="57">
        <v>2</v>
      </c>
      <c r="R1707" s="58">
        <v>0</v>
      </c>
      <c r="S1707" s="59">
        <v>2</v>
      </c>
      <c r="U1707" s="1">
        <v>1</v>
      </c>
      <c r="V1707" s="4" t="s">
        <v>1822</v>
      </c>
      <c r="AL1707" s="60" t="s">
        <v>30</v>
      </c>
      <c r="AN1707" s="4" t="s">
        <v>30</v>
      </c>
    </row>
    <row r="1708" spans="1:40" ht="36" x14ac:dyDescent="0.2">
      <c r="A1708" s="1" t="s">
        <v>1733</v>
      </c>
      <c r="B1708" s="1" t="s">
        <v>1804</v>
      </c>
      <c r="C1708" s="1" t="s">
        <v>5733</v>
      </c>
      <c r="D1708" s="1">
        <v>7</v>
      </c>
      <c r="E1708" s="1">
        <v>4</v>
      </c>
      <c r="F1708" s="1" t="s">
        <v>1738</v>
      </c>
      <c r="G1708" s="1" t="s">
        <v>1805</v>
      </c>
      <c r="I1708" s="1" t="s">
        <v>94</v>
      </c>
      <c r="K1708" s="4" t="s">
        <v>1746</v>
      </c>
      <c r="L1708" s="4"/>
      <c r="M1708" s="1"/>
      <c r="N1708" s="54">
        <v>30</v>
      </c>
      <c r="O1708" s="55">
        <v>1</v>
      </c>
      <c r="Q1708" s="57">
        <v>3</v>
      </c>
      <c r="R1708" s="58">
        <v>2</v>
      </c>
      <c r="S1708" s="59">
        <v>3</v>
      </c>
      <c r="U1708" s="1">
        <v>2</v>
      </c>
      <c r="V1708" s="4" t="s">
        <v>1806</v>
      </c>
      <c r="AL1708" s="60" t="s">
        <v>30</v>
      </c>
      <c r="AN1708" s="4" t="s">
        <v>30</v>
      </c>
    </row>
    <row r="1709" spans="1:40" ht="24" x14ac:dyDescent="0.2">
      <c r="A1709" s="1" t="s">
        <v>1733</v>
      </c>
      <c r="B1709" s="1" t="s">
        <v>1851</v>
      </c>
      <c r="C1709" s="1" t="s">
        <v>5733</v>
      </c>
      <c r="D1709" s="1">
        <v>8</v>
      </c>
      <c r="E1709" s="1">
        <v>5</v>
      </c>
      <c r="F1709" s="1" t="s">
        <v>1738</v>
      </c>
      <c r="G1709" s="1" t="s">
        <v>1852</v>
      </c>
      <c r="I1709" s="1" t="s">
        <v>94</v>
      </c>
      <c r="K1709" s="4" t="s">
        <v>1746</v>
      </c>
      <c r="L1709" s="4" t="s">
        <v>1853</v>
      </c>
      <c r="M1709" s="1"/>
      <c r="N1709" s="54">
        <v>30</v>
      </c>
      <c r="O1709" s="55">
        <v>1</v>
      </c>
      <c r="Q1709" s="57">
        <v>1</v>
      </c>
      <c r="R1709" s="58">
        <v>1</v>
      </c>
      <c r="S1709" s="59">
        <v>3</v>
      </c>
      <c r="U1709" s="1">
        <v>1</v>
      </c>
      <c r="V1709" s="4" t="s">
        <v>1854</v>
      </c>
      <c r="AL1709" s="60" t="s">
        <v>30</v>
      </c>
      <c r="AN1709" s="4" t="s">
        <v>30</v>
      </c>
    </row>
    <row r="1710" spans="1:40" ht="36" x14ac:dyDescent="0.2">
      <c r="A1710" s="1" t="s">
        <v>1733</v>
      </c>
      <c r="B1710" s="1" t="s">
        <v>1776</v>
      </c>
      <c r="C1710" s="1" t="s">
        <v>5733</v>
      </c>
      <c r="D1710" s="1">
        <v>9</v>
      </c>
      <c r="E1710" s="1">
        <v>5</v>
      </c>
      <c r="F1710" s="1" t="s">
        <v>1738</v>
      </c>
      <c r="G1710" s="1" t="s">
        <v>1777</v>
      </c>
      <c r="I1710" s="1" t="s">
        <v>94</v>
      </c>
      <c r="K1710" s="4" t="s">
        <v>1746</v>
      </c>
      <c r="L1710" s="4"/>
      <c r="M1710" s="1"/>
      <c r="N1710" s="54">
        <v>30</v>
      </c>
      <c r="O1710" s="55" t="s">
        <v>113</v>
      </c>
      <c r="Q1710" s="57" t="s">
        <v>113</v>
      </c>
      <c r="R1710" s="58">
        <v>2</v>
      </c>
      <c r="S1710" s="59">
        <v>2</v>
      </c>
      <c r="U1710" s="1">
        <v>2</v>
      </c>
      <c r="V1710" s="4" t="s">
        <v>1778</v>
      </c>
      <c r="AL1710" s="60" t="s">
        <v>30</v>
      </c>
      <c r="AN1710" s="4" t="s">
        <v>30</v>
      </c>
    </row>
    <row r="1711" spans="1:40" ht="24" x14ac:dyDescent="0.2">
      <c r="A1711" s="1" t="s">
        <v>1733</v>
      </c>
      <c r="B1711" s="1" t="s">
        <v>1801</v>
      </c>
      <c r="C1711" s="1" t="s">
        <v>5733</v>
      </c>
      <c r="D1711" s="1">
        <v>10</v>
      </c>
      <c r="E1711" s="1">
        <v>5</v>
      </c>
      <c r="F1711" s="1" t="s">
        <v>1738</v>
      </c>
      <c r="G1711" s="1" t="s">
        <v>1802</v>
      </c>
      <c r="I1711" s="1" t="s">
        <v>94</v>
      </c>
      <c r="K1711" s="4" t="s">
        <v>1746</v>
      </c>
      <c r="L1711" s="4" t="s">
        <v>685</v>
      </c>
      <c r="M1711" s="1"/>
      <c r="N1711" s="54">
        <v>45</v>
      </c>
      <c r="O1711" s="55">
        <v>1</v>
      </c>
      <c r="Q1711" s="57">
        <v>1</v>
      </c>
      <c r="R1711" s="58">
        <v>0</v>
      </c>
      <c r="S1711" s="59">
        <v>2</v>
      </c>
      <c r="U1711" s="1">
        <v>1</v>
      </c>
      <c r="V1711" s="4" t="s">
        <v>1803</v>
      </c>
      <c r="AL1711" s="60" t="s">
        <v>30</v>
      </c>
      <c r="AN1711" s="4" t="s">
        <v>30</v>
      </c>
    </row>
    <row r="1712" spans="1:40" ht="36" x14ac:dyDescent="0.2">
      <c r="A1712" s="1" t="s">
        <v>1733</v>
      </c>
      <c r="B1712" s="1" t="s">
        <v>1744</v>
      </c>
      <c r="C1712" s="1" t="s">
        <v>5733</v>
      </c>
      <c r="D1712" s="1">
        <v>11</v>
      </c>
      <c r="E1712" s="1">
        <v>4</v>
      </c>
      <c r="F1712" s="1" t="s">
        <v>1738</v>
      </c>
      <c r="G1712" s="1" t="s">
        <v>1745</v>
      </c>
      <c r="I1712" s="1" t="s">
        <v>94</v>
      </c>
      <c r="K1712" s="4" t="s">
        <v>1746</v>
      </c>
      <c r="L1712" s="4" t="s">
        <v>1747</v>
      </c>
      <c r="M1712" s="1"/>
      <c r="N1712" s="54">
        <v>35</v>
      </c>
      <c r="O1712" s="55">
        <v>1</v>
      </c>
      <c r="Q1712" s="57">
        <v>3</v>
      </c>
      <c r="R1712" s="58">
        <v>7</v>
      </c>
      <c r="S1712" s="59">
        <v>3</v>
      </c>
      <c r="U1712" s="1">
        <v>3</v>
      </c>
      <c r="V1712" s="4" t="s">
        <v>1748</v>
      </c>
      <c r="AL1712" s="60" t="s">
        <v>30</v>
      </c>
      <c r="AN1712" s="4" t="s">
        <v>30</v>
      </c>
    </row>
    <row r="1713" spans="1:40" ht="24" x14ac:dyDescent="0.2">
      <c r="A1713" s="1" t="s">
        <v>1733</v>
      </c>
      <c r="B1713" s="1" t="s">
        <v>1855</v>
      </c>
      <c r="C1713" s="1" t="s">
        <v>5733</v>
      </c>
      <c r="D1713" s="1">
        <v>12</v>
      </c>
      <c r="E1713" s="1">
        <v>3</v>
      </c>
      <c r="F1713" s="1" t="s">
        <v>1738</v>
      </c>
      <c r="G1713" s="1" t="s">
        <v>1856</v>
      </c>
      <c r="I1713" s="1" t="s">
        <v>94</v>
      </c>
      <c r="K1713" s="4" t="s">
        <v>1788</v>
      </c>
      <c r="L1713" s="4" t="s">
        <v>155</v>
      </c>
      <c r="M1713" s="1"/>
      <c r="N1713" s="54">
        <v>35</v>
      </c>
      <c r="O1713" s="55">
        <v>1</v>
      </c>
      <c r="Q1713" s="57">
        <v>3</v>
      </c>
      <c r="R1713" s="58">
        <v>0</v>
      </c>
      <c r="S1713" s="59">
        <v>3</v>
      </c>
      <c r="V1713" s="4" t="s">
        <v>1857</v>
      </c>
      <c r="W1713" s="4" t="s">
        <v>1858</v>
      </c>
      <c r="AL1713" s="60" t="s">
        <v>30</v>
      </c>
      <c r="AN1713" s="4" t="s">
        <v>30</v>
      </c>
    </row>
    <row r="1714" spans="1:40" ht="36" x14ac:dyDescent="0.2">
      <c r="A1714" s="1" t="s">
        <v>1733</v>
      </c>
      <c r="B1714" s="1" t="s">
        <v>1791</v>
      </c>
      <c r="C1714" s="1" t="s">
        <v>5733</v>
      </c>
      <c r="D1714" s="1">
        <v>13</v>
      </c>
      <c r="E1714" s="1">
        <v>3</v>
      </c>
      <c r="F1714" s="1" t="s">
        <v>1738</v>
      </c>
      <c r="G1714" s="1" t="s">
        <v>1792</v>
      </c>
      <c r="I1714" s="1" t="s">
        <v>104</v>
      </c>
      <c r="K1714" s="4" t="s">
        <v>1741</v>
      </c>
      <c r="L1714" s="4" t="s">
        <v>1793</v>
      </c>
      <c r="M1714" s="1"/>
      <c r="O1714" s="55">
        <v>2</v>
      </c>
      <c r="T1714" s="60">
        <v>3</v>
      </c>
      <c r="V1714" s="4" t="s">
        <v>1794</v>
      </c>
      <c r="AL1714" s="60" t="s">
        <v>30</v>
      </c>
      <c r="AN1714" s="4" t="s">
        <v>30</v>
      </c>
    </row>
    <row r="1715" spans="1:40" ht="36" x14ac:dyDescent="0.2">
      <c r="A1715" s="1" t="s">
        <v>1733</v>
      </c>
      <c r="B1715" s="1" t="s">
        <v>1862</v>
      </c>
      <c r="C1715" s="1" t="s">
        <v>5733</v>
      </c>
      <c r="D1715" s="1">
        <v>14</v>
      </c>
      <c r="E1715" s="1">
        <v>1</v>
      </c>
      <c r="F1715" s="1" t="s">
        <v>1738</v>
      </c>
      <c r="G1715" s="1" t="s">
        <v>1863</v>
      </c>
      <c r="I1715" s="1" t="s">
        <v>104</v>
      </c>
      <c r="K1715" s="4" t="s">
        <v>1741</v>
      </c>
      <c r="L1715" s="4" t="s">
        <v>1864</v>
      </c>
      <c r="M1715" s="1"/>
      <c r="O1715" s="55">
        <v>1</v>
      </c>
      <c r="T1715" s="60">
        <v>1</v>
      </c>
      <c r="V1715" s="4" t="s">
        <v>1865</v>
      </c>
      <c r="AL1715" s="60" t="s">
        <v>30</v>
      </c>
      <c r="AN1715" s="4" t="s">
        <v>30</v>
      </c>
    </row>
    <row r="1716" spans="1:40" ht="24" x14ac:dyDescent="0.2">
      <c r="A1716" s="1" t="s">
        <v>1733</v>
      </c>
      <c r="B1716" s="1" t="s">
        <v>1812</v>
      </c>
      <c r="C1716" s="1" t="s">
        <v>5733</v>
      </c>
      <c r="D1716" s="1">
        <v>15</v>
      </c>
      <c r="E1716" s="1">
        <v>2</v>
      </c>
      <c r="F1716" s="1" t="s">
        <v>1738</v>
      </c>
      <c r="G1716" s="1" t="s">
        <v>1813</v>
      </c>
      <c r="I1716" s="1" t="s">
        <v>104</v>
      </c>
      <c r="K1716" s="4" t="s">
        <v>1741</v>
      </c>
      <c r="L1716" s="4" t="s">
        <v>1742</v>
      </c>
      <c r="M1716" s="1"/>
      <c r="O1716" s="55">
        <v>1</v>
      </c>
      <c r="T1716" s="60">
        <v>2</v>
      </c>
      <c r="V1716" s="4" t="s">
        <v>1814</v>
      </c>
      <c r="AL1716" s="60" t="s">
        <v>30</v>
      </c>
      <c r="AN1716" s="4" t="s">
        <v>30</v>
      </c>
    </row>
    <row r="1717" spans="1:40" ht="36" x14ac:dyDescent="0.2">
      <c r="A1717" s="1" t="s">
        <v>1733</v>
      </c>
      <c r="B1717" s="1" t="s">
        <v>1844</v>
      </c>
      <c r="C1717" s="1" t="s">
        <v>5733</v>
      </c>
      <c r="D1717" s="1">
        <v>16</v>
      </c>
      <c r="E1717" s="1">
        <v>2</v>
      </c>
      <c r="F1717" s="1" t="s">
        <v>1738</v>
      </c>
      <c r="G1717" s="1" t="s">
        <v>1845</v>
      </c>
      <c r="I1717" s="1" t="s">
        <v>104</v>
      </c>
      <c r="K1717" s="4" t="s">
        <v>1741</v>
      </c>
      <c r="L1717" s="4" t="s">
        <v>1742</v>
      </c>
      <c r="M1717" s="1"/>
      <c r="O1717" s="55">
        <v>2</v>
      </c>
      <c r="T1717" s="60">
        <v>2</v>
      </c>
      <c r="V1717" s="4" t="s">
        <v>1846</v>
      </c>
      <c r="AL1717" s="60" t="s">
        <v>30</v>
      </c>
      <c r="AN1717" s="4" t="s">
        <v>30</v>
      </c>
    </row>
    <row r="1718" spans="1:40" ht="24" x14ac:dyDescent="0.2">
      <c r="A1718" s="1" t="s">
        <v>1733</v>
      </c>
      <c r="B1718" s="1" t="s">
        <v>1795</v>
      </c>
      <c r="C1718" s="1" t="s">
        <v>5733</v>
      </c>
      <c r="D1718" s="1">
        <v>17</v>
      </c>
      <c r="E1718" s="1">
        <v>2</v>
      </c>
      <c r="F1718" s="1" t="s">
        <v>1738</v>
      </c>
      <c r="G1718" s="1" t="s">
        <v>1796</v>
      </c>
      <c r="I1718" s="1" t="s">
        <v>104</v>
      </c>
      <c r="K1718" s="4" t="s">
        <v>1178</v>
      </c>
      <c r="L1718" s="4" t="s">
        <v>1742</v>
      </c>
      <c r="M1718" s="1"/>
      <c r="O1718" s="55">
        <v>3</v>
      </c>
      <c r="T1718" s="60">
        <v>4</v>
      </c>
      <c r="W1718" s="4" t="s">
        <v>11061</v>
      </c>
      <c r="AL1718" s="60" t="s">
        <v>30</v>
      </c>
      <c r="AN1718" s="4" t="s">
        <v>30</v>
      </c>
    </row>
    <row r="1719" spans="1:40" ht="36" x14ac:dyDescent="0.2">
      <c r="A1719" s="1" t="s">
        <v>1733</v>
      </c>
      <c r="B1719" s="1" t="s">
        <v>1739</v>
      </c>
      <c r="C1719" s="1" t="s">
        <v>5733</v>
      </c>
      <c r="D1719" s="1">
        <v>18</v>
      </c>
      <c r="E1719" s="1">
        <v>2</v>
      </c>
      <c r="F1719" s="1" t="s">
        <v>1738</v>
      </c>
      <c r="G1719" s="1" t="s">
        <v>1740</v>
      </c>
      <c r="I1719" s="1" t="s">
        <v>104</v>
      </c>
      <c r="K1719" s="4" t="s">
        <v>1741</v>
      </c>
      <c r="L1719" s="4" t="s">
        <v>1742</v>
      </c>
      <c r="M1719" s="1"/>
      <c r="O1719" s="55">
        <v>1</v>
      </c>
      <c r="T1719" s="60">
        <v>3</v>
      </c>
      <c r="V1719" s="4" t="s">
        <v>1743</v>
      </c>
      <c r="AL1719" s="60" t="s">
        <v>30</v>
      </c>
      <c r="AN1719" s="4" t="s">
        <v>30</v>
      </c>
    </row>
    <row r="1720" spans="1:40" ht="72" x14ac:dyDescent="0.2">
      <c r="A1720" s="1" t="s">
        <v>1733</v>
      </c>
      <c r="B1720" s="1" t="s">
        <v>1749</v>
      </c>
      <c r="C1720" s="1" t="s">
        <v>5733</v>
      </c>
      <c r="D1720" s="1">
        <v>19</v>
      </c>
      <c r="E1720" s="1">
        <v>3</v>
      </c>
      <c r="F1720" s="1" t="s">
        <v>1738</v>
      </c>
      <c r="G1720" s="1" t="s">
        <v>1750</v>
      </c>
      <c r="I1720" s="1" t="s">
        <v>104</v>
      </c>
      <c r="K1720" s="4" t="s">
        <v>1741</v>
      </c>
      <c r="L1720" s="4"/>
      <c r="M1720" s="1"/>
      <c r="O1720" s="55">
        <v>3</v>
      </c>
      <c r="T1720" s="60">
        <v>2</v>
      </c>
      <c r="V1720" s="4" t="s">
        <v>1751</v>
      </c>
      <c r="AL1720" s="60" t="s">
        <v>30</v>
      </c>
      <c r="AN1720" s="4" t="s">
        <v>30</v>
      </c>
    </row>
    <row r="1721" spans="1:40" ht="48" x14ac:dyDescent="0.2">
      <c r="A1721" s="1" t="s">
        <v>1733</v>
      </c>
      <c r="B1721" s="1" t="s">
        <v>1760</v>
      </c>
      <c r="C1721" s="1" t="s">
        <v>5733</v>
      </c>
      <c r="D1721" s="1">
        <v>20</v>
      </c>
      <c r="E1721" s="1">
        <v>1</v>
      </c>
      <c r="F1721" s="1" t="s">
        <v>1738</v>
      </c>
      <c r="G1721" s="1" t="s">
        <v>1761</v>
      </c>
      <c r="I1721" s="1" t="s">
        <v>104</v>
      </c>
      <c r="K1721" s="4" t="s">
        <v>1762</v>
      </c>
      <c r="L1721" s="4"/>
      <c r="M1721" s="1"/>
      <c r="O1721" s="55">
        <v>1</v>
      </c>
      <c r="T1721" s="60">
        <v>4</v>
      </c>
      <c r="V1721" s="4" t="s">
        <v>1763</v>
      </c>
      <c r="AL1721" s="60" t="s">
        <v>30</v>
      </c>
      <c r="AN1721" s="4" t="s">
        <v>30</v>
      </c>
    </row>
    <row r="1722" spans="1:40" ht="36" x14ac:dyDescent="0.2">
      <c r="A1722" s="1" t="s">
        <v>1733</v>
      </c>
      <c r="B1722" s="1" t="s">
        <v>1837</v>
      </c>
      <c r="C1722" s="1" t="s">
        <v>5733</v>
      </c>
      <c r="D1722" s="1">
        <v>21</v>
      </c>
      <c r="E1722" s="1">
        <v>2</v>
      </c>
      <c r="F1722" s="1" t="s">
        <v>1738</v>
      </c>
      <c r="G1722" s="1" t="s">
        <v>1838</v>
      </c>
      <c r="I1722" s="1" t="s">
        <v>104</v>
      </c>
      <c r="K1722" s="4" t="s">
        <v>1741</v>
      </c>
      <c r="L1722" s="4" t="s">
        <v>1839</v>
      </c>
      <c r="M1722" s="1"/>
      <c r="O1722" s="55">
        <v>1</v>
      </c>
      <c r="T1722" s="60">
        <v>2</v>
      </c>
      <c r="V1722" s="4" t="s">
        <v>1840</v>
      </c>
      <c r="AL1722" s="60" t="s">
        <v>30</v>
      </c>
      <c r="AN1722" s="4" t="s">
        <v>30</v>
      </c>
    </row>
    <row r="1723" spans="1:40" ht="24" x14ac:dyDescent="0.2">
      <c r="A1723" s="1" t="s">
        <v>1733</v>
      </c>
      <c r="B1723" s="1" t="s">
        <v>1771</v>
      </c>
      <c r="C1723" s="1" t="s">
        <v>5733</v>
      </c>
      <c r="D1723" s="1">
        <v>22</v>
      </c>
      <c r="E1723" s="1">
        <v>2</v>
      </c>
      <c r="F1723" s="1" t="s">
        <v>1738</v>
      </c>
      <c r="G1723" s="1" t="s">
        <v>1772</v>
      </c>
      <c r="I1723" s="1" t="s">
        <v>104</v>
      </c>
      <c r="K1723" s="4" t="s">
        <v>1773</v>
      </c>
      <c r="L1723" s="4" t="s">
        <v>1774</v>
      </c>
      <c r="M1723" s="1"/>
      <c r="O1723" s="55">
        <v>2</v>
      </c>
      <c r="T1723" s="60">
        <v>5</v>
      </c>
      <c r="V1723" s="4" t="s">
        <v>1775</v>
      </c>
      <c r="AL1723" s="60" t="s">
        <v>30</v>
      </c>
      <c r="AN1723" s="4" t="s">
        <v>30</v>
      </c>
    </row>
    <row r="1724" spans="1:40" ht="24" x14ac:dyDescent="0.2">
      <c r="A1724" s="1" t="s">
        <v>1733</v>
      </c>
      <c r="B1724" s="1" t="s">
        <v>1779</v>
      </c>
      <c r="C1724" s="1" t="s">
        <v>5733</v>
      </c>
      <c r="D1724" s="1">
        <v>23</v>
      </c>
      <c r="E1724" s="1">
        <v>3</v>
      </c>
      <c r="F1724" s="1" t="s">
        <v>1738</v>
      </c>
      <c r="G1724" s="1" t="s">
        <v>1780</v>
      </c>
      <c r="I1724" s="1" t="s">
        <v>104</v>
      </c>
      <c r="K1724" s="4" t="s">
        <v>1773</v>
      </c>
      <c r="L1724" s="4" t="s">
        <v>1774</v>
      </c>
      <c r="M1724" s="1"/>
      <c r="O1724" s="55">
        <v>2</v>
      </c>
      <c r="T1724" s="60">
        <v>4</v>
      </c>
      <c r="V1724" s="4" t="s">
        <v>1781</v>
      </c>
      <c r="AL1724" s="60" t="s">
        <v>30</v>
      </c>
      <c r="AN1724" s="4" t="s">
        <v>30</v>
      </c>
    </row>
    <row r="1725" spans="1:40" ht="24" x14ac:dyDescent="0.2">
      <c r="A1725" s="1" t="s">
        <v>1733</v>
      </c>
      <c r="B1725" s="1" t="s">
        <v>1807</v>
      </c>
      <c r="C1725" s="1" t="s">
        <v>5733</v>
      </c>
      <c r="D1725" s="1">
        <v>24</v>
      </c>
      <c r="E1725" s="1">
        <v>1</v>
      </c>
      <c r="F1725" s="1" t="s">
        <v>1738</v>
      </c>
      <c r="G1725" s="1" t="s">
        <v>1808</v>
      </c>
      <c r="I1725" s="1" t="s">
        <v>104</v>
      </c>
      <c r="K1725" s="4" t="s">
        <v>1809</v>
      </c>
      <c r="L1725" s="4" t="s">
        <v>1810</v>
      </c>
      <c r="M1725" s="1"/>
      <c r="O1725" s="55">
        <v>2</v>
      </c>
      <c r="T1725" s="60">
        <v>6</v>
      </c>
      <c r="V1725" s="4" t="s">
        <v>1811</v>
      </c>
      <c r="AL1725" s="60" t="s">
        <v>30</v>
      </c>
      <c r="AN1725" s="4" t="s">
        <v>30</v>
      </c>
    </row>
    <row r="1726" spans="1:40" ht="36" x14ac:dyDescent="0.2">
      <c r="A1726" s="1" t="s">
        <v>1733</v>
      </c>
      <c r="B1726" s="1" t="s">
        <v>1827</v>
      </c>
      <c r="C1726" s="1" t="s">
        <v>5733</v>
      </c>
      <c r="D1726" s="1">
        <v>25</v>
      </c>
      <c r="E1726" s="1">
        <v>2</v>
      </c>
      <c r="F1726" s="1" t="s">
        <v>1738</v>
      </c>
      <c r="G1726" s="1" t="s">
        <v>1828</v>
      </c>
      <c r="I1726" s="1" t="s">
        <v>104</v>
      </c>
      <c r="K1726" s="4" t="s">
        <v>253</v>
      </c>
      <c r="L1726" s="4" t="s">
        <v>685</v>
      </c>
      <c r="M1726" s="1"/>
      <c r="O1726" s="55">
        <v>2</v>
      </c>
      <c r="T1726" s="60">
        <v>3</v>
      </c>
      <c r="V1726" s="4" t="s">
        <v>1829</v>
      </c>
      <c r="W1726" s="4" t="s">
        <v>1830</v>
      </c>
      <c r="AL1726" s="60" t="s">
        <v>30</v>
      </c>
      <c r="AN1726" s="4" t="s">
        <v>30</v>
      </c>
    </row>
    <row r="1727" spans="1:40" ht="24" x14ac:dyDescent="0.2">
      <c r="A1727" s="1" t="s">
        <v>1733</v>
      </c>
      <c r="B1727" s="1" t="s">
        <v>1752</v>
      </c>
      <c r="C1727" s="1" t="s">
        <v>5733</v>
      </c>
      <c r="D1727" s="1">
        <v>26</v>
      </c>
      <c r="E1727" s="1">
        <v>2</v>
      </c>
      <c r="F1727" s="1" t="s">
        <v>1738</v>
      </c>
      <c r="G1727" s="1" t="s">
        <v>1753</v>
      </c>
      <c r="I1727" s="1" t="s">
        <v>104</v>
      </c>
      <c r="K1727" s="4" t="s">
        <v>1178</v>
      </c>
      <c r="L1727" s="4" t="s">
        <v>685</v>
      </c>
      <c r="M1727" s="1"/>
      <c r="O1727" s="55">
        <v>1</v>
      </c>
      <c r="T1727" s="60">
        <v>5</v>
      </c>
      <c r="V1727" s="4" t="s">
        <v>1754</v>
      </c>
      <c r="W1727" s="4" t="s">
        <v>1755</v>
      </c>
      <c r="AL1727" s="60" t="s">
        <v>30</v>
      </c>
      <c r="AN1727" s="4" t="s">
        <v>30</v>
      </c>
    </row>
    <row r="1728" spans="1:40" ht="24" x14ac:dyDescent="0.2">
      <c r="A1728" s="1" t="s">
        <v>1733</v>
      </c>
      <c r="B1728" s="1" t="s">
        <v>1756</v>
      </c>
      <c r="C1728" s="1" t="s">
        <v>5733</v>
      </c>
      <c r="D1728" s="1">
        <v>27</v>
      </c>
      <c r="E1728" s="1">
        <v>3</v>
      </c>
      <c r="F1728" s="1" t="s">
        <v>1738</v>
      </c>
      <c r="G1728" s="1" t="s">
        <v>1757</v>
      </c>
      <c r="I1728" s="1" t="s">
        <v>104</v>
      </c>
      <c r="K1728" s="4" t="s">
        <v>1741</v>
      </c>
      <c r="L1728" s="4" t="s">
        <v>1742</v>
      </c>
      <c r="M1728" s="1"/>
      <c r="O1728" s="55">
        <v>2</v>
      </c>
      <c r="T1728" s="60">
        <v>3</v>
      </c>
      <c r="V1728" s="4" t="s">
        <v>1758</v>
      </c>
      <c r="W1728" s="4" t="s">
        <v>1759</v>
      </c>
      <c r="AL1728" s="60" t="s">
        <v>30</v>
      </c>
      <c r="AN1728" s="4" t="s">
        <v>30</v>
      </c>
    </row>
    <row r="1729" spans="1:40" ht="72" x14ac:dyDescent="0.2">
      <c r="A1729" s="1" t="s">
        <v>1733</v>
      </c>
      <c r="B1729" s="1" t="s">
        <v>1782</v>
      </c>
      <c r="C1729" s="1" t="s">
        <v>5733</v>
      </c>
      <c r="D1729" s="1">
        <v>28</v>
      </c>
      <c r="E1729" s="1">
        <v>4</v>
      </c>
      <c r="F1729" s="1" t="s">
        <v>1738</v>
      </c>
      <c r="G1729" s="1" t="s">
        <v>1783</v>
      </c>
      <c r="I1729" s="1" t="s">
        <v>88</v>
      </c>
      <c r="K1729" s="4" t="s">
        <v>1784</v>
      </c>
      <c r="L1729" s="4"/>
      <c r="M1729" s="1"/>
      <c r="V1729" s="4" t="s">
        <v>1785</v>
      </c>
      <c r="AL1729" s="60" t="s">
        <v>30</v>
      </c>
      <c r="AN1729" s="4" t="s">
        <v>30</v>
      </c>
    </row>
    <row r="1730" spans="1:40" ht="60" x14ac:dyDescent="0.2">
      <c r="A1730" s="1" t="s">
        <v>1733</v>
      </c>
      <c r="B1730" s="1" t="s">
        <v>1866</v>
      </c>
      <c r="C1730" s="1" t="s">
        <v>5733</v>
      </c>
      <c r="D1730" s="1">
        <v>29</v>
      </c>
      <c r="E1730" s="1">
        <v>1</v>
      </c>
      <c r="F1730" s="1" t="s">
        <v>1738</v>
      </c>
      <c r="G1730" s="1" t="s">
        <v>9586</v>
      </c>
      <c r="I1730" s="1" t="s">
        <v>125</v>
      </c>
      <c r="K1730" s="4"/>
      <c r="L1730" s="4"/>
      <c r="M1730" s="1">
        <v>1</v>
      </c>
      <c r="N1730" s="54" t="s">
        <v>9529</v>
      </c>
      <c r="V1730" s="4" t="s">
        <v>1867</v>
      </c>
      <c r="Y1730" s="1" t="s">
        <v>9586</v>
      </c>
      <c r="AA1730" s="1" t="s">
        <v>125</v>
      </c>
      <c r="AE1730" s="1">
        <v>1</v>
      </c>
      <c r="AF1730" s="54" t="s">
        <v>9530</v>
      </c>
      <c r="AL1730" s="60">
        <v>7</v>
      </c>
      <c r="AN1730" s="4" t="s">
        <v>1868</v>
      </c>
    </row>
    <row r="1731" spans="1:40" ht="60" x14ac:dyDescent="0.2">
      <c r="A1731" s="1" t="s">
        <v>1733</v>
      </c>
      <c r="B1731" s="1" t="s">
        <v>1859</v>
      </c>
      <c r="C1731" s="1" t="s">
        <v>5733</v>
      </c>
      <c r="D1731" s="1">
        <v>30</v>
      </c>
      <c r="E1731" s="1">
        <v>2</v>
      </c>
      <c r="F1731" s="1" t="s">
        <v>1738</v>
      </c>
      <c r="G1731" s="1" t="s">
        <v>1860</v>
      </c>
      <c r="I1731" s="1" t="s">
        <v>82</v>
      </c>
      <c r="K1731" s="4"/>
      <c r="L1731" s="4"/>
      <c r="M1731" s="1"/>
      <c r="V1731" s="4" t="s">
        <v>1861</v>
      </c>
      <c r="AL1731" s="60" t="s">
        <v>30</v>
      </c>
      <c r="AN1731" s="4" t="s">
        <v>30</v>
      </c>
    </row>
    <row r="1732" spans="1:40" ht="60" x14ac:dyDescent="0.2">
      <c r="A1732" s="1" t="s">
        <v>1733</v>
      </c>
      <c r="B1732" s="1" t="s">
        <v>1798</v>
      </c>
      <c r="C1732" s="1" t="s">
        <v>5733</v>
      </c>
      <c r="D1732" s="1">
        <v>31</v>
      </c>
      <c r="E1732" s="1">
        <v>2</v>
      </c>
      <c r="F1732" s="1" t="s">
        <v>1738</v>
      </c>
      <c r="G1732" s="1" t="s">
        <v>1799</v>
      </c>
      <c r="I1732" s="1" t="s">
        <v>82</v>
      </c>
      <c r="K1732" s="4"/>
      <c r="L1732" s="4"/>
      <c r="M1732" s="1"/>
      <c r="V1732" s="4" t="s">
        <v>1800</v>
      </c>
      <c r="AL1732" s="60" t="s">
        <v>30</v>
      </c>
      <c r="AN1732" s="4" t="s">
        <v>30</v>
      </c>
    </row>
    <row r="1733" spans="1:40" ht="24" x14ac:dyDescent="0.2">
      <c r="A1733" s="1" t="s">
        <v>1733</v>
      </c>
      <c r="B1733" s="1" t="s">
        <v>1847</v>
      </c>
      <c r="C1733" s="1" t="s">
        <v>5733</v>
      </c>
      <c r="D1733" s="1">
        <v>32</v>
      </c>
      <c r="E1733" s="1">
        <v>2</v>
      </c>
      <c r="F1733" s="1" t="s">
        <v>1738</v>
      </c>
      <c r="G1733" s="1" t="s">
        <v>1848</v>
      </c>
      <c r="I1733" s="1" t="s">
        <v>82</v>
      </c>
      <c r="K1733" s="4"/>
      <c r="L1733" s="4"/>
      <c r="M1733" s="1"/>
      <c r="V1733" s="4" t="s">
        <v>1849</v>
      </c>
      <c r="W1733" s="4" t="s">
        <v>1850</v>
      </c>
      <c r="AL1733" s="60" t="s">
        <v>30</v>
      </c>
      <c r="AN1733" s="4" t="s">
        <v>30</v>
      </c>
    </row>
    <row r="1734" spans="1:40" ht="48" x14ac:dyDescent="0.2">
      <c r="A1734" s="1" t="s">
        <v>1733</v>
      </c>
      <c r="B1734" s="1" t="s">
        <v>1831</v>
      </c>
      <c r="C1734" s="1" t="s">
        <v>5733</v>
      </c>
      <c r="D1734" s="1">
        <v>33</v>
      </c>
      <c r="E1734" s="1">
        <v>2</v>
      </c>
      <c r="F1734" s="1" t="s">
        <v>1738</v>
      </c>
      <c r="G1734" s="1" t="s">
        <v>1832</v>
      </c>
      <c r="I1734" s="1" t="s">
        <v>82</v>
      </c>
      <c r="K1734" s="4"/>
      <c r="L1734" s="4"/>
      <c r="M1734" s="1"/>
      <c r="V1734" s="4" t="s">
        <v>1833</v>
      </c>
      <c r="AL1734" s="60" t="s">
        <v>30</v>
      </c>
      <c r="AN1734" s="4" t="s">
        <v>30</v>
      </c>
    </row>
    <row r="1735" spans="1:40" ht="36" x14ac:dyDescent="0.2">
      <c r="A1735" s="1" t="s">
        <v>1733</v>
      </c>
      <c r="B1735" s="1" t="s">
        <v>1823</v>
      </c>
      <c r="C1735" s="1" t="s">
        <v>5733</v>
      </c>
      <c r="D1735" s="1">
        <v>34</v>
      </c>
      <c r="E1735" s="1">
        <v>2</v>
      </c>
      <c r="F1735" s="1" t="s">
        <v>1738</v>
      </c>
      <c r="G1735" s="1" t="s">
        <v>1824</v>
      </c>
      <c r="I1735" s="1" t="s">
        <v>82</v>
      </c>
      <c r="K1735" s="4"/>
      <c r="L1735" s="4"/>
      <c r="M1735" s="1"/>
      <c r="V1735" s="4" t="s">
        <v>1825</v>
      </c>
      <c r="W1735" s="4" t="s">
        <v>1826</v>
      </c>
      <c r="AL1735" s="60" t="s">
        <v>30</v>
      </c>
      <c r="AN1735" s="4" t="s">
        <v>30</v>
      </c>
    </row>
    <row r="1736" spans="1:40" ht="24" x14ac:dyDescent="0.2">
      <c r="A1736" s="1" t="s">
        <v>1733</v>
      </c>
      <c r="B1736" s="1" t="s">
        <v>1767</v>
      </c>
      <c r="C1736" s="1" t="s">
        <v>5733</v>
      </c>
      <c r="D1736" s="1">
        <v>35</v>
      </c>
      <c r="E1736" s="1">
        <v>2</v>
      </c>
      <c r="F1736" s="1" t="s">
        <v>1738</v>
      </c>
      <c r="G1736" s="1" t="s">
        <v>1768</v>
      </c>
      <c r="I1736" s="1" t="s">
        <v>82</v>
      </c>
      <c r="K1736" s="4"/>
      <c r="L1736" s="4"/>
      <c r="M1736" s="1"/>
      <c r="V1736" s="4" t="s">
        <v>1769</v>
      </c>
      <c r="W1736" s="4" t="s">
        <v>1770</v>
      </c>
      <c r="AL1736" s="60" t="s">
        <v>30</v>
      </c>
      <c r="AN1736" s="4" t="s">
        <v>30</v>
      </c>
    </row>
    <row r="1737" spans="1:40" ht="72" x14ac:dyDescent="0.2">
      <c r="A1737" s="1" t="s">
        <v>1733</v>
      </c>
      <c r="B1737" s="1" t="s">
        <v>1764</v>
      </c>
      <c r="C1737" s="1" t="s">
        <v>5733</v>
      </c>
      <c r="D1737" s="1">
        <v>36</v>
      </c>
      <c r="E1737" s="1">
        <v>2</v>
      </c>
      <c r="F1737" s="1" t="s">
        <v>1738</v>
      </c>
      <c r="G1737" s="1" t="s">
        <v>1765</v>
      </c>
      <c r="I1737" s="1" t="s">
        <v>82</v>
      </c>
      <c r="K1737" s="4"/>
      <c r="L1737" s="4"/>
      <c r="M1737" s="1"/>
      <c r="V1737" s="4" t="s">
        <v>1766</v>
      </c>
      <c r="AL1737" s="60" t="s">
        <v>30</v>
      </c>
      <c r="AN1737" s="4" t="s">
        <v>30</v>
      </c>
    </row>
    <row r="1738" spans="1:40" ht="96" x14ac:dyDescent="0.2">
      <c r="A1738" s="1" t="s">
        <v>1733</v>
      </c>
      <c r="B1738" s="1" t="s">
        <v>8214</v>
      </c>
      <c r="C1738" s="1" t="s">
        <v>5733</v>
      </c>
      <c r="D1738" s="1">
        <v>37</v>
      </c>
      <c r="E1738" s="1">
        <v>1</v>
      </c>
      <c r="F1738" s="1" t="s">
        <v>5334</v>
      </c>
      <c r="G1738" s="1" t="s">
        <v>8088</v>
      </c>
      <c r="I1738" s="1" t="s">
        <v>3482</v>
      </c>
      <c r="K1738" s="4"/>
      <c r="L1738" s="4"/>
      <c r="M1738" s="1"/>
      <c r="N1738" s="54" t="s">
        <v>9529</v>
      </c>
      <c r="V1738" s="4" t="s">
        <v>8215</v>
      </c>
      <c r="Y1738" s="1" t="s">
        <v>8090</v>
      </c>
      <c r="AA1738" s="1" t="s">
        <v>3482</v>
      </c>
      <c r="AF1738" s="54" t="s">
        <v>9530</v>
      </c>
      <c r="AL1738" s="60" t="s">
        <v>30</v>
      </c>
      <c r="AN1738" s="4" t="s">
        <v>8216</v>
      </c>
    </row>
    <row r="1739" spans="1:40" ht="36" x14ac:dyDescent="0.2">
      <c r="A1739" s="115" t="s">
        <v>916</v>
      </c>
      <c r="B1739" s="115" t="s">
        <v>1371</v>
      </c>
      <c r="C1739" s="115" t="s">
        <v>5734</v>
      </c>
      <c r="D1739" s="115">
        <v>1</v>
      </c>
      <c r="E1739" s="115">
        <v>1</v>
      </c>
      <c r="F1739" s="115" t="s">
        <v>920</v>
      </c>
      <c r="G1739" s="115" t="s">
        <v>1372</v>
      </c>
      <c r="H1739" s="1" t="s">
        <v>26</v>
      </c>
      <c r="I1739" s="1" t="s">
        <v>27</v>
      </c>
      <c r="J1739" s="1" t="s">
        <v>28</v>
      </c>
      <c r="K1739" s="4" t="s">
        <v>1373</v>
      </c>
      <c r="L1739" s="4"/>
      <c r="M1739" s="1">
        <v>8</v>
      </c>
      <c r="P1739" s="56">
        <v>3</v>
      </c>
      <c r="Q1739" s="57">
        <v>2</v>
      </c>
      <c r="R1739" s="58">
        <v>1</v>
      </c>
      <c r="S1739" s="59">
        <v>4</v>
      </c>
      <c r="V1739" s="4" t="s">
        <v>1374</v>
      </c>
      <c r="AL1739" s="60" t="s">
        <v>30</v>
      </c>
      <c r="AN1739" s="4" t="s">
        <v>30</v>
      </c>
    </row>
    <row r="1740" spans="1:40" x14ac:dyDescent="0.2">
      <c r="A1740" s="1" t="s">
        <v>916</v>
      </c>
      <c r="B1740" s="1" t="s">
        <v>1478</v>
      </c>
      <c r="C1740" s="1" t="s">
        <v>5734</v>
      </c>
      <c r="D1740" s="1">
        <v>2</v>
      </c>
      <c r="E1740" s="1">
        <v>1</v>
      </c>
      <c r="F1740" s="1" t="s">
        <v>920</v>
      </c>
      <c r="G1740" s="1" t="s">
        <v>1277</v>
      </c>
      <c r="H1740" s="1" t="s">
        <v>26</v>
      </c>
      <c r="I1740" s="1" t="s">
        <v>27</v>
      </c>
      <c r="J1740" s="1" t="s">
        <v>28</v>
      </c>
      <c r="K1740" s="4" t="s">
        <v>1479</v>
      </c>
      <c r="L1740" s="4"/>
      <c r="M1740" s="1">
        <v>10</v>
      </c>
      <c r="P1740" s="56">
        <v>3</v>
      </c>
      <c r="Q1740" s="57">
        <v>3</v>
      </c>
      <c r="R1740" s="58">
        <v>1</v>
      </c>
      <c r="S1740" s="59">
        <v>4</v>
      </c>
      <c r="V1740" s="4" t="s">
        <v>1480</v>
      </c>
      <c r="AL1740" s="60" t="s">
        <v>30</v>
      </c>
      <c r="AN1740" s="4" t="s">
        <v>30</v>
      </c>
    </row>
    <row r="1741" spans="1:40" ht="24" x14ac:dyDescent="0.2">
      <c r="A1741" s="1" t="s">
        <v>916</v>
      </c>
      <c r="B1741" s="1" t="s">
        <v>1227</v>
      </c>
      <c r="C1741" s="1" t="s">
        <v>5734</v>
      </c>
      <c r="D1741" s="1">
        <v>3</v>
      </c>
      <c r="E1741" s="1">
        <v>1</v>
      </c>
      <c r="F1741" s="1" t="s">
        <v>920</v>
      </c>
      <c r="G1741" s="1" t="s">
        <v>1228</v>
      </c>
      <c r="H1741" s="1" t="s">
        <v>26</v>
      </c>
      <c r="I1741" s="1" t="s">
        <v>27</v>
      </c>
      <c r="J1741" s="1" t="s">
        <v>28</v>
      </c>
      <c r="K1741" s="4" t="s">
        <v>1034</v>
      </c>
      <c r="L1741" s="4"/>
      <c r="M1741" s="1">
        <v>11</v>
      </c>
      <c r="P1741" s="56">
        <v>3</v>
      </c>
      <c r="Q1741" s="57">
        <v>1</v>
      </c>
      <c r="R1741" s="58">
        <v>2</v>
      </c>
      <c r="S1741" s="59">
        <v>5</v>
      </c>
      <c r="V1741" s="4" t="s">
        <v>1229</v>
      </c>
      <c r="AL1741" s="60" t="s">
        <v>30</v>
      </c>
      <c r="AN1741" s="4" t="s">
        <v>30</v>
      </c>
    </row>
    <row r="1742" spans="1:40" ht="48" x14ac:dyDescent="0.2">
      <c r="A1742" s="1" t="s">
        <v>916</v>
      </c>
      <c r="B1742" s="1" t="s">
        <v>1015</v>
      </c>
      <c r="C1742" s="1" t="s">
        <v>5734</v>
      </c>
      <c r="D1742" s="1">
        <v>4</v>
      </c>
      <c r="E1742" s="1">
        <v>1</v>
      </c>
      <c r="F1742" s="1" t="s">
        <v>920</v>
      </c>
      <c r="G1742" s="1" t="s">
        <v>1016</v>
      </c>
      <c r="H1742" s="1" t="s">
        <v>26</v>
      </c>
      <c r="I1742" s="1" t="s">
        <v>27</v>
      </c>
      <c r="J1742" s="1" t="s">
        <v>57</v>
      </c>
      <c r="K1742" s="4" t="s">
        <v>1017</v>
      </c>
      <c r="L1742" s="4"/>
      <c r="M1742" s="1">
        <v>8</v>
      </c>
      <c r="P1742" s="56">
        <v>5</v>
      </c>
      <c r="Q1742" s="57">
        <v>0</v>
      </c>
      <c r="R1742" s="58">
        <v>1</v>
      </c>
      <c r="S1742" s="59">
        <v>3</v>
      </c>
      <c r="V1742" s="4" t="s">
        <v>1018</v>
      </c>
      <c r="AL1742" s="60" t="s">
        <v>30</v>
      </c>
      <c r="AN1742" s="4" t="s">
        <v>30</v>
      </c>
    </row>
    <row r="1743" spans="1:40" ht="36" x14ac:dyDescent="0.2">
      <c r="A1743" s="1" t="s">
        <v>916</v>
      </c>
      <c r="B1743" s="1" t="s">
        <v>1106</v>
      </c>
      <c r="C1743" s="1" t="s">
        <v>5734</v>
      </c>
      <c r="D1743" s="1">
        <v>5</v>
      </c>
      <c r="E1743" s="1">
        <v>1</v>
      </c>
      <c r="F1743" s="1" t="s">
        <v>920</v>
      </c>
      <c r="G1743" s="1" t="s">
        <v>1107</v>
      </c>
      <c r="H1743" s="1" t="s">
        <v>26</v>
      </c>
      <c r="I1743" s="1" t="s">
        <v>27</v>
      </c>
      <c r="J1743" s="1" t="s">
        <v>57</v>
      </c>
      <c r="K1743" s="4" t="s">
        <v>1108</v>
      </c>
      <c r="L1743" s="4"/>
      <c r="M1743" s="1">
        <v>8</v>
      </c>
      <c r="P1743" s="56">
        <v>4</v>
      </c>
      <c r="Q1743" s="57">
        <v>1</v>
      </c>
      <c r="R1743" s="58">
        <v>1</v>
      </c>
      <c r="S1743" s="59">
        <v>3</v>
      </c>
      <c r="V1743" s="4" t="s">
        <v>1109</v>
      </c>
      <c r="AL1743" s="60" t="s">
        <v>30</v>
      </c>
      <c r="AN1743" s="4" t="s">
        <v>30</v>
      </c>
    </row>
    <row r="1744" spans="1:40" ht="48" x14ac:dyDescent="0.2">
      <c r="A1744" s="1" t="s">
        <v>916</v>
      </c>
      <c r="B1744" s="1" t="s">
        <v>1296</v>
      </c>
      <c r="C1744" s="1" t="s">
        <v>5734</v>
      </c>
      <c r="D1744" s="1">
        <v>6</v>
      </c>
      <c r="E1744" s="1">
        <v>1</v>
      </c>
      <c r="F1744" s="1" t="s">
        <v>920</v>
      </c>
      <c r="G1744" s="1" t="s">
        <v>1297</v>
      </c>
      <c r="H1744" s="1" t="s">
        <v>26</v>
      </c>
      <c r="I1744" s="1" t="s">
        <v>27</v>
      </c>
      <c r="J1744" s="1" t="s">
        <v>57</v>
      </c>
      <c r="K1744" s="4" t="s">
        <v>1298</v>
      </c>
      <c r="L1744" s="4"/>
      <c r="M1744" s="1">
        <v>6</v>
      </c>
      <c r="P1744" s="56">
        <v>2</v>
      </c>
      <c r="Q1744" s="57">
        <v>1</v>
      </c>
      <c r="R1744" s="58">
        <v>1</v>
      </c>
      <c r="S1744" s="59">
        <v>4</v>
      </c>
      <c r="V1744" s="4" t="s">
        <v>1299</v>
      </c>
      <c r="AL1744" s="60" t="s">
        <v>30</v>
      </c>
      <c r="AN1744" s="4" t="s">
        <v>30</v>
      </c>
    </row>
    <row r="1745" spans="1:40" ht="36" x14ac:dyDescent="0.2">
      <c r="A1745" s="1" t="s">
        <v>916</v>
      </c>
      <c r="B1745" s="1" t="s">
        <v>1032</v>
      </c>
      <c r="C1745" s="1" t="s">
        <v>5734</v>
      </c>
      <c r="D1745" s="1">
        <v>7</v>
      </c>
      <c r="E1745" s="1">
        <v>1</v>
      </c>
      <c r="F1745" s="1" t="s">
        <v>920</v>
      </c>
      <c r="G1745" s="1" t="s">
        <v>1033</v>
      </c>
      <c r="H1745" s="1" t="s">
        <v>26</v>
      </c>
      <c r="I1745" s="1" t="s">
        <v>27</v>
      </c>
      <c r="J1745" s="1" t="s">
        <v>50</v>
      </c>
      <c r="K1745" s="4" t="s">
        <v>1034</v>
      </c>
      <c r="L1745" s="4" t="s">
        <v>52</v>
      </c>
      <c r="M1745" s="1">
        <v>11</v>
      </c>
      <c r="P1745" s="56">
        <v>1</v>
      </c>
      <c r="Q1745" s="57">
        <v>1</v>
      </c>
      <c r="R1745" s="58">
        <v>4</v>
      </c>
      <c r="S1745" s="59">
        <v>6</v>
      </c>
      <c r="V1745" s="4" t="s">
        <v>1035</v>
      </c>
      <c r="AL1745" s="60" t="s">
        <v>30</v>
      </c>
      <c r="AN1745" s="4" t="s">
        <v>30</v>
      </c>
    </row>
    <row r="1746" spans="1:40" x14ac:dyDescent="0.2">
      <c r="A1746" s="1" t="s">
        <v>916</v>
      </c>
      <c r="B1746" s="1" t="s">
        <v>1192</v>
      </c>
      <c r="C1746" s="1" t="s">
        <v>5734</v>
      </c>
      <c r="D1746" s="1">
        <v>8</v>
      </c>
      <c r="E1746" s="1">
        <v>1</v>
      </c>
      <c r="F1746" s="1" t="s">
        <v>920</v>
      </c>
      <c r="G1746" s="1" t="s">
        <v>1193</v>
      </c>
      <c r="H1746" s="1" t="s">
        <v>26</v>
      </c>
      <c r="I1746" s="1" t="s">
        <v>27</v>
      </c>
      <c r="J1746" s="1" t="s">
        <v>50</v>
      </c>
      <c r="K1746" s="4"/>
      <c r="L1746" s="4"/>
      <c r="M1746" s="1">
        <v>8</v>
      </c>
      <c r="P1746" s="56">
        <v>2</v>
      </c>
      <c r="Q1746" s="57">
        <v>2</v>
      </c>
      <c r="R1746" s="58">
        <v>2</v>
      </c>
      <c r="S1746" s="59">
        <v>4</v>
      </c>
      <c r="V1746" s="4" t="s">
        <v>1194</v>
      </c>
      <c r="AL1746" s="60" t="s">
        <v>30</v>
      </c>
      <c r="AN1746" s="4" t="s">
        <v>30</v>
      </c>
    </row>
    <row r="1747" spans="1:40" ht="24" x14ac:dyDescent="0.2">
      <c r="A1747" s="1" t="s">
        <v>916</v>
      </c>
      <c r="B1747" s="1" t="s">
        <v>1065</v>
      </c>
      <c r="C1747" s="1" t="s">
        <v>5734</v>
      </c>
      <c r="D1747" s="1">
        <v>9</v>
      </c>
      <c r="E1747" s="1">
        <v>1</v>
      </c>
      <c r="F1747" s="1" t="s">
        <v>920</v>
      </c>
      <c r="G1747" s="1" t="s">
        <v>1066</v>
      </c>
      <c r="H1747" s="1" t="s">
        <v>26</v>
      </c>
      <c r="I1747" s="1" t="s">
        <v>27</v>
      </c>
      <c r="J1747" s="1" t="s">
        <v>50</v>
      </c>
      <c r="K1747" s="4" t="s">
        <v>1067</v>
      </c>
      <c r="L1747" s="4"/>
      <c r="M1747" s="1">
        <v>11</v>
      </c>
      <c r="P1747" s="56">
        <v>1</v>
      </c>
      <c r="Q1747" s="57">
        <v>4</v>
      </c>
      <c r="R1747" s="58">
        <v>3</v>
      </c>
      <c r="S1747" s="59">
        <v>4</v>
      </c>
      <c r="V1747" s="4" t="s">
        <v>1068</v>
      </c>
      <c r="AL1747" s="60" t="s">
        <v>30</v>
      </c>
      <c r="AN1747" s="4" t="s">
        <v>30</v>
      </c>
    </row>
    <row r="1748" spans="1:40" ht="60" x14ac:dyDescent="0.2">
      <c r="A1748" s="1" t="s">
        <v>916</v>
      </c>
      <c r="B1748" s="1" t="s">
        <v>1426</v>
      </c>
      <c r="C1748" s="1" t="s">
        <v>5734</v>
      </c>
      <c r="D1748" s="1">
        <v>10</v>
      </c>
      <c r="E1748" s="1">
        <v>1</v>
      </c>
      <c r="F1748" s="1" t="s">
        <v>920</v>
      </c>
      <c r="G1748" s="1" t="s">
        <v>1427</v>
      </c>
      <c r="H1748" s="1" t="s">
        <v>26</v>
      </c>
      <c r="I1748" s="1" t="s">
        <v>27</v>
      </c>
      <c r="J1748" s="1" t="s">
        <v>39</v>
      </c>
      <c r="K1748" s="4" t="s">
        <v>1017</v>
      </c>
      <c r="L1748" s="4"/>
      <c r="M1748" s="1">
        <v>9</v>
      </c>
      <c r="P1748" s="56">
        <v>3</v>
      </c>
      <c r="Q1748" s="57">
        <v>1</v>
      </c>
      <c r="R1748" s="58">
        <v>2</v>
      </c>
      <c r="S1748" s="59">
        <v>4</v>
      </c>
      <c r="V1748" s="4" t="s">
        <v>1428</v>
      </c>
      <c r="AL1748" s="60" t="s">
        <v>30</v>
      </c>
      <c r="AN1748" s="4" t="s">
        <v>30</v>
      </c>
    </row>
    <row r="1749" spans="1:40" ht="48" x14ac:dyDescent="0.2">
      <c r="A1749" s="1" t="s">
        <v>916</v>
      </c>
      <c r="B1749" s="1" t="s">
        <v>1235</v>
      </c>
      <c r="C1749" s="1" t="s">
        <v>5734</v>
      </c>
      <c r="D1749" s="1">
        <v>11</v>
      </c>
      <c r="E1749" s="1">
        <v>1</v>
      </c>
      <c r="F1749" s="1" t="s">
        <v>920</v>
      </c>
      <c r="G1749" s="1" t="s">
        <v>1236</v>
      </c>
      <c r="H1749" s="1" t="s">
        <v>26</v>
      </c>
      <c r="I1749" s="1" t="s">
        <v>27</v>
      </c>
      <c r="J1749" s="1" t="s">
        <v>39</v>
      </c>
      <c r="K1749" s="4" t="s">
        <v>1034</v>
      </c>
      <c r="L1749" s="4"/>
      <c r="M1749" s="1">
        <v>11</v>
      </c>
      <c r="P1749" s="56">
        <v>2</v>
      </c>
      <c r="Q1749" s="57">
        <v>2</v>
      </c>
      <c r="R1749" s="58">
        <v>3</v>
      </c>
      <c r="S1749" s="59">
        <v>5</v>
      </c>
      <c r="V1749" s="4" t="s">
        <v>1237</v>
      </c>
      <c r="AL1749" s="60" t="s">
        <v>30</v>
      </c>
      <c r="AN1749" s="4" t="s">
        <v>30</v>
      </c>
    </row>
    <row r="1750" spans="1:40" ht="36" x14ac:dyDescent="0.2">
      <c r="A1750" s="1" t="s">
        <v>916</v>
      </c>
      <c r="B1750" s="1" t="s">
        <v>1072</v>
      </c>
      <c r="C1750" s="1" t="s">
        <v>5734</v>
      </c>
      <c r="D1750" s="1">
        <v>12</v>
      </c>
      <c r="E1750" s="1">
        <v>1</v>
      </c>
      <c r="F1750" s="1" t="s">
        <v>920</v>
      </c>
      <c r="G1750" s="1" t="s">
        <v>1073</v>
      </c>
      <c r="H1750" s="1" t="s">
        <v>26</v>
      </c>
      <c r="I1750" s="1" t="s">
        <v>27</v>
      </c>
      <c r="J1750" s="1" t="s">
        <v>39</v>
      </c>
      <c r="K1750" s="4" t="s">
        <v>1034</v>
      </c>
      <c r="L1750" s="4"/>
      <c r="M1750" s="1">
        <v>7</v>
      </c>
      <c r="P1750" s="56">
        <v>3</v>
      </c>
      <c r="Q1750" s="57">
        <v>1</v>
      </c>
      <c r="R1750" s="58">
        <v>1</v>
      </c>
      <c r="S1750" s="59">
        <v>3</v>
      </c>
      <c r="V1750" s="4" t="s">
        <v>1074</v>
      </c>
      <c r="AL1750" s="60" t="s">
        <v>30</v>
      </c>
      <c r="AN1750" s="4" t="s">
        <v>30</v>
      </c>
    </row>
    <row r="1751" spans="1:40" ht="60" x14ac:dyDescent="0.2">
      <c r="A1751" s="1" t="s">
        <v>916</v>
      </c>
      <c r="B1751" s="1" t="s">
        <v>1386</v>
      </c>
      <c r="C1751" s="1" t="s">
        <v>5734</v>
      </c>
      <c r="D1751" s="1">
        <v>13</v>
      </c>
      <c r="E1751" s="1">
        <v>3</v>
      </c>
      <c r="F1751" s="1" t="s">
        <v>920</v>
      </c>
      <c r="G1751" s="1" t="s">
        <v>1387</v>
      </c>
      <c r="H1751" s="1" t="s">
        <v>26</v>
      </c>
      <c r="I1751" s="1" t="s">
        <v>38</v>
      </c>
      <c r="J1751" s="1" t="s">
        <v>44</v>
      </c>
      <c r="K1751" s="4" t="s">
        <v>1124</v>
      </c>
      <c r="L1751" s="4" t="s">
        <v>1388</v>
      </c>
      <c r="M1751" s="1">
        <v>3</v>
      </c>
      <c r="P1751" s="56">
        <v>4</v>
      </c>
      <c r="Q1751" s="57">
        <v>0</v>
      </c>
      <c r="R1751" s="58">
        <v>0</v>
      </c>
      <c r="S1751" s="59">
        <v>3</v>
      </c>
      <c r="V1751" s="4" t="s">
        <v>1389</v>
      </c>
      <c r="AL1751" s="60" t="s">
        <v>30</v>
      </c>
      <c r="AN1751" s="4" t="s">
        <v>30</v>
      </c>
    </row>
    <row r="1752" spans="1:40" ht="36" x14ac:dyDescent="0.2">
      <c r="A1752" s="1" t="s">
        <v>916</v>
      </c>
      <c r="B1752" s="1" t="s">
        <v>1416</v>
      </c>
      <c r="C1752" s="1" t="s">
        <v>5734</v>
      </c>
      <c r="D1752" s="1">
        <v>14</v>
      </c>
      <c r="E1752" s="1">
        <v>3</v>
      </c>
      <c r="F1752" s="1" t="s">
        <v>920</v>
      </c>
      <c r="G1752" s="1" t="s">
        <v>1417</v>
      </c>
      <c r="I1752" s="1" t="s">
        <v>38</v>
      </c>
      <c r="J1752" s="1" t="s">
        <v>57</v>
      </c>
      <c r="K1752" s="4" t="s">
        <v>1418</v>
      </c>
      <c r="L1752" s="4"/>
      <c r="M1752" s="1">
        <v>2</v>
      </c>
      <c r="P1752" s="56">
        <v>1</v>
      </c>
      <c r="Q1752" s="57">
        <v>1</v>
      </c>
      <c r="R1752" s="58">
        <v>2</v>
      </c>
      <c r="S1752" s="59">
        <v>2</v>
      </c>
      <c r="V1752" s="4" t="s">
        <v>1419</v>
      </c>
      <c r="AL1752" s="60" t="s">
        <v>30</v>
      </c>
      <c r="AN1752" s="4" t="s">
        <v>30</v>
      </c>
    </row>
    <row r="1753" spans="1:40" ht="24" x14ac:dyDescent="0.2">
      <c r="A1753" s="1" t="s">
        <v>916</v>
      </c>
      <c r="B1753" s="1" t="s">
        <v>1454</v>
      </c>
      <c r="C1753" s="1" t="s">
        <v>5734</v>
      </c>
      <c r="D1753" s="1">
        <v>15</v>
      </c>
      <c r="E1753" s="1">
        <v>3</v>
      </c>
      <c r="F1753" s="1" t="s">
        <v>920</v>
      </c>
      <c r="G1753" s="1" t="s">
        <v>1455</v>
      </c>
      <c r="H1753" s="1" t="s">
        <v>26</v>
      </c>
      <c r="I1753" s="1" t="s">
        <v>38</v>
      </c>
      <c r="J1753" s="1" t="s">
        <v>971</v>
      </c>
      <c r="K1753" s="4" t="s">
        <v>1456</v>
      </c>
      <c r="L1753" s="4"/>
      <c r="M1753" s="1">
        <v>4</v>
      </c>
      <c r="P1753" s="56">
        <v>2</v>
      </c>
      <c r="Q1753" s="57">
        <v>1</v>
      </c>
      <c r="R1753" s="58">
        <v>3</v>
      </c>
      <c r="S1753" s="59">
        <v>2</v>
      </c>
      <c r="V1753" s="4" t="s">
        <v>1457</v>
      </c>
      <c r="AL1753" s="60" t="s">
        <v>30</v>
      </c>
      <c r="AN1753" s="4" t="s">
        <v>30</v>
      </c>
    </row>
    <row r="1754" spans="1:40" ht="24" x14ac:dyDescent="0.2">
      <c r="A1754" s="1" t="s">
        <v>916</v>
      </c>
      <c r="B1754" s="1" t="s">
        <v>1582</v>
      </c>
      <c r="C1754" s="1" t="s">
        <v>5734</v>
      </c>
      <c r="D1754" s="1">
        <v>16</v>
      </c>
      <c r="E1754" s="1">
        <v>3</v>
      </c>
      <c r="F1754" s="1" t="s">
        <v>920</v>
      </c>
      <c r="G1754" s="1" t="s">
        <v>1583</v>
      </c>
      <c r="H1754" s="1" t="s">
        <v>26</v>
      </c>
      <c r="I1754" s="1" t="s">
        <v>38</v>
      </c>
      <c r="J1754" s="1" t="s">
        <v>28</v>
      </c>
      <c r="K1754" s="4" t="s">
        <v>1584</v>
      </c>
      <c r="L1754" s="4"/>
      <c r="M1754" s="1">
        <v>4</v>
      </c>
      <c r="P1754" s="56">
        <v>2</v>
      </c>
      <c r="Q1754" s="57">
        <v>2</v>
      </c>
      <c r="R1754" s="58">
        <v>2</v>
      </c>
      <c r="S1754" s="59">
        <v>3</v>
      </c>
      <c r="V1754" s="4" t="s">
        <v>1585</v>
      </c>
      <c r="AL1754" s="60" t="s">
        <v>30</v>
      </c>
      <c r="AN1754" s="4" t="s">
        <v>30</v>
      </c>
    </row>
    <row r="1755" spans="1:40" ht="24" x14ac:dyDescent="0.2">
      <c r="A1755" s="1" t="s">
        <v>916</v>
      </c>
      <c r="B1755" s="1" t="s">
        <v>1448</v>
      </c>
      <c r="C1755" s="1" t="s">
        <v>5734</v>
      </c>
      <c r="D1755" s="1">
        <v>17</v>
      </c>
      <c r="E1755" s="1">
        <v>3</v>
      </c>
      <c r="F1755" s="1" t="s">
        <v>920</v>
      </c>
      <c r="G1755" s="1" t="s">
        <v>1449</v>
      </c>
      <c r="H1755" s="1" t="s">
        <v>26</v>
      </c>
      <c r="I1755" s="1" t="s">
        <v>38</v>
      </c>
      <c r="J1755" s="1" t="s">
        <v>28</v>
      </c>
      <c r="K1755" s="4" t="s">
        <v>1278</v>
      </c>
      <c r="L1755" s="4"/>
      <c r="M1755" s="1">
        <v>4</v>
      </c>
      <c r="P1755" s="56">
        <v>2</v>
      </c>
      <c r="Q1755" s="57">
        <v>3</v>
      </c>
      <c r="R1755" s="58">
        <v>1</v>
      </c>
      <c r="S1755" s="59">
        <v>2</v>
      </c>
      <c r="V1755" s="4" t="s">
        <v>1450</v>
      </c>
      <c r="AL1755" s="60" t="s">
        <v>30</v>
      </c>
      <c r="AN1755" s="4" t="s">
        <v>30</v>
      </c>
    </row>
    <row r="1756" spans="1:40" ht="24" x14ac:dyDescent="0.2">
      <c r="A1756" s="1" t="s">
        <v>916</v>
      </c>
      <c r="B1756" s="1" t="s">
        <v>986</v>
      </c>
      <c r="C1756" s="1" t="s">
        <v>5734</v>
      </c>
      <c r="D1756" s="1">
        <v>18</v>
      </c>
      <c r="E1756" s="1">
        <v>3</v>
      </c>
      <c r="F1756" s="1" t="s">
        <v>920</v>
      </c>
      <c r="G1756" s="1" t="s">
        <v>987</v>
      </c>
      <c r="I1756" s="1" t="s">
        <v>38</v>
      </c>
      <c r="J1756" s="1" t="s">
        <v>28</v>
      </c>
      <c r="K1756" s="4" t="s">
        <v>988</v>
      </c>
      <c r="L1756" s="4"/>
      <c r="M1756" s="1">
        <v>2</v>
      </c>
      <c r="P1756" s="56">
        <v>1</v>
      </c>
      <c r="Q1756" s="57">
        <v>2</v>
      </c>
      <c r="R1756" s="58">
        <v>0</v>
      </c>
      <c r="S1756" s="59">
        <v>2</v>
      </c>
      <c r="V1756" s="4" t="s">
        <v>989</v>
      </c>
      <c r="AL1756" s="60" t="s">
        <v>30</v>
      </c>
      <c r="AN1756" s="4" t="s">
        <v>30</v>
      </c>
    </row>
    <row r="1757" spans="1:40" ht="24" x14ac:dyDescent="0.2">
      <c r="A1757" s="1" t="s">
        <v>916</v>
      </c>
      <c r="B1757" s="1" t="s">
        <v>1129</v>
      </c>
      <c r="C1757" s="1" t="s">
        <v>5734</v>
      </c>
      <c r="D1757" s="1">
        <v>19</v>
      </c>
      <c r="E1757" s="1">
        <v>3</v>
      </c>
      <c r="F1757" s="1" t="s">
        <v>920</v>
      </c>
      <c r="G1757" s="1" t="s">
        <v>1130</v>
      </c>
      <c r="H1757" s="1" t="s">
        <v>26</v>
      </c>
      <c r="I1757" s="1" t="s">
        <v>38</v>
      </c>
      <c r="J1757" s="1" t="s">
        <v>50</v>
      </c>
      <c r="K1757" s="4" t="s">
        <v>1131</v>
      </c>
      <c r="L1757" s="4" t="s">
        <v>1132</v>
      </c>
      <c r="M1757" s="1">
        <v>5</v>
      </c>
      <c r="P1757" s="56">
        <v>2</v>
      </c>
      <c r="Q1757" s="57">
        <v>4</v>
      </c>
      <c r="R1757" s="58">
        <v>1</v>
      </c>
      <c r="S1757" s="59">
        <v>4</v>
      </c>
      <c r="V1757" s="4" t="s">
        <v>1133</v>
      </c>
      <c r="AL1757" s="60" t="s">
        <v>30</v>
      </c>
      <c r="AN1757" s="4" t="s">
        <v>30</v>
      </c>
    </row>
    <row r="1758" spans="1:40" x14ac:dyDescent="0.2">
      <c r="A1758" s="1" t="s">
        <v>916</v>
      </c>
      <c r="B1758" s="1" t="s">
        <v>1134</v>
      </c>
      <c r="C1758" s="1" t="s">
        <v>5734</v>
      </c>
      <c r="D1758" s="1">
        <v>20</v>
      </c>
      <c r="E1758" s="1">
        <v>3</v>
      </c>
      <c r="F1758" s="1" t="s">
        <v>920</v>
      </c>
      <c r="G1758" s="1" t="s">
        <v>1135</v>
      </c>
      <c r="I1758" s="1" t="s">
        <v>38</v>
      </c>
      <c r="J1758" s="1" t="s">
        <v>50</v>
      </c>
      <c r="K1758" s="4" t="s">
        <v>1136</v>
      </c>
      <c r="L1758" s="4" t="s">
        <v>52</v>
      </c>
      <c r="M1758" s="1">
        <v>2</v>
      </c>
      <c r="P1758" s="56">
        <v>0</v>
      </c>
      <c r="Q1758" s="57">
        <v>1</v>
      </c>
      <c r="R1758" s="58">
        <v>4</v>
      </c>
      <c r="S1758" s="59">
        <v>1</v>
      </c>
      <c r="AL1758" s="60" t="s">
        <v>30</v>
      </c>
      <c r="AN1758" s="4" t="s">
        <v>30</v>
      </c>
    </row>
    <row r="1759" spans="1:40" ht="84" x14ac:dyDescent="0.2">
      <c r="A1759" s="1" t="s">
        <v>916</v>
      </c>
      <c r="B1759" s="1" t="s">
        <v>1565</v>
      </c>
      <c r="C1759" s="1" t="s">
        <v>5734</v>
      </c>
      <c r="D1759" s="1">
        <v>21</v>
      </c>
      <c r="E1759" s="1">
        <v>3</v>
      </c>
      <c r="F1759" s="1" t="s">
        <v>920</v>
      </c>
      <c r="G1759" s="1" t="s">
        <v>1566</v>
      </c>
      <c r="H1759" s="1" t="s">
        <v>26</v>
      </c>
      <c r="I1759" s="1" t="s">
        <v>38</v>
      </c>
      <c r="J1759" s="1" t="s">
        <v>50</v>
      </c>
      <c r="K1759" s="4" t="s">
        <v>1567</v>
      </c>
      <c r="L1759" s="4"/>
      <c r="M1759" s="1">
        <v>4</v>
      </c>
      <c r="P1759" s="56">
        <v>1</v>
      </c>
      <c r="Q1759" s="57">
        <v>4</v>
      </c>
      <c r="R1759" s="58">
        <v>1</v>
      </c>
      <c r="S1759" s="59">
        <v>4</v>
      </c>
      <c r="V1759" s="4" t="s">
        <v>1568</v>
      </c>
      <c r="AL1759" s="60" t="s">
        <v>30</v>
      </c>
      <c r="AN1759" s="4" t="s">
        <v>30</v>
      </c>
    </row>
    <row r="1760" spans="1:40" ht="24" x14ac:dyDescent="0.2">
      <c r="A1760" s="1" t="s">
        <v>916</v>
      </c>
      <c r="B1760" s="1" t="s">
        <v>1003</v>
      </c>
      <c r="C1760" s="1" t="s">
        <v>5734</v>
      </c>
      <c r="D1760" s="1">
        <v>22</v>
      </c>
      <c r="E1760" s="1">
        <v>3</v>
      </c>
      <c r="F1760" s="1" t="s">
        <v>920</v>
      </c>
      <c r="G1760" s="1" t="s">
        <v>1004</v>
      </c>
      <c r="H1760" s="1" t="s">
        <v>26</v>
      </c>
      <c r="I1760" s="1" t="s">
        <v>38</v>
      </c>
      <c r="J1760" s="1" t="s">
        <v>39</v>
      </c>
      <c r="K1760" s="4" t="s">
        <v>1005</v>
      </c>
      <c r="L1760" s="4"/>
      <c r="M1760" s="1">
        <v>3</v>
      </c>
      <c r="P1760" s="56">
        <v>2</v>
      </c>
      <c r="Q1760" s="57">
        <v>1</v>
      </c>
      <c r="R1760" s="58">
        <v>1</v>
      </c>
      <c r="S1760" s="59">
        <v>2</v>
      </c>
      <c r="V1760" s="4" t="s">
        <v>1006</v>
      </c>
      <c r="AL1760" s="60" t="s">
        <v>30</v>
      </c>
      <c r="AN1760" s="4" t="s">
        <v>30</v>
      </c>
    </row>
    <row r="1761" spans="1:40" ht="24" x14ac:dyDescent="0.2">
      <c r="A1761" s="1" t="s">
        <v>916</v>
      </c>
      <c r="B1761" s="1" t="s">
        <v>1507</v>
      </c>
      <c r="C1761" s="1" t="s">
        <v>5734</v>
      </c>
      <c r="D1761" s="1">
        <v>23</v>
      </c>
      <c r="E1761" s="1">
        <v>3</v>
      </c>
      <c r="F1761" s="1" t="s">
        <v>920</v>
      </c>
      <c r="G1761" s="1" t="s">
        <v>1508</v>
      </c>
      <c r="I1761" s="1" t="s">
        <v>38</v>
      </c>
      <c r="J1761" s="1" t="s">
        <v>39</v>
      </c>
      <c r="K1761" s="4" t="s">
        <v>283</v>
      </c>
      <c r="L1761" s="4"/>
      <c r="M1761" s="1">
        <v>2</v>
      </c>
      <c r="P1761" s="56">
        <v>1</v>
      </c>
      <c r="Q1761" s="57">
        <v>1</v>
      </c>
      <c r="R1761" s="58">
        <v>2</v>
      </c>
      <c r="S1761" s="59">
        <v>2</v>
      </c>
      <c r="V1761" s="4" t="s">
        <v>1509</v>
      </c>
      <c r="AL1761" s="60" t="s">
        <v>30</v>
      </c>
      <c r="AN1761" s="4" t="s">
        <v>30</v>
      </c>
    </row>
    <row r="1762" spans="1:40" ht="60" x14ac:dyDescent="0.2">
      <c r="A1762" s="1" t="s">
        <v>916</v>
      </c>
      <c r="B1762" s="1" t="s">
        <v>1086</v>
      </c>
      <c r="C1762" s="1" t="s">
        <v>5734</v>
      </c>
      <c r="D1762" s="1">
        <v>24</v>
      </c>
      <c r="E1762" s="1">
        <v>3</v>
      </c>
      <c r="F1762" s="1" t="s">
        <v>920</v>
      </c>
      <c r="G1762" s="1" t="s">
        <v>1087</v>
      </c>
      <c r="H1762" s="1" t="s">
        <v>26</v>
      </c>
      <c r="I1762" s="1" t="s">
        <v>38</v>
      </c>
      <c r="J1762" s="1" t="s">
        <v>39</v>
      </c>
      <c r="K1762" s="4" t="s">
        <v>283</v>
      </c>
      <c r="L1762" s="4"/>
      <c r="M1762" s="1">
        <v>3</v>
      </c>
      <c r="P1762" s="56">
        <v>1</v>
      </c>
      <c r="Q1762" s="57">
        <v>1</v>
      </c>
      <c r="R1762" s="58">
        <v>1</v>
      </c>
      <c r="S1762" s="59">
        <v>3</v>
      </c>
      <c r="V1762" s="4" t="s">
        <v>1088</v>
      </c>
      <c r="AL1762" s="60" t="s">
        <v>30</v>
      </c>
      <c r="AN1762" s="4" t="s">
        <v>30</v>
      </c>
    </row>
    <row r="1763" spans="1:40" ht="36" x14ac:dyDescent="0.2">
      <c r="A1763" s="1" t="s">
        <v>916</v>
      </c>
      <c r="B1763" s="1" t="s">
        <v>1510</v>
      </c>
      <c r="C1763" s="1" t="s">
        <v>5734</v>
      </c>
      <c r="D1763" s="1">
        <v>25</v>
      </c>
      <c r="E1763" s="1">
        <v>3</v>
      </c>
      <c r="F1763" s="1" t="s">
        <v>920</v>
      </c>
      <c r="G1763" s="1" t="s">
        <v>1511</v>
      </c>
      <c r="I1763" s="1" t="s">
        <v>38</v>
      </c>
      <c r="J1763" s="1" t="s">
        <v>39</v>
      </c>
      <c r="K1763" s="4" t="s">
        <v>1512</v>
      </c>
      <c r="L1763" s="4" t="s">
        <v>171</v>
      </c>
      <c r="M1763" s="1">
        <v>2</v>
      </c>
      <c r="P1763" s="56">
        <v>1</v>
      </c>
      <c r="Q1763" s="57">
        <v>1</v>
      </c>
      <c r="R1763" s="58">
        <v>0</v>
      </c>
      <c r="S1763" s="59">
        <v>2</v>
      </c>
      <c r="V1763" s="4" t="s">
        <v>1513</v>
      </c>
      <c r="AL1763" s="60" t="s">
        <v>30</v>
      </c>
      <c r="AN1763" s="4" t="s">
        <v>30</v>
      </c>
    </row>
    <row r="1764" spans="1:40" ht="24" x14ac:dyDescent="0.2">
      <c r="A1764" s="1" t="s">
        <v>916</v>
      </c>
      <c r="B1764" s="1" t="s">
        <v>1188</v>
      </c>
      <c r="C1764" s="1" t="s">
        <v>5734</v>
      </c>
      <c r="D1764" s="1">
        <v>26</v>
      </c>
      <c r="E1764" s="1">
        <v>3</v>
      </c>
      <c r="F1764" s="1" t="s">
        <v>920</v>
      </c>
      <c r="G1764" s="1" t="s">
        <v>1189</v>
      </c>
      <c r="H1764" s="1" t="s">
        <v>26</v>
      </c>
      <c r="I1764" s="1" t="s">
        <v>38</v>
      </c>
      <c r="J1764" s="1" t="s">
        <v>39</v>
      </c>
      <c r="K1764" s="4" t="s">
        <v>1190</v>
      </c>
      <c r="L1764" s="4"/>
      <c r="M1764" s="1">
        <v>2</v>
      </c>
      <c r="P1764" s="56">
        <v>2</v>
      </c>
      <c r="Q1764" s="57">
        <v>1</v>
      </c>
      <c r="R1764" s="58">
        <v>1</v>
      </c>
      <c r="S1764" s="59">
        <v>2</v>
      </c>
      <c r="V1764" s="4" t="s">
        <v>1191</v>
      </c>
      <c r="AL1764" s="60" t="s">
        <v>30</v>
      </c>
      <c r="AN1764" s="4" t="s">
        <v>30</v>
      </c>
    </row>
    <row r="1765" spans="1:40" ht="36" x14ac:dyDescent="0.2">
      <c r="A1765" s="1" t="s">
        <v>916</v>
      </c>
      <c r="B1765" s="1" t="s">
        <v>1265</v>
      </c>
      <c r="C1765" s="1" t="s">
        <v>5734</v>
      </c>
      <c r="D1765" s="1">
        <v>27</v>
      </c>
      <c r="E1765" s="1">
        <v>3</v>
      </c>
      <c r="F1765" s="1" t="s">
        <v>920</v>
      </c>
      <c r="G1765" s="1" t="s">
        <v>1266</v>
      </c>
      <c r="H1765" s="1" t="s">
        <v>26</v>
      </c>
      <c r="I1765" s="1" t="s">
        <v>38</v>
      </c>
      <c r="J1765" s="1" t="s">
        <v>57</v>
      </c>
      <c r="K1765" s="4" t="s">
        <v>1267</v>
      </c>
      <c r="L1765" s="4"/>
      <c r="M1765" s="1">
        <v>3</v>
      </c>
      <c r="P1765" s="56">
        <v>3</v>
      </c>
      <c r="Q1765" s="57">
        <v>0</v>
      </c>
      <c r="R1765" s="58">
        <v>0</v>
      </c>
      <c r="S1765" s="59">
        <v>1</v>
      </c>
      <c r="V1765" s="4" t="s">
        <v>1268</v>
      </c>
      <c r="AL1765" s="60" t="s">
        <v>30</v>
      </c>
      <c r="AN1765" s="4" t="s">
        <v>30</v>
      </c>
    </row>
    <row r="1766" spans="1:40" x14ac:dyDescent="0.2">
      <c r="A1766" s="1" t="s">
        <v>916</v>
      </c>
      <c r="B1766" s="1" t="s">
        <v>1173</v>
      </c>
      <c r="C1766" s="1" t="s">
        <v>5734</v>
      </c>
      <c r="D1766" s="1">
        <v>28</v>
      </c>
      <c r="E1766" s="1">
        <v>3</v>
      </c>
      <c r="F1766" s="1" t="s">
        <v>920</v>
      </c>
      <c r="G1766" s="1" t="s">
        <v>1174</v>
      </c>
      <c r="H1766" s="1" t="s">
        <v>26</v>
      </c>
      <c r="I1766" s="1" t="s">
        <v>38</v>
      </c>
      <c r="J1766" s="1" t="s">
        <v>50</v>
      </c>
      <c r="K1766" s="4" t="s">
        <v>1094</v>
      </c>
      <c r="L1766" s="4"/>
      <c r="M1766" s="1">
        <v>3</v>
      </c>
      <c r="P1766" s="56">
        <v>1</v>
      </c>
      <c r="Q1766" s="57">
        <v>1</v>
      </c>
      <c r="R1766" s="58">
        <v>2</v>
      </c>
      <c r="S1766" s="59">
        <v>3</v>
      </c>
      <c r="V1766" s="4" t="s">
        <v>1175</v>
      </c>
      <c r="AL1766" s="60" t="s">
        <v>30</v>
      </c>
      <c r="AN1766" s="4" t="s">
        <v>30</v>
      </c>
    </row>
    <row r="1767" spans="1:40" ht="36" x14ac:dyDescent="0.2">
      <c r="A1767" s="1" t="s">
        <v>916</v>
      </c>
      <c r="B1767" s="1" t="s">
        <v>1375</v>
      </c>
      <c r="C1767" s="1" t="s">
        <v>5734</v>
      </c>
      <c r="D1767" s="1">
        <v>29</v>
      </c>
      <c r="E1767" s="1">
        <v>3</v>
      </c>
      <c r="F1767" s="1" t="s">
        <v>920</v>
      </c>
      <c r="G1767" s="1" t="s">
        <v>1376</v>
      </c>
      <c r="H1767" s="1" t="s">
        <v>26</v>
      </c>
      <c r="I1767" s="1" t="s">
        <v>38</v>
      </c>
      <c r="J1767" s="1" t="s">
        <v>57</v>
      </c>
      <c r="K1767" s="4" t="s">
        <v>1063</v>
      </c>
      <c r="L1767" s="4"/>
      <c r="M1767" s="1">
        <v>2</v>
      </c>
      <c r="P1767" s="56">
        <v>1</v>
      </c>
      <c r="Q1767" s="57">
        <v>1</v>
      </c>
      <c r="R1767" s="58">
        <v>1</v>
      </c>
      <c r="S1767" s="59">
        <v>2</v>
      </c>
      <c r="V1767" s="4" t="s">
        <v>1377</v>
      </c>
      <c r="AL1767" s="60" t="s">
        <v>30</v>
      </c>
      <c r="AN1767" s="4" t="s">
        <v>30</v>
      </c>
    </row>
    <row r="1768" spans="1:40" ht="36" x14ac:dyDescent="0.2">
      <c r="A1768" s="1" t="s">
        <v>916</v>
      </c>
      <c r="B1768" s="1" t="s">
        <v>974</v>
      </c>
      <c r="C1768" s="1" t="s">
        <v>5734</v>
      </c>
      <c r="D1768" s="1">
        <v>30</v>
      </c>
      <c r="E1768" s="1">
        <v>3</v>
      </c>
      <c r="F1768" s="1" t="s">
        <v>920</v>
      </c>
      <c r="G1768" s="1" t="s">
        <v>975</v>
      </c>
      <c r="H1768" s="1" t="s">
        <v>26</v>
      </c>
      <c r="I1768" s="1" t="s">
        <v>38</v>
      </c>
      <c r="J1768" s="1" t="s">
        <v>28</v>
      </c>
      <c r="K1768" s="4" t="s">
        <v>976</v>
      </c>
      <c r="L1768" s="4"/>
      <c r="M1768" s="1">
        <v>3</v>
      </c>
      <c r="P1768" s="56">
        <v>1</v>
      </c>
      <c r="Q1768" s="57">
        <v>2</v>
      </c>
      <c r="R1768" s="58">
        <v>1</v>
      </c>
      <c r="S1768" s="59">
        <v>2</v>
      </c>
      <c r="V1768" s="4" t="s">
        <v>977</v>
      </c>
      <c r="AL1768" s="60" t="s">
        <v>30</v>
      </c>
      <c r="AN1768" s="4" t="s">
        <v>30</v>
      </c>
    </row>
    <row r="1769" spans="1:40" ht="24" x14ac:dyDescent="0.2">
      <c r="A1769" s="1" t="s">
        <v>916</v>
      </c>
      <c r="B1769" s="1" t="s">
        <v>1475</v>
      </c>
      <c r="C1769" s="1" t="s">
        <v>5734</v>
      </c>
      <c r="D1769" s="1">
        <v>31</v>
      </c>
      <c r="E1769" s="1">
        <v>3</v>
      </c>
      <c r="F1769" s="1" t="s">
        <v>920</v>
      </c>
      <c r="G1769" s="1" t="s">
        <v>1476</v>
      </c>
      <c r="H1769" s="1" t="s">
        <v>26</v>
      </c>
      <c r="I1769" s="1" t="s">
        <v>38</v>
      </c>
      <c r="J1769" s="1" t="s">
        <v>28</v>
      </c>
      <c r="K1769" s="4" t="s">
        <v>1063</v>
      </c>
      <c r="L1769" s="4" t="s">
        <v>52</v>
      </c>
      <c r="M1769" s="1">
        <v>3</v>
      </c>
      <c r="P1769" s="56">
        <v>1</v>
      </c>
      <c r="Q1769" s="57">
        <v>1</v>
      </c>
      <c r="R1769" s="58">
        <v>3</v>
      </c>
      <c r="S1769" s="59">
        <v>3</v>
      </c>
      <c r="V1769" s="4" t="s">
        <v>1477</v>
      </c>
      <c r="AL1769" s="60" t="s">
        <v>30</v>
      </c>
      <c r="AN1769" s="4" t="s">
        <v>30</v>
      </c>
    </row>
    <row r="1770" spans="1:40" ht="24" x14ac:dyDescent="0.2">
      <c r="A1770" s="1" t="s">
        <v>916</v>
      </c>
      <c r="B1770" s="1" t="s">
        <v>1061</v>
      </c>
      <c r="C1770" s="1" t="s">
        <v>5734</v>
      </c>
      <c r="D1770" s="1">
        <v>32</v>
      </c>
      <c r="E1770" s="1">
        <v>3</v>
      </c>
      <c r="F1770" s="1" t="s">
        <v>920</v>
      </c>
      <c r="G1770" s="1" t="s">
        <v>1062</v>
      </c>
      <c r="H1770" s="1" t="s">
        <v>26</v>
      </c>
      <c r="I1770" s="1" t="s">
        <v>38</v>
      </c>
      <c r="J1770" s="1" t="s">
        <v>57</v>
      </c>
      <c r="K1770" s="4" t="s">
        <v>1063</v>
      </c>
      <c r="L1770" s="4"/>
      <c r="M1770" s="1">
        <v>3</v>
      </c>
      <c r="P1770" s="56">
        <v>2</v>
      </c>
      <c r="Q1770" s="57">
        <v>0</v>
      </c>
      <c r="R1770" s="58">
        <v>1</v>
      </c>
      <c r="S1770" s="59">
        <v>2</v>
      </c>
      <c r="V1770" s="4" t="s">
        <v>1064</v>
      </c>
      <c r="AL1770" s="60" t="s">
        <v>30</v>
      </c>
      <c r="AN1770" s="4" t="s">
        <v>30</v>
      </c>
    </row>
    <row r="1771" spans="1:40" ht="48" x14ac:dyDescent="0.2">
      <c r="A1771" s="1" t="s">
        <v>916</v>
      </c>
      <c r="B1771" s="1" t="s">
        <v>1202</v>
      </c>
      <c r="C1771" s="1" t="s">
        <v>5734</v>
      </c>
      <c r="D1771" s="1">
        <v>33</v>
      </c>
      <c r="E1771" s="1">
        <v>3</v>
      </c>
      <c r="F1771" s="1" t="s">
        <v>920</v>
      </c>
      <c r="G1771" s="1" t="s">
        <v>1203</v>
      </c>
      <c r="H1771" s="1" t="s">
        <v>26</v>
      </c>
      <c r="I1771" s="1" t="s">
        <v>38</v>
      </c>
      <c r="J1771" s="1" t="s">
        <v>57</v>
      </c>
      <c r="K1771" s="4" t="s">
        <v>976</v>
      </c>
      <c r="L1771" s="4"/>
      <c r="M1771" s="1">
        <v>4</v>
      </c>
      <c r="P1771" s="56">
        <v>3</v>
      </c>
      <c r="Q1771" s="57">
        <v>1</v>
      </c>
      <c r="R1771" s="58">
        <v>1</v>
      </c>
      <c r="S1771" s="59">
        <v>3</v>
      </c>
      <c r="V1771" s="4" t="s">
        <v>1204</v>
      </c>
      <c r="AL1771" s="60" t="s">
        <v>30</v>
      </c>
      <c r="AN1771" s="4" t="s">
        <v>30</v>
      </c>
    </row>
    <row r="1772" spans="1:40" ht="24" x14ac:dyDescent="0.2">
      <c r="A1772" s="1" t="s">
        <v>916</v>
      </c>
      <c r="B1772" s="1" t="s">
        <v>978</v>
      </c>
      <c r="C1772" s="1" t="s">
        <v>5734</v>
      </c>
      <c r="D1772" s="1">
        <v>34</v>
      </c>
      <c r="E1772" s="1">
        <v>3</v>
      </c>
      <c r="F1772" s="1" t="s">
        <v>920</v>
      </c>
      <c r="G1772" s="1" t="s">
        <v>979</v>
      </c>
      <c r="H1772" s="1" t="s">
        <v>26</v>
      </c>
      <c r="I1772" s="1" t="s">
        <v>38</v>
      </c>
      <c r="J1772" s="1" t="s">
        <v>57</v>
      </c>
      <c r="K1772" s="4" t="s">
        <v>980</v>
      </c>
      <c r="L1772" s="4"/>
      <c r="M1772" s="1">
        <v>1</v>
      </c>
      <c r="P1772" s="56">
        <v>2</v>
      </c>
      <c r="Q1772" s="57">
        <v>0</v>
      </c>
      <c r="R1772" s="58">
        <v>0</v>
      </c>
      <c r="S1772" s="59">
        <v>2</v>
      </c>
      <c r="V1772" s="4" t="s">
        <v>981</v>
      </c>
      <c r="AL1772" s="60" t="s">
        <v>30</v>
      </c>
      <c r="AN1772" s="4" t="s">
        <v>30</v>
      </c>
    </row>
    <row r="1773" spans="1:40" ht="24" x14ac:dyDescent="0.2">
      <c r="A1773" s="1" t="s">
        <v>916</v>
      </c>
      <c r="B1773" s="1" t="s">
        <v>1451</v>
      </c>
      <c r="C1773" s="1" t="s">
        <v>5734</v>
      </c>
      <c r="D1773" s="1">
        <v>35</v>
      </c>
      <c r="E1773" s="1">
        <v>3</v>
      </c>
      <c r="F1773" s="1" t="s">
        <v>920</v>
      </c>
      <c r="G1773" s="1" t="s">
        <v>1452</v>
      </c>
      <c r="H1773" s="1" t="s">
        <v>26</v>
      </c>
      <c r="I1773" s="1" t="s">
        <v>38</v>
      </c>
      <c r="J1773" s="1" t="s">
        <v>50</v>
      </c>
      <c r="K1773" s="4" t="s">
        <v>358</v>
      </c>
      <c r="L1773" s="4"/>
      <c r="M1773" s="1">
        <v>4</v>
      </c>
      <c r="P1773" s="56">
        <v>1</v>
      </c>
      <c r="Q1773" s="57">
        <v>3</v>
      </c>
      <c r="R1773" s="58">
        <v>2</v>
      </c>
      <c r="S1773" s="59">
        <v>4</v>
      </c>
      <c r="V1773" s="4" t="s">
        <v>1453</v>
      </c>
      <c r="AL1773" s="60" t="s">
        <v>30</v>
      </c>
      <c r="AN1773" s="4" t="s">
        <v>30</v>
      </c>
    </row>
    <row r="1774" spans="1:40" ht="48" x14ac:dyDescent="0.2">
      <c r="A1774" s="1" t="s">
        <v>916</v>
      </c>
      <c r="B1774" s="1" t="s">
        <v>996</v>
      </c>
      <c r="C1774" s="1" t="s">
        <v>5734</v>
      </c>
      <c r="D1774" s="1">
        <v>36</v>
      </c>
      <c r="E1774" s="1">
        <v>3</v>
      </c>
      <c r="F1774" s="1" t="s">
        <v>920</v>
      </c>
      <c r="G1774" s="1" t="s">
        <v>997</v>
      </c>
      <c r="H1774" s="1" t="s">
        <v>26</v>
      </c>
      <c r="I1774" s="1" t="s">
        <v>56</v>
      </c>
      <c r="J1774" s="1" t="s">
        <v>28</v>
      </c>
      <c r="K1774" s="4" t="s">
        <v>298</v>
      </c>
      <c r="L1774" s="4"/>
      <c r="M1774" s="1">
        <v>2</v>
      </c>
      <c r="V1774" s="4" t="s">
        <v>998</v>
      </c>
      <c r="AL1774" s="60" t="s">
        <v>30</v>
      </c>
      <c r="AN1774" s="4" t="s">
        <v>30</v>
      </c>
    </row>
    <row r="1775" spans="1:40" ht="36" x14ac:dyDescent="0.2">
      <c r="A1775" s="1" t="s">
        <v>916</v>
      </c>
      <c r="B1775" s="1" t="s">
        <v>1344</v>
      </c>
      <c r="C1775" s="1" t="s">
        <v>5734</v>
      </c>
      <c r="D1775" s="1">
        <v>37</v>
      </c>
      <c r="E1775" s="1">
        <v>3</v>
      </c>
      <c r="F1775" s="1" t="s">
        <v>920</v>
      </c>
      <c r="G1775" s="1" t="s">
        <v>1345</v>
      </c>
      <c r="I1775" s="1" t="s">
        <v>56</v>
      </c>
      <c r="J1775" s="1" t="s">
        <v>57</v>
      </c>
      <c r="K1775" s="4" t="s">
        <v>298</v>
      </c>
      <c r="L1775" s="4"/>
      <c r="M1775" s="1">
        <v>1</v>
      </c>
      <c r="V1775" s="4" t="s">
        <v>1346</v>
      </c>
      <c r="AL1775" s="60" t="s">
        <v>30</v>
      </c>
      <c r="AN1775" s="4" t="s">
        <v>30</v>
      </c>
    </row>
    <row r="1776" spans="1:40" ht="84" x14ac:dyDescent="0.2">
      <c r="A1776" s="1" t="s">
        <v>916</v>
      </c>
      <c r="B1776" s="1" t="s">
        <v>1075</v>
      </c>
      <c r="C1776" s="1" t="s">
        <v>5734</v>
      </c>
      <c r="D1776" s="1">
        <v>38</v>
      </c>
      <c r="E1776" s="1">
        <v>3</v>
      </c>
      <c r="F1776" s="1" t="s">
        <v>920</v>
      </c>
      <c r="G1776" s="1" t="s">
        <v>1076</v>
      </c>
      <c r="H1776" s="1" t="s">
        <v>26</v>
      </c>
      <c r="I1776" s="1" t="s">
        <v>56</v>
      </c>
      <c r="J1776" s="1" t="s">
        <v>57</v>
      </c>
      <c r="K1776" s="4" t="s">
        <v>1077</v>
      </c>
      <c r="L1776" s="4"/>
      <c r="M1776" s="1">
        <v>2</v>
      </c>
      <c r="V1776" s="4" t="s">
        <v>1078</v>
      </c>
      <c r="AL1776" s="60" t="s">
        <v>30</v>
      </c>
      <c r="AN1776" s="4" t="s">
        <v>30</v>
      </c>
    </row>
    <row r="1777" spans="1:40" ht="48" x14ac:dyDescent="0.2">
      <c r="A1777" s="1" t="s">
        <v>916</v>
      </c>
      <c r="B1777" s="1" t="s">
        <v>999</v>
      </c>
      <c r="C1777" s="1" t="s">
        <v>5734</v>
      </c>
      <c r="D1777" s="1">
        <v>39</v>
      </c>
      <c r="E1777" s="1">
        <v>3</v>
      </c>
      <c r="F1777" s="1" t="s">
        <v>920</v>
      </c>
      <c r="G1777" s="1" t="s">
        <v>1000</v>
      </c>
      <c r="H1777" s="1" t="s">
        <v>26</v>
      </c>
      <c r="I1777" s="1" t="s">
        <v>56</v>
      </c>
      <c r="J1777" s="1" t="s">
        <v>57</v>
      </c>
      <c r="K1777" s="4" t="s">
        <v>1001</v>
      </c>
      <c r="L1777" s="4"/>
      <c r="M1777" s="1">
        <v>2</v>
      </c>
      <c r="V1777" s="4" t="s">
        <v>1002</v>
      </c>
      <c r="AL1777" s="60" t="s">
        <v>30</v>
      </c>
      <c r="AN1777" s="4" t="s">
        <v>30</v>
      </c>
    </row>
    <row r="1778" spans="1:40" ht="48" x14ac:dyDescent="0.2">
      <c r="A1778" s="1" t="s">
        <v>916</v>
      </c>
      <c r="B1778" s="1" t="s">
        <v>1208</v>
      </c>
      <c r="C1778" s="1" t="s">
        <v>5734</v>
      </c>
      <c r="D1778" s="1">
        <v>40</v>
      </c>
      <c r="E1778" s="1">
        <v>3</v>
      </c>
      <c r="F1778" s="1" t="s">
        <v>920</v>
      </c>
      <c r="G1778" s="1" t="s">
        <v>1209</v>
      </c>
      <c r="H1778" s="1" t="s">
        <v>26</v>
      </c>
      <c r="I1778" s="1" t="s">
        <v>56</v>
      </c>
      <c r="J1778" s="1" t="s">
        <v>28</v>
      </c>
      <c r="K1778" s="4" t="s">
        <v>1210</v>
      </c>
      <c r="L1778" s="4"/>
      <c r="M1778" s="1">
        <v>2</v>
      </c>
      <c r="V1778" s="4" t="s">
        <v>1211</v>
      </c>
      <c r="AL1778" s="60" t="s">
        <v>30</v>
      </c>
      <c r="AN1778" s="4" t="s">
        <v>30</v>
      </c>
    </row>
    <row r="1779" spans="1:40" ht="108" x14ac:dyDescent="0.2">
      <c r="A1779" s="1" t="s">
        <v>916</v>
      </c>
      <c r="B1779" s="1" t="s">
        <v>1484</v>
      </c>
      <c r="C1779" s="1" t="s">
        <v>5734</v>
      </c>
      <c r="D1779" s="1">
        <v>41</v>
      </c>
      <c r="E1779" s="1">
        <v>3</v>
      </c>
      <c r="F1779" s="1" t="s">
        <v>920</v>
      </c>
      <c r="G1779" s="1" t="s">
        <v>1485</v>
      </c>
      <c r="I1779" s="1" t="s">
        <v>56</v>
      </c>
      <c r="J1779" s="1" t="s">
        <v>28</v>
      </c>
      <c r="K1779" s="4" t="s">
        <v>1159</v>
      </c>
      <c r="L1779" s="4"/>
      <c r="M1779" s="1">
        <v>1</v>
      </c>
      <c r="V1779" s="4" t="s">
        <v>1486</v>
      </c>
      <c r="AL1779" s="60" t="s">
        <v>30</v>
      </c>
      <c r="AN1779" s="4" t="s">
        <v>30</v>
      </c>
    </row>
    <row r="1780" spans="1:40" ht="84" x14ac:dyDescent="0.2">
      <c r="A1780" s="1" t="s">
        <v>916</v>
      </c>
      <c r="B1780" s="1" t="s">
        <v>1334</v>
      </c>
      <c r="C1780" s="1" t="s">
        <v>5734</v>
      </c>
      <c r="D1780" s="1">
        <v>42</v>
      </c>
      <c r="E1780" s="1">
        <v>3</v>
      </c>
      <c r="F1780" s="1" t="s">
        <v>920</v>
      </c>
      <c r="G1780" s="1" t="s">
        <v>1335</v>
      </c>
      <c r="I1780" s="1" t="s">
        <v>56</v>
      </c>
      <c r="J1780" s="1" t="s">
        <v>50</v>
      </c>
      <c r="K1780" s="4" t="s">
        <v>1336</v>
      </c>
      <c r="L1780" s="4"/>
      <c r="M1780" s="1">
        <v>2</v>
      </c>
      <c r="V1780" s="4" t="s">
        <v>1337</v>
      </c>
      <c r="AL1780" s="60" t="s">
        <v>30</v>
      </c>
      <c r="AN1780" s="4" t="s">
        <v>30</v>
      </c>
    </row>
    <row r="1781" spans="1:40" ht="84" x14ac:dyDescent="0.2">
      <c r="A1781" s="1" t="s">
        <v>916</v>
      </c>
      <c r="B1781" s="1" t="s">
        <v>1157</v>
      </c>
      <c r="C1781" s="1" t="s">
        <v>5734</v>
      </c>
      <c r="D1781" s="1">
        <v>43</v>
      </c>
      <c r="E1781" s="1">
        <v>3</v>
      </c>
      <c r="F1781" s="1" t="s">
        <v>920</v>
      </c>
      <c r="G1781" s="1" t="s">
        <v>1158</v>
      </c>
      <c r="I1781" s="1" t="s">
        <v>56</v>
      </c>
      <c r="J1781" s="1" t="s">
        <v>39</v>
      </c>
      <c r="K1781" s="4" t="s">
        <v>1159</v>
      </c>
      <c r="L1781" s="4"/>
      <c r="M1781" s="1">
        <v>0</v>
      </c>
      <c r="V1781" s="4" t="s">
        <v>1160</v>
      </c>
      <c r="AL1781" s="60" t="s">
        <v>30</v>
      </c>
      <c r="AN1781" s="4" t="s">
        <v>30</v>
      </c>
    </row>
    <row r="1782" spans="1:40" ht="84" x14ac:dyDescent="0.2">
      <c r="A1782" s="1" t="s">
        <v>916</v>
      </c>
      <c r="B1782" s="1" t="s">
        <v>1154</v>
      </c>
      <c r="C1782" s="1" t="s">
        <v>5734</v>
      </c>
      <c r="D1782" s="1">
        <v>44</v>
      </c>
      <c r="E1782" s="1">
        <v>3</v>
      </c>
      <c r="F1782" s="1" t="s">
        <v>920</v>
      </c>
      <c r="G1782" s="1" t="s">
        <v>1155</v>
      </c>
      <c r="H1782" s="1" t="s">
        <v>26</v>
      </c>
      <c r="I1782" s="1" t="s">
        <v>56</v>
      </c>
      <c r="J1782" s="1" t="s">
        <v>39</v>
      </c>
      <c r="K1782" s="4" t="s">
        <v>261</v>
      </c>
      <c r="L1782" s="4"/>
      <c r="M1782" s="1">
        <v>1</v>
      </c>
      <c r="V1782" s="4" t="s">
        <v>1156</v>
      </c>
      <c r="AL1782" s="60" t="s">
        <v>30</v>
      </c>
      <c r="AN1782" s="4" t="s">
        <v>30</v>
      </c>
    </row>
    <row r="1783" spans="1:40" ht="48" x14ac:dyDescent="0.2">
      <c r="A1783" s="1" t="s">
        <v>916</v>
      </c>
      <c r="B1783" s="1" t="s">
        <v>1114</v>
      </c>
      <c r="C1783" s="1" t="s">
        <v>5734</v>
      </c>
      <c r="D1783" s="1">
        <v>45</v>
      </c>
      <c r="E1783" s="1">
        <v>3</v>
      </c>
      <c r="F1783" s="1" t="s">
        <v>920</v>
      </c>
      <c r="G1783" s="1" t="s">
        <v>1115</v>
      </c>
      <c r="I1783" s="1" t="s">
        <v>56</v>
      </c>
      <c r="J1783" s="1" t="s">
        <v>39</v>
      </c>
      <c r="K1783" s="4" t="s">
        <v>1116</v>
      </c>
      <c r="L1783" s="4"/>
      <c r="M1783" s="1">
        <v>1</v>
      </c>
      <c r="V1783" s="4" t="s">
        <v>1117</v>
      </c>
      <c r="AL1783" s="60" t="s">
        <v>30</v>
      </c>
      <c r="AN1783" s="4" t="s">
        <v>30</v>
      </c>
    </row>
    <row r="1784" spans="1:40" ht="48" x14ac:dyDescent="0.2">
      <c r="A1784" s="1" t="s">
        <v>916</v>
      </c>
      <c r="B1784" s="1" t="s">
        <v>1165</v>
      </c>
      <c r="C1784" s="1" t="s">
        <v>5734</v>
      </c>
      <c r="D1784" s="1">
        <v>46</v>
      </c>
      <c r="E1784" s="1">
        <v>3</v>
      </c>
      <c r="F1784" s="1" t="s">
        <v>920</v>
      </c>
      <c r="G1784" s="1" t="s">
        <v>1166</v>
      </c>
      <c r="I1784" s="1" t="s">
        <v>56</v>
      </c>
      <c r="J1784" s="1" t="s">
        <v>44</v>
      </c>
      <c r="K1784" s="4" t="s">
        <v>261</v>
      </c>
      <c r="L1784" s="4" t="s">
        <v>1167</v>
      </c>
      <c r="M1784" s="1">
        <v>0</v>
      </c>
      <c r="V1784" s="4" t="s">
        <v>1168</v>
      </c>
      <c r="AL1784" s="60" t="s">
        <v>30</v>
      </c>
      <c r="AN1784" s="4" t="s">
        <v>30</v>
      </c>
    </row>
    <row r="1785" spans="1:40" ht="48" x14ac:dyDescent="0.2">
      <c r="A1785" s="1" t="s">
        <v>916</v>
      </c>
      <c r="B1785" s="1" t="s">
        <v>1429</v>
      </c>
      <c r="C1785" s="1" t="s">
        <v>5734</v>
      </c>
      <c r="D1785" s="1">
        <v>47</v>
      </c>
      <c r="E1785" s="1">
        <v>3</v>
      </c>
      <c r="F1785" s="1" t="s">
        <v>920</v>
      </c>
      <c r="G1785" s="1" t="s">
        <v>1430</v>
      </c>
      <c r="I1785" s="1" t="s">
        <v>56</v>
      </c>
      <c r="J1785" s="1" t="s">
        <v>39</v>
      </c>
      <c r="K1785" s="4" t="s">
        <v>1084</v>
      </c>
      <c r="L1785" s="4"/>
      <c r="M1785" s="1">
        <v>3</v>
      </c>
      <c r="V1785" s="4" t="s">
        <v>1431</v>
      </c>
      <c r="AL1785" s="60" t="s">
        <v>30</v>
      </c>
      <c r="AN1785" s="4" t="s">
        <v>30</v>
      </c>
    </row>
    <row r="1786" spans="1:40" ht="48" x14ac:dyDescent="0.2">
      <c r="A1786" s="1" t="s">
        <v>916</v>
      </c>
      <c r="B1786" s="1" t="s">
        <v>1383</v>
      </c>
      <c r="C1786" s="1" t="s">
        <v>5734</v>
      </c>
      <c r="D1786" s="1">
        <v>48</v>
      </c>
      <c r="E1786" s="1">
        <v>3</v>
      </c>
      <c r="F1786" s="1" t="s">
        <v>920</v>
      </c>
      <c r="G1786" s="1" t="s">
        <v>1384</v>
      </c>
      <c r="H1786" s="1" t="s">
        <v>26</v>
      </c>
      <c r="I1786" s="1" t="s">
        <v>56</v>
      </c>
      <c r="J1786" s="1" t="s">
        <v>28</v>
      </c>
      <c r="K1786" s="4" t="s">
        <v>474</v>
      </c>
      <c r="L1786" s="4"/>
      <c r="M1786" s="1">
        <v>2</v>
      </c>
      <c r="V1786" s="4" t="s">
        <v>1385</v>
      </c>
      <c r="AL1786" s="60" t="s">
        <v>30</v>
      </c>
      <c r="AN1786" s="4" t="s">
        <v>30</v>
      </c>
    </row>
    <row r="1787" spans="1:40" ht="72" x14ac:dyDescent="0.2">
      <c r="A1787" s="1" t="s">
        <v>916</v>
      </c>
      <c r="B1787" s="1" t="s">
        <v>1273</v>
      </c>
      <c r="C1787" s="1" t="s">
        <v>5734</v>
      </c>
      <c r="D1787" s="1">
        <v>49</v>
      </c>
      <c r="E1787" s="1">
        <v>3</v>
      </c>
      <c r="F1787" s="1" t="s">
        <v>920</v>
      </c>
      <c r="G1787" s="1" t="s">
        <v>1274</v>
      </c>
      <c r="H1787" s="1" t="s">
        <v>26</v>
      </c>
      <c r="I1787" s="1" t="s">
        <v>56</v>
      </c>
      <c r="J1787" s="1" t="s">
        <v>50</v>
      </c>
      <c r="K1787" s="4" t="s">
        <v>196</v>
      </c>
      <c r="L1787" s="4"/>
      <c r="M1787" s="1">
        <v>2</v>
      </c>
      <c r="V1787" s="4" t="s">
        <v>1275</v>
      </c>
      <c r="AL1787" s="60" t="s">
        <v>30</v>
      </c>
      <c r="AN1787" s="4" t="s">
        <v>30</v>
      </c>
    </row>
    <row r="1788" spans="1:40" ht="60" x14ac:dyDescent="0.2">
      <c r="A1788" s="1" t="s">
        <v>916</v>
      </c>
      <c r="B1788" s="1" t="s">
        <v>1082</v>
      </c>
      <c r="C1788" s="1" t="s">
        <v>5734</v>
      </c>
      <c r="D1788" s="1">
        <v>50</v>
      </c>
      <c r="E1788" s="1">
        <v>3</v>
      </c>
      <c r="F1788" s="1" t="s">
        <v>920</v>
      </c>
      <c r="G1788" s="1" t="s">
        <v>1083</v>
      </c>
      <c r="H1788" s="1" t="s">
        <v>26</v>
      </c>
      <c r="I1788" s="1" t="s">
        <v>56</v>
      </c>
      <c r="J1788" s="1" t="s">
        <v>50</v>
      </c>
      <c r="K1788" s="4" t="s">
        <v>1084</v>
      </c>
      <c r="L1788" s="4"/>
      <c r="M1788" s="1">
        <v>2</v>
      </c>
      <c r="V1788" s="4" t="s">
        <v>1085</v>
      </c>
      <c r="AL1788" s="60" t="s">
        <v>30</v>
      </c>
      <c r="AN1788" s="4" t="s">
        <v>30</v>
      </c>
    </row>
    <row r="1789" spans="1:40" ht="36" x14ac:dyDescent="0.2">
      <c r="A1789" s="1" t="s">
        <v>916</v>
      </c>
      <c r="B1789" s="1" t="s">
        <v>1404</v>
      </c>
      <c r="C1789" s="1" t="s">
        <v>5734</v>
      </c>
      <c r="D1789" s="1">
        <v>51</v>
      </c>
      <c r="E1789" s="1">
        <v>3</v>
      </c>
      <c r="F1789" s="1" t="s">
        <v>920</v>
      </c>
      <c r="G1789" s="1" t="s">
        <v>1405</v>
      </c>
      <c r="H1789" s="1" t="s">
        <v>26</v>
      </c>
      <c r="I1789" s="1" t="s">
        <v>56</v>
      </c>
      <c r="J1789" s="1" t="s">
        <v>50</v>
      </c>
      <c r="K1789" s="4" t="s">
        <v>467</v>
      </c>
      <c r="L1789" s="4"/>
      <c r="M1789" s="1">
        <v>1</v>
      </c>
      <c r="V1789" s="4" t="s">
        <v>1406</v>
      </c>
      <c r="AL1789" s="60" t="s">
        <v>30</v>
      </c>
      <c r="AN1789" s="4" t="s">
        <v>30</v>
      </c>
    </row>
    <row r="1790" spans="1:40" ht="96" x14ac:dyDescent="0.2">
      <c r="A1790" s="1" t="s">
        <v>916</v>
      </c>
      <c r="B1790" s="1" t="s">
        <v>1324</v>
      </c>
      <c r="C1790" s="1" t="s">
        <v>5734</v>
      </c>
      <c r="D1790" s="1">
        <v>52</v>
      </c>
      <c r="E1790" s="1">
        <v>3</v>
      </c>
      <c r="F1790" s="1" t="s">
        <v>920</v>
      </c>
      <c r="G1790" s="1" t="s">
        <v>1325</v>
      </c>
      <c r="H1790" s="1" t="s">
        <v>26</v>
      </c>
      <c r="I1790" s="1" t="s">
        <v>56</v>
      </c>
      <c r="J1790" s="1" t="s">
        <v>50</v>
      </c>
      <c r="K1790" s="4" t="s">
        <v>1326</v>
      </c>
      <c r="L1790" s="4"/>
      <c r="M1790" s="1">
        <v>3</v>
      </c>
      <c r="V1790" s="4" t="s">
        <v>1327</v>
      </c>
      <c r="AL1790" s="60" t="s">
        <v>30</v>
      </c>
      <c r="AN1790" s="4" t="s">
        <v>30</v>
      </c>
    </row>
    <row r="1791" spans="1:40" ht="60" x14ac:dyDescent="0.2">
      <c r="A1791" s="1" t="s">
        <v>916</v>
      </c>
      <c r="B1791" s="1" t="s">
        <v>1314</v>
      </c>
      <c r="C1791" s="1" t="s">
        <v>5734</v>
      </c>
      <c r="D1791" s="1">
        <v>53</v>
      </c>
      <c r="E1791" s="1">
        <v>3</v>
      </c>
      <c r="F1791" s="1" t="s">
        <v>920</v>
      </c>
      <c r="G1791" s="1" t="s">
        <v>1315</v>
      </c>
      <c r="H1791" s="1" t="s">
        <v>26</v>
      </c>
      <c r="I1791" s="1" t="s">
        <v>56</v>
      </c>
      <c r="J1791" s="1" t="s">
        <v>57</v>
      </c>
      <c r="K1791" s="4" t="s">
        <v>474</v>
      </c>
      <c r="L1791" s="4"/>
      <c r="M1791" s="1">
        <v>0</v>
      </c>
      <c r="V1791" s="4" t="s">
        <v>1316</v>
      </c>
      <c r="AL1791" s="60" t="s">
        <v>30</v>
      </c>
      <c r="AN1791" s="4" t="s">
        <v>30</v>
      </c>
    </row>
    <row r="1792" spans="1:40" ht="60" x14ac:dyDescent="0.2">
      <c r="A1792" s="1" t="s">
        <v>916</v>
      </c>
      <c r="B1792" s="1" t="s">
        <v>1367</v>
      </c>
      <c r="C1792" s="1" t="s">
        <v>5734</v>
      </c>
      <c r="D1792" s="1">
        <v>54</v>
      </c>
      <c r="E1792" s="1">
        <v>3</v>
      </c>
      <c r="F1792" s="1" t="s">
        <v>920</v>
      </c>
      <c r="G1792" s="1" t="s">
        <v>1368</v>
      </c>
      <c r="H1792" s="1" t="s">
        <v>26</v>
      </c>
      <c r="I1792" s="1" t="s">
        <v>56</v>
      </c>
      <c r="J1792" s="1" t="s">
        <v>971</v>
      </c>
      <c r="K1792" s="4" t="s">
        <v>196</v>
      </c>
      <c r="L1792" s="4" t="s">
        <v>1369</v>
      </c>
      <c r="M1792" s="1">
        <v>2</v>
      </c>
      <c r="V1792" s="4" t="s">
        <v>1370</v>
      </c>
      <c r="AL1792" s="60" t="s">
        <v>30</v>
      </c>
      <c r="AN1792" s="4" t="s">
        <v>30</v>
      </c>
    </row>
    <row r="1793" spans="1:40" ht="36" x14ac:dyDescent="0.2">
      <c r="A1793" s="1" t="s">
        <v>916</v>
      </c>
      <c r="B1793" s="1" t="s">
        <v>1494</v>
      </c>
      <c r="C1793" s="1" t="s">
        <v>5734</v>
      </c>
      <c r="D1793" s="1">
        <v>55</v>
      </c>
      <c r="E1793" s="1">
        <v>3</v>
      </c>
      <c r="F1793" s="1" t="s">
        <v>920</v>
      </c>
      <c r="G1793" s="1" t="s">
        <v>1495</v>
      </c>
      <c r="I1793" s="1" t="s">
        <v>63</v>
      </c>
      <c r="J1793" s="1" t="s">
        <v>28</v>
      </c>
      <c r="K1793" s="4"/>
      <c r="L1793" s="4"/>
      <c r="M1793" s="1">
        <v>3</v>
      </c>
      <c r="V1793" s="4" t="s">
        <v>1496</v>
      </c>
      <c r="AL1793" s="60" t="s">
        <v>30</v>
      </c>
      <c r="AN1793" s="4" t="s">
        <v>30</v>
      </c>
    </row>
    <row r="1794" spans="1:40" ht="48" x14ac:dyDescent="0.2">
      <c r="A1794" s="1" t="s">
        <v>916</v>
      </c>
      <c r="B1794" s="1" t="s">
        <v>917</v>
      </c>
      <c r="C1794" s="1" t="s">
        <v>5734</v>
      </c>
      <c r="D1794" s="1">
        <v>56</v>
      </c>
      <c r="E1794" s="1">
        <v>3</v>
      </c>
      <c r="F1794" s="1" t="s">
        <v>920</v>
      </c>
      <c r="G1794" s="1" t="s">
        <v>918</v>
      </c>
      <c r="I1794" s="1" t="s">
        <v>63</v>
      </c>
      <c r="J1794" s="1" t="s">
        <v>57</v>
      </c>
      <c r="K1794" s="4" t="s">
        <v>261</v>
      </c>
      <c r="L1794" s="4"/>
      <c r="M1794" s="1">
        <v>3</v>
      </c>
      <c r="V1794" s="4" t="s">
        <v>919</v>
      </c>
      <c r="AL1794" s="60" t="s">
        <v>30</v>
      </c>
      <c r="AN1794" s="4" t="s">
        <v>30</v>
      </c>
    </row>
    <row r="1795" spans="1:40" x14ac:dyDescent="0.2">
      <c r="A1795" s="1" t="s">
        <v>916</v>
      </c>
      <c r="B1795" s="1" t="s">
        <v>1212</v>
      </c>
      <c r="C1795" s="1" t="s">
        <v>5734</v>
      </c>
      <c r="D1795" s="1">
        <v>57</v>
      </c>
      <c r="E1795" s="1">
        <v>3</v>
      </c>
      <c r="F1795" s="1" t="s">
        <v>920</v>
      </c>
      <c r="G1795" s="1" t="s">
        <v>1213</v>
      </c>
      <c r="I1795" s="1" t="s">
        <v>63</v>
      </c>
      <c r="J1795" s="1" t="s">
        <v>57</v>
      </c>
      <c r="K1795" s="4"/>
      <c r="L1795" s="4"/>
      <c r="M1795" s="1">
        <v>2</v>
      </c>
      <c r="V1795" s="4" t="s">
        <v>1214</v>
      </c>
      <c r="AL1795" s="60" t="s">
        <v>30</v>
      </c>
      <c r="AN1795" s="4" t="s">
        <v>30</v>
      </c>
    </row>
    <row r="1796" spans="1:40" ht="24" x14ac:dyDescent="0.2">
      <c r="A1796" s="1" t="s">
        <v>916</v>
      </c>
      <c r="B1796" s="1" t="s">
        <v>925</v>
      </c>
      <c r="C1796" s="1" t="s">
        <v>5734</v>
      </c>
      <c r="D1796" s="1">
        <v>58</v>
      </c>
      <c r="E1796" s="1">
        <v>3</v>
      </c>
      <c r="F1796" s="1" t="s">
        <v>920</v>
      </c>
      <c r="G1796" s="1" t="s">
        <v>926</v>
      </c>
      <c r="I1796" s="1" t="s">
        <v>63</v>
      </c>
      <c r="J1796" s="1" t="s">
        <v>57</v>
      </c>
      <c r="K1796" s="4" t="s">
        <v>324</v>
      </c>
      <c r="L1796" s="4"/>
      <c r="M1796" s="1">
        <v>2</v>
      </c>
      <c r="V1796" s="4" t="s">
        <v>927</v>
      </c>
      <c r="AL1796" s="60" t="s">
        <v>30</v>
      </c>
      <c r="AN1796" s="4" t="s">
        <v>30</v>
      </c>
    </row>
    <row r="1797" spans="1:40" ht="24" x14ac:dyDescent="0.2">
      <c r="A1797" s="1" t="s">
        <v>916</v>
      </c>
      <c r="B1797" s="1" t="s">
        <v>1007</v>
      </c>
      <c r="C1797" s="1" t="s">
        <v>5734</v>
      </c>
      <c r="D1797" s="1">
        <v>59</v>
      </c>
      <c r="E1797" s="1">
        <v>3</v>
      </c>
      <c r="F1797" s="1" t="s">
        <v>920</v>
      </c>
      <c r="G1797" s="1" t="s">
        <v>1008</v>
      </c>
      <c r="I1797" s="1" t="s">
        <v>63</v>
      </c>
      <c r="J1797" s="1" t="s">
        <v>57</v>
      </c>
      <c r="K1797" s="4" t="s">
        <v>324</v>
      </c>
      <c r="L1797" s="4"/>
      <c r="M1797" s="1">
        <v>1</v>
      </c>
      <c r="V1797" s="4" t="s">
        <v>1009</v>
      </c>
      <c r="AL1797" s="60" t="s">
        <v>30</v>
      </c>
      <c r="AN1797" s="4" t="s">
        <v>30</v>
      </c>
    </row>
    <row r="1798" spans="1:40" ht="36" x14ac:dyDescent="0.2">
      <c r="A1798" s="1" t="s">
        <v>916</v>
      </c>
      <c r="B1798" s="1" t="s">
        <v>1258</v>
      </c>
      <c r="C1798" s="1" t="s">
        <v>5734</v>
      </c>
      <c r="D1798" s="1">
        <v>60</v>
      </c>
      <c r="E1798" s="1">
        <v>3</v>
      </c>
      <c r="F1798" s="1" t="s">
        <v>920</v>
      </c>
      <c r="G1798" s="1" t="s">
        <v>1259</v>
      </c>
      <c r="I1798" s="1" t="s">
        <v>63</v>
      </c>
      <c r="J1798" s="1" t="s">
        <v>39</v>
      </c>
      <c r="K1798" s="4" t="s">
        <v>1077</v>
      </c>
      <c r="L1798" s="4"/>
      <c r="M1798" s="1">
        <v>3</v>
      </c>
      <c r="U1798" s="1">
        <v>1</v>
      </c>
      <c r="V1798" s="4" t="s">
        <v>1260</v>
      </c>
      <c r="AL1798" s="60" t="s">
        <v>30</v>
      </c>
      <c r="AN1798" s="4" t="s">
        <v>30</v>
      </c>
    </row>
    <row r="1799" spans="1:40" ht="24" x14ac:dyDescent="0.2">
      <c r="A1799" s="1" t="s">
        <v>916</v>
      </c>
      <c r="B1799" s="1" t="s">
        <v>1126</v>
      </c>
      <c r="C1799" s="1" t="s">
        <v>5734</v>
      </c>
      <c r="D1799" s="1">
        <v>61</v>
      </c>
      <c r="E1799" s="1">
        <v>3</v>
      </c>
      <c r="F1799" s="1" t="s">
        <v>920</v>
      </c>
      <c r="G1799" s="1" t="s">
        <v>1127</v>
      </c>
      <c r="I1799" s="1" t="s">
        <v>63</v>
      </c>
      <c r="J1799" s="1" t="s">
        <v>39</v>
      </c>
      <c r="K1799" s="4"/>
      <c r="L1799" s="4"/>
      <c r="M1799" s="1">
        <v>1</v>
      </c>
      <c r="V1799" s="4" t="s">
        <v>1128</v>
      </c>
      <c r="AL1799" s="60" t="s">
        <v>30</v>
      </c>
      <c r="AN1799" s="4" t="s">
        <v>30</v>
      </c>
    </row>
    <row r="1800" spans="1:40" ht="36" x14ac:dyDescent="0.2">
      <c r="A1800" s="1" t="s">
        <v>916</v>
      </c>
      <c r="B1800" s="1" t="s">
        <v>1401</v>
      </c>
      <c r="C1800" s="1" t="s">
        <v>5734</v>
      </c>
      <c r="D1800" s="1">
        <v>62</v>
      </c>
      <c r="E1800" s="1">
        <v>3</v>
      </c>
      <c r="F1800" s="1" t="s">
        <v>920</v>
      </c>
      <c r="G1800" s="1" t="s">
        <v>1402</v>
      </c>
      <c r="I1800" s="1" t="s">
        <v>63</v>
      </c>
      <c r="J1800" s="1" t="s">
        <v>44</v>
      </c>
      <c r="K1800" s="4"/>
      <c r="L1800" s="4"/>
      <c r="M1800" s="1">
        <v>0</v>
      </c>
      <c r="V1800" s="4" t="s">
        <v>1403</v>
      </c>
      <c r="AL1800" s="60" t="s">
        <v>30</v>
      </c>
      <c r="AN1800" s="4" t="s">
        <v>30</v>
      </c>
    </row>
    <row r="1801" spans="1:40" ht="36" x14ac:dyDescent="0.2">
      <c r="A1801" s="1" t="s">
        <v>916</v>
      </c>
      <c r="B1801" s="1" t="s">
        <v>1331</v>
      </c>
      <c r="C1801" s="1" t="s">
        <v>5734</v>
      </c>
      <c r="D1801" s="1">
        <v>63</v>
      </c>
      <c r="E1801" s="1">
        <v>3</v>
      </c>
      <c r="F1801" s="1" t="s">
        <v>920</v>
      </c>
      <c r="G1801" s="1" t="s">
        <v>1332</v>
      </c>
      <c r="I1801" s="1" t="s">
        <v>63</v>
      </c>
      <c r="J1801" s="1" t="s">
        <v>28</v>
      </c>
      <c r="K1801" s="4"/>
      <c r="L1801" s="4"/>
      <c r="M1801" s="1">
        <v>2</v>
      </c>
      <c r="V1801" s="4" t="s">
        <v>1333</v>
      </c>
      <c r="AL1801" s="60" t="s">
        <v>30</v>
      </c>
      <c r="AN1801" s="4" t="s">
        <v>30</v>
      </c>
    </row>
    <row r="1802" spans="1:40" ht="36" x14ac:dyDescent="0.2">
      <c r="A1802" s="1" t="s">
        <v>916</v>
      </c>
      <c r="B1802" s="1" t="s">
        <v>1147</v>
      </c>
      <c r="C1802" s="1" t="s">
        <v>5734</v>
      </c>
      <c r="D1802" s="1">
        <v>64</v>
      </c>
      <c r="E1802" s="1">
        <v>3</v>
      </c>
      <c r="F1802" s="1" t="s">
        <v>920</v>
      </c>
      <c r="G1802" s="1" t="s">
        <v>1148</v>
      </c>
      <c r="I1802" s="1" t="s">
        <v>63</v>
      </c>
      <c r="J1802" s="1" t="s">
        <v>39</v>
      </c>
      <c r="K1802" s="4" t="s">
        <v>1149</v>
      </c>
      <c r="L1802" s="4"/>
      <c r="M1802" s="1">
        <v>2</v>
      </c>
      <c r="V1802" s="4" t="s">
        <v>1150</v>
      </c>
      <c r="AL1802" s="60" t="s">
        <v>30</v>
      </c>
      <c r="AN1802" s="4" t="s">
        <v>30</v>
      </c>
    </row>
    <row r="1803" spans="1:40" ht="36" x14ac:dyDescent="0.2">
      <c r="A1803" s="1" t="s">
        <v>916</v>
      </c>
      <c r="B1803" s="1" t="s">
        <v>1497</v>
      </c>
      <c r="C1803" s="1" t="s">
        <v>5734</v>
      </c>
      <c r="D1803" s="1">
        <v>65</v>
      </c>
      <c r="E1803" s="1">
        <v>3</v>
      </c>
      <c r="F1803" s="1" t="s">
        <v>920</v>
      </c>
      <c r="G1803" s="1" t="s">
        <v>1498</v>
      </c>
      <c r="I1803" s="1" t="s">
        <v>63</v>
      </c>
      <c r="J1803" s="1" t="s">
        <v>50</v>
      </c>
      <c r="K1803" s="4"/>
      <c r="L1803" s="4"/>
      <c r="M1803" s="1">
        <v>1</v>
      </c>
      <c r="V1803" s="4" t="s">
        <v>1499</v>
      </c>
      <c r="AL1803" s="60" t="s">
        <v>30</v>
      </c>
      <c r="AN1803" s="4" t="s">
        <v>30</v>
      </c>
    </row>
    <row r="1804" spans="1:40" ht="24" x14ac:dyDescent="0.2">
      <c r="A1804" s="1" t="s">
        <v>916</v>
      </c>
      <c r="B1804" s="1" t="s">
        <v>1545</v>
      </c>
      <c r="C1804" s="1" t="s">
        <v>5734</v>
      </c>
      <c r="D1804" s="1">
        <v>66</v>
      </c>
      <c r="E1804" s="1">
        <v>3</v>
      </c>
      <c r="F1804" s="1" t="s">
        <v>920</v>
      </c>
      <c r="G1804" s="1" t="s">
        <v>1546</v>
      </c>
      <c r="I1804" s="1" t="s">
        <v>63</v>
      </c>
      <c r="J1804" s="1" t="s">
        <v>50</v>
      </c>
      <c r="K1804" s="4"/>
      <c r="L1804" s="4"/>
      <c r="M1804" s="1">
        <v>3</v>
      </c>
      <c r="V1804" s="4" t="s">
        <v>1547</v>
      </c>
      <c r="AL1804" s="60" t="s">
        <v>30</v>
      </c>
      <c r="AN1804" s="4" t="s">
        <v>30</v>
      </c>
    </row>
    <row r="1805" spans="1:40" ht="36" x14ac:dyDescent="0.2">
      <c r="A1805" s="1" t="s">
        <v>916</v>
      </c>
      <c r="B1805" s="1" t="s">
        <v>1423</v>
      </c>
      <c r="C1805" s="1" t="s">
        <v>5734</v>
      </c>
      <c r="D1805" s="1">
        <v>67</v>
      </c>
      <c r="E1805" s="1">
        <v>3</v>
      </c>
      <c r="F1805" s="1" t="s">
        <v>920</v>
      </c>
      <c r="G1805" s="1" t="s">
        <v>1424</v>
      </c>
      <c r="I1805" s="1" t="s">
        <v>63</v>
      </c>
      <c r="J1805" s="1" t="s">
        <v>50</v>
      </c>
      <c r="K1805" s="4"/>
      <c r="L1805" s="4"/>
      <c r="M1805" s="1">
        <v>1</v>
      </c>
      <c r="V1805" s="4" t="s">
        <v>1425</v>
      </c>
      <c r="AL1805" s="60" t="s">
        <v>30</v>
      </c>
      <c r="AN1805" s="4" t="s">
        <v>30</v>
      </c>
    </row>
    <row r="1806" spans="1:40" ht="24" x14ac:dyDescent="0.2">
      <c r="A1806" s="1" t="s">
        <v>916</v>
      </c>
      <c r="B1806" s="1" t="s">
        <v>1051</v>
      </c>
      <c r="C1806" s="1" t="s">
        <v>5734</v>
      </c>
      <c r="D1806" s="1">
        <v>68</v>
      </c>
      <c r="E1806" s="1">
        <v>3</v>
      </c>
      <c r="F1806" s="1" t="s">
        <v>920</v>
      </c>
      <c r="G1806" s="1" t="s">
        <v>1052</v>
      </c>
      <c r="I1806" s="1" t="s">
        <v>63</v>
      </c>
      <c r="J1806" s="1" t="s">
        <v>57</v>
      </c>
      <c r="K1806" s="4"/>
      <c r="L1806" s="4"/>
      <c r="M1806" s="1">
        <v>1</v>
      </c>
      <c r="V1806" s="4" t="s">
        <v>1053</v>
      </c>
      <c r="AL1806" s="60" t="s">
        <v>30</v>
      </c>
      <c r="AN1806" s="4" t="s">
        <v>30</v>
      </c>
    </row>
    <row r="1807" spans="1:40" ht="24" x14ac:dyDescent="0.2">
      <c r="A1807" s="1" t="s">
        <v>916</v>
      </c>
      <c r="B1807" s="1" t="s">
        <v>1562</v>
      </c>
      <c r="C1807" s="1" t="s">
        <v>5734</v>
      </c>
      <c r="D1807" s="1">
        <v>69</v>
      </c>
      <c r="E1807" s="1">
        <v>3</v>
      </c>
      <c r="F1807" s="1" t="s">
        <v>920</v>
      </c>
      <c r="G1807" s="1" t="s">
        <v>1563</v>
      </c>
      <c r="I1807" s="1" t="s">
        <v>63</v>
      </c>
      <c r="J1807" s="1" t="s">
        <v>28</v>
      </c>
      <c r="K1807" s="4" t="s">
        <v>1159</v>
      </c>
      <c r="L1807" s="4"/>
      <c r="M1807" s="1">
        <v>1</v>
      </c>
      <c r="V1807" s="4" t="s">
        <v>1564</v>
      </c>
      <c r="AL1807" s="60" t="s">
        <v>30</v>
      </c>
      <c r="AN1807" s="4" t="s">
        <v>30</v>
      </c>
    </row>
    <row r="1808" spans="1:40" ht="36" x14ac:dyDescent="0.2">
      <c r="A1808" s="1" t="s">
        <v>916</v>
      </c>
      <c r="B1808" s="1" t="s">
        <v>1407</v>
      </c>
      <c r="C1808" s="1" t="s">
        <v>5734</v>
      </c>
      <c r="D1808" s="1">
        <v>70</v>
      </c>
      <c r="E1808" s="1">
        <v>3</v>
      </c>
      <c r="F1808" s="1" t="s">
        <v>920</v>
      </c>
      <c r="G1808" s="1" t="s">
        <v>1408</v>
      </c>
      <c r="I1808" s="1" t="s">
        <v>63</v>
      </c>
      <c r="J1808" s="1" t="s">
        <v>28</v>
      </c>
      <c r="K1808" s="4" t="s">
        <v>1319</v>
      </c>
      <c r="L1808" s="4"/>
      <c r="M1808" s="1">
        <v>0</v>
      </c>
      <c r="V1808" s="4" t="s">
        <v>1409</v>
      </c>
      <c r="AL1808" s="60" t="s">
        <v>30</v>
      </c>
      <c r="AN1808" s="4" t="s">
        <v>30</v>
      </c>
    </row>
    <row r="1809" spans="1:44" ht="24" x14ac:dyDescent="0.2">
      <c r="A1809" s="1" t="s">
        <v>916</v>
      </c>
      <c r="B1809" s="1" t="s">
        <v>1069</v>
      </c>
      <c r="C1809" s="1" t="s">
        <v>5734</v>
      </c>
      <c r="D1809" s="1">
        <v>71</v>
      </c>
      <c r="E1809" s="1">
        <v>3</v>
      </c>
      <c r="F1809" s="1" t="s">
        <v>920</v>
      </c>
      <c r="G1809" s="1" t="s">
        <v>1070</v>
      </c>
      <c r="I1809" s="1" t="s">
        <v>63</v>
      </c>
      <c r="J1809" s="1" t="s">
        <v>39</v>
      </c>
      <c r="K1809" s="4"/>
      <c r="L1809" s="4"/>
      <c r="M1809" s="1">
        <v>1</v>
      </c>
      <c r="V1809" s="4" t="s">
        <v>1071</v>
      </c>
      <c r="AL1809" s="60" t="s">
        <v>30</v>
      </c>
      <c r="AN1809" s="4" t="s">
        <v>30</v>
      </c>
    </row>
    <row r="1810" spans="1:44" ht="72" x14ac:dyDescent="0.2">
      <c r="A1810" s="1" t="s">
        <v>916</v>
      </c>
      <c r="B1810" s="1" t="s">
        <v>1317</v>
      </c>
      <c r="C1810" s="1" t="s">
        <v>5734</v>
      </c>
      <c r="D1810" s="1">
        <v>72</v>
      </c>
      <c r="E1810" s="1">
        <v>3</v>
      </c>
      <c r="F1810" s="1" t="s">
        <v>920</v>
      </c>
      <c r="G1810" s="1" t="s">
        <v>1318</v>
      </c>
      <c r="I1810" s="1" t="s">
        <v>63</v>
      </c>
      <c r="J1810" s="1" t="s">
        <v>39</v>
      </c>
      <c r="K1810" s="4" t="s">
        <v>1319</v>
      </c>
      <c r="L1810" s="4"/>
      <c r="M1810" s="1">
        <v>1</v>
      </c>
      <c r="V1810" s="4" t="s">
        <v>1320</v>
      </c>
      <c r="AL1810" s="60" t="s">
        <v>30</v>
      </c>
      <c r="AN1810" s="4" t="s">
        <v>30</v>
      </c>
    </row>
    <row r="1811" spans="1:44" ht="60" x14ac:dyDescent="0.2">
      <c r="A1811" s="1" t="s">
        <v>916</v>
      </c>
      <c r="B1811" s="1" t="s">
        <v>1328</v>
      </c>
      <c r="C1811" s="1" t="s">
        <v>5734</v>
      </c>
      <c r="D1811" s="1">
        <v>73</v>
      </c>
      <c r="E1811" s="1">
        <v>3</v>
      </c>
      <c r="F1811" s="1" t="s">
        <v>920</v>
      </c>
      <c r="G1811" s="1" t="s">
        <v>1329</v>
      </c>
      <c r="I1811" s="1" t="s">
        <v>63</v>
      </c>
      <c r="J1811" s="1" t="s">
        <v>39</v>
      </c>
      <c r="K1811" s="4" t="s">
        <v>1319</v>
      </c>
      <c r="L1811" s="4"/>
      <c r="M1811" s="1">
        <v>2</v>
      </c>
      <c r="V1811" s="4" t="s">
        <v>1330</v>
      </c>
      <c r="AL1811" s="60" t="s">
        <v>30</v>
      </c>
      <c r="AN1811" s="4" t="s">
        <v>30</v>
      </c>
    </row>
    <row r="1812" spans="1:44" ht="24" x14ac:dyDescent="0.2">
      <c r="A1812" s="1" t="s">
        <v>916</v>
      </c>
      <c r="B1812" s="1" t="s">
        <v>1410</v>
      </c>
      <c r="C1812" s="1" t="s">
        <v>5734</v>
      </c>
      <c r="D1812" s="1">
        <v>74</v>
      </c>
      <c r="E1812" s="1">
        <v>3</v>
      </c>
      <c r="F1812" s="1" t="s">
        <v>920</v>
      </c>
      <c r="G1812" s="1" t="s">
        <v>1411</v>
      </c>
      <c r="I1812" s="1" t="s">
        <v>63</v>
      </c>
      <c r="J1812" s="1" t="s">
        <v>50</v>
      </c>
      <c r="K1812" s="4"/>
      <c r="L1812" s="4"/>
      <c r="M1812" s="1">
        <v>0</v>
      </c>
      <c r="V1812" s="4" t="s">
        <v>1412</v>
      </c>
      <c r="AL1812" s="60" t="s">
        <v>30</v>
      </c>
      <c r="AN1812" s="4" t="s">
        <v>30</v>
      </c>
      <c r="AR1812" s="4"/>
    </row>
    <row r="1813" spans="1:44" ht="36" x14ac:dyDescent="0.2">
      <c r="A1813" s="1" t="s">
        <v>916</v>
      </c>
      <c r="B1813" s="1" t="s">
        <v>1248</v>
      </c>
      <c r="C1813" s="1" t="s">
        <v>5734</v>
      </c>
      <c r="D1813" s="1">
        <v>75</v>
      </c>
      <c r="E1813" s="1">
        <v>3</v>
      </c>
      <c r="F1813" s="1" t="s">
        <v>920</v>
      </c>
      <c r="G1813" s="1" t="s">
        <v>1249</v>
      </c>
      <c r="I1813" s="1" t="s">
        <v>63</v>
      </c>
      <c r="J1813" s="1" t="s">
        <v>28</v>
      </c>
      <c r="K1813" s="4"/>
      <c r="L1813" s="4"/>
      <c r="M1813" s="1">
        <v>1</v>
      </c>
      <c r="V1813" s="4" t="s">
        <v>1250</v>
      </c>
      <c r="AL1813" s="60" t="s">
        <v>30</v>
      </c>
      <c r="AN1813" s="4" t="s">
        <v>30</v>
      </c>
      <c r="AR1813" s="4"/>
    </row>
    <row r="1814" spans="1:44" ht="36" x14ac:dyDescent="0.2">
      <c r="A1814" s="1" t="s">
        <v>916</v>
      </c>
      <c r="B1814" s="1" t="s">
        <v>1432</v>
      </c>
      <c r="C1814" s="1" t="s">
        <v>5734</v>
      </c>
      <c r="D1814" s="1">
        <v>76</v>
      </c>
      <c r="E1814" s="1">
        <v>3</v>
      </c>
      <c r="F1814" s="1" t="s">
        <v>920</v>
      </c>
      <c r="G1814" s="1" t="s">
        <v>1433</v>
      </c>
      <c r="I1814" s="1" t="s">
        <v>63</v>
      </c>
      <c r="J1814" s="1" t="s">
        <v>50</v>
      </c>
      <c r="K1814" s="4"/>
      <c r="L1814" s="4"/>
      <c r="M1814" s="1">
        <v>1</v>
      </c>
      <c r="V1814" s="4" t="s">
        <v>1434</v>
      </c>
      <c r="AL1814" s="60" t="s">
        <v>30</v>
      </c>
      <c r="AN1814" s="4" t="s">
        <v>30</v>
      </c>
      <c r="AR1814" s="4"/>
    </row>
    <row r="1815" spans="1:44" ht="36" x14ac:dyDescent="0.2">
      <c r="A1815" s="1" t="s">
        <v>916</v>
      </c>
      <c r="B1815" s="1" t="s">
        <v>1100</v>
      </c>
      <c r="C1815" s="1" t="s">
        <v>5734</v>
      </c>
      <c r="D1815" s="1">
        <v>77</v>
      </c>
      <c r="E1815" s="1">
        <v>3</v>
      </c>
      <c r="F1815" s="1" t="s">
        <v>920</v>
      </c>
      <c r="G1815" s="1" t="s">
        <v>1101</v>
      </c>
      <c r="I1815" s="1" t="s">
        <v>63</v>
      </c>
      <c r="J1815" s="1" t="s">
        <v>57</v>
      </c>
      <c r="K1815" s="4" t="s">
        <v>324</v>
      </c>
      <c r="L1815" s="4"/>
      <c r="M1815" s="1">
        <v>0</v>
      </c>
      <c r="V1815" s="4" t="s">
        <v>1102</v>
      </c>
      <c r="AL1815" s="60" t="s">
        <v>30</v>
      </c>
      <c r="AN1815" s="4" t="s">
        <v>30</v>
      </c>
      <c r="AR1815" s="4"/>
    </row>
    <row r="1816" spans="1:44" ht="72" x14ac:dyDescent="0.2">
      <c r="A1816" s="1" t="s">
        <v>916</v>
      </c>
      <c r="B1816" s="1" t="s">
        <v>1185</v>
      </c>
      <c r="C1816" s="1" t="s">
        <v>5734</v>
      </c>
      <c r="D1816" s="1">
        <v>78</v>
      </c>
      <c r="E1816" s="1">
        <v>3</v>
      </c>
      <c r="F1816" s="1" t="s">
        <v>920</v>
      </c>
      <c r="G1816" s="1" t="s">
        <v>1186</v>
      </c>
      <c r="I1816" s="1" t="s">
        <v>63</v>
      </c>
      <c r="J1816" s="1" t="s">
        <v>28</v>
      </c>
      <c r="K1816" s="4"/>
      <c r="L1816" s="4"/>
      <c r="M1816" s="1">
        <v>1</v>
      </c>
      <c r="V1816" s="4" t="s">
        <v>1187</v>
      </c>
      <c r="AL1816" s="60" t="s">
        <v>30</v>
      </c>
      <c r="AN1816" s="4" t="s">
        <v>30</v>
      </c>
      <c r="AR1816" s="4"/>
    </row>
    <row r="1817" spans="1:44" ht="48" x14ac:dyDescent="0.2">
      <c r="A1817" s="1" t="s">
        <v>916</v>
      </c>
      <c r="B1817" s="1" t="s">
        <v>1255</v>
      </c>
      <c r="C1817" s="1" t="s">
        <v>5734</v>
      </c>
      <c r="D1817" s="1">
        <v>79</v>
      </c>
      <c r="E1817" s="1">
        <v>3</v>
      </c>
      <c r="F1817" s="1" t="s">
        <v>920</v>
      </c>
      <c r="G1817" s="1" t="s">
        <v>1256</v>
      </c>
      <c r="I1817" s="1" t="s">
        <v>63</v>
      </c>
      <c r="J1817" s="1" t="s">
        <v>50</v>
      </c>
      <c r="K1817" s="4"/>
      <c r="L1817" s="4"/>
      <c r="M1817" s="1">
        <v>1</v>
      </c>
      <c r="V1817" s="4" t="s">
        <v>1257</v>
      </c>
      <c r="AL1817" s="60" t="s">
        <v>30</v>
      </c>
      <c r="AN1817" s="4" t="s">
        <v>30</v>
      </c>
      <c r="AR1817" s="4"/>
    </row>
    <row r="1818" spans="1:44" ht="60" x14ac:dyDescent="0.2">
      <c r="A1818" s="1" t="s">
        <v>916</v>
      </c>
      <c r="B1818" s="1" t="s">
        <v>1269</v>
      </c>
      <c r="C1818" s="1" t="s">
        <v>5734</v>
      </c>
      <c r="D1818" s="1">
        <v>80</v>
      </c>
      <c r="E1818" s="1">
        <v>1</v>
      </c>
      <c r="F1818" s="1" t="s">
        <v>920</v>
      </c>
      <c r="G1818" s="1" t="s">
        <v>1270</v>
      </c>
      <c r="H1818" s="1" t="s">
        <v>26</v>
      </c>
      <c r="I1818" s="1" t="s">
        <v>27</v>
      </c>
      <c r="J1818" s="1" t="s">
        <v>971</v>
      </c>
      <c r="K1818" s="4" t="s">
        <v>1271</v>
      </c>
      <c r="L1818" s="4"/>
      <c r="M1818" s="1">
        <v>12</v>
      </c>
      <c r="P1818" s="56">
        <v>3</v>
      </c>
      <c r="Q1818" s="57">
        <v>4</v>
      </c>
      <c r="R1818" s="58">
        <v>1</v>
      </c>
      <c r="S1818" s="59">
        <v>5</v>
      </c>
      <c r="V1818" s="4" t="s">
        <v>1272</v>
      </c>
      <c r="AL1818" s="60" t="s">
        <v>30</v>
      </c>
      <c r="AN1818" s="4" t="s">
        <v>30</v>
      </c>
      <c r="AR1818" s="4"/>
    </row>
    <row r="1819" spans="1:44" ht="72" x14ac:dyDescent="0.2">
      <c r="A1819" s="1" t="s">
        <v>916</v>
      </c>
      <c r="B1819" s="1" t="s">
        <v>1043</v>
      </c>
      <c r="C1819" s="1" t="s">
        <v>5734</v>
      </c>
      <c r="D1819" s="1">
        <v>81</v>
      </c>
      <c r="E1819" s="1">
        <v>1</v>
      </c>
      <c r="F1819" s="1" t="s">
        <v>920</v>
      </c>
      <c r="G1819" s="1" t="s">
        <v>1044</v>
      </c>
      <c r="H1819" s="1" t="s">
        <v>26</v>
      </c>
      <c r="I1819" s="1" t="s">
        <v>27</v>
      </c>
      <c r="J1819" s="1" t="s">
        <v>971</v>
      </c>
      <c r="K1819" s="4" t="s">
        <v>1017</v>
      </c>
      <c r="L1819" s="4"/>
      <c r="M1819" s="1">
        <v>7</v>
      </c>
      <c r="P1819" s="56">
        <v>3</v>
      </c>
      <c r="Q1819" s="57">
        <v>1</v>
      </c>
      <c r="R1819" s="58">
        <v>2</v>
      </c>
      <c r="S1819" s="59">
        <v>4</v>
      </c>
      <c r="V1819" s="4" t="s">
        <v>1045</v>
      </c>
      <c r="AL1819" s="60" t="s">
        <v>30</v>
      </c>
      <c r="AN1819" s="4" t="s">
        <v>30</v>
      </c>
    </row>
    <row r="1820" spans="1:44" ht="72" x14ac:dyDescent="0.2">
      <c r="A1820" s="1" t="s">
        <v>916</v>
      </c>
      <c r="B1820" s="1" t="s">
        <v>1092</v>
      </c>
      <c r="C1820" s="1" t="s">
        <v>5734</v>
      </c>
      <c r="D1820" s="1">
        <v>82</v>
      </c>
      <c r="E1820" s="1">
        <v>1</v>
      </c>
      <c r="F1820" s="1" t="s">
        <v>920</v>
      </c>
      <c r="G1820" s="1" t="s">
        <v>1093</v>
      </c>
      <c r="H1820" s="1" t="s">
        <v>26</v>
      </c>
      <c r="I1820" s="1" t="s">
        <v>27</v>
      </c>
      <c r="J1820" s="1" t="s">
        <v>971</v>
      </c>
      <c r="K1820" s="4" t="s">
        <v>1094</v>
      </c>
      <c r="L1820" s="4"/>
      <c r="M1820" s="1">
        <v>9</v>
      </c>
      <c r="P1820" s="56">
        <v>1</v>
      </c>
      <c r="Q1820" s="57">
        <v>2</v>
      </c>
      <c r="R1820" s="58">
        <v>2</v>
      </c>
      <c r="S1820" s="59">
        <v>4</v>
      </c>
      <c r="V1820" s="4" t="s">
        <v>1095</v>
      </c>
      <c r="AL1820" s="60" t="s">
        <v>30</v>
      </c>
      <c r="AN1820" s="4" t="s">
        <v>30</v>
      </c>
      <c r="AR1820" s="4"/>
    </row>
    <row r="1821" spans="1:44" ht="48" x14ac:dyDescent="0.2">
      <c r="A1821" s="1" t="s">
        <v>916</v>
      </c>
      <c r="B1821" s="1" t="s">
        <v>1481</v>
      </c>
      <c r="C1821" s="1" t="s">
        <v>5734</v>
      </c>
      <c r="D1821" s="1">
        <v>83</v>
      </c>
      <c r="E1821" s="1">
        <v>3</v>
      </c>
      <c r="F1821" s="1" t="s">
        <v>920</v>
      </c>
      <c r="G1821" s="1" t="s">
        <v>1482</v>
      </c>
      <c r="H1821" s="1" t="s">
        <v>26</v>
      </c>
      <c r="I1821" s="1" t="s">
        <v>38</v>
      </c>
      <c r="J1821" s="1" t="s">
        <v>971</v>
      </c>
      <c r="K1821" s="4" t="s">
        <v>972</v>
      </c>
      <c r="L1821" s="4"/>
      <c r="M1821" s="1">
        <v>3</v>
      </c>
      <c r="P1821" s="56">
        <v>1</v>
      </c>
      <c r="Q1821" s="57">
        <v>3</v>
      </c>
      <c r="R1821" s="58">
        <v>1</v>
      </c>
      <c r="S1821" s="59">
        <v>3</v>
      </c>
      <c r="V1821" s="4" t="s">
        <v>1483</v>
      </c>
      <c r="AL1821" s="60" t="s">
        <v>30</v>
      </c>
      <c r="AN1821" s="4" t="s">
        <v>30</v>
      </c>
      <c r="AR1821" s="4"/>
    </row>
    <row r="1822" spans="1:44" ht="36" x14ac:dyDescent="0.2">
      <c r="A1822" s="1" t="s">
        <v>916</v>
      </c>
      <c r="B1822" s="1" t="s">
        <v>969</v>
      </c>
      <c r="C1822" s="1" t="s">
        <v>5734</v>
      </c>
      <c r="D1822" s="1">
        <v>84</v>
      </c>
      <c r="E1822" s="1">
        <v>3</v>
      </c>
      <c r="F1822" s="1" t="s">
        <v>920</v>
      </c>
      <c r="G1822" s="1" t="s">
        <v>970</v>
      </c>
      <c r="H1822" s="1" t="s">
        <v>26</v>
      </c>
      <c r="I1822" s="1" t="s">
        <v>38</v>
      </c>
      <c r="J1822" s="1" t="s">
        <v>971</v>
      </c>
      <c r="K1822" s="4" t="s">
        <v>972</v>
      </c>
      <c r="L1822" s="4"/>
      <c r="M1822" s="1">
        <v>4</v>
      </c>
      <c r="P1822" s="56">
        <v>3</v>
      </c>
      <c r="Q1822" s="57">
        <v>1</v>
      </c>
      <c r="R1822" s="58">
        <v>1</v>
      </c>
      <c r="S1822" s="59">
        <v>2</v>
      </c>
      <c r="V1822" s="4" t="s">
        <v>973</v>
      </c>
      <c r="AL1822" s="60" t="s">
        <v>30</v>
      </c>
      <c r="AN1822" s="4" t="s">
        <v>30</v>
      </c>
      <c r="AR1822" s="4"/>
    </row>
    <row r="1823" spans="1:44" ht="72" x14ac:dyDescent="0.2">
      <c r="A1823" s="1" t="s">
        <v>916</v>
      </c>
      <c r="B1823" s="1" t="s">
        <v>1575</v>
      </c>
      <c r="C1823" s="1" t="s">
        <v>5734</v>
      </c>
      <c r="D1823" s="1">
        <v>85</v>
      </c>
      <c r="E1823" s="1">
        <v>3</v>
      </c>
      <c r="F1823" s="1" t="s">
        <v>920</v>
      </c>
      <c r="G1823" s="1" t="s">
        <v>1576</v>
      </c>
      <c r="H1823" s="1" t="s">
        <v>26</v>
      </c>
      <c r="I1823" s="1" t="s">
        <v>38</v>
      </c>
      <c r="J1823" s="1" t="s">
        <v>971</v>
      </c>
      <c r="K1823" s="4" t="s">
        <v>972</v>
      </c>
      <c r="L1823" s="4"/>
      <c r="M1823" s="1">
        <v>3</v>
      </c>
      <c r="P1823" s="56">
        <v>0</v>
      </c>
      <c r="Q1823" s="57">
        <v>2</v>
      </c>
      <c r="R1823" s="58">
        <v>1</v>
      </c>
      <c r="S1823" s="59">
        <v>3</v>
      </c>
      <c r="V1823" s="4" t="s">
        <v>1577</v>
      </c>
      <c r="AL1823" s="60" t="s">
        <v>30</v>
      </c>
      <c r="AN1823" s="4" t="s">
        <v>30</v>
      </c>
      <c r="AR1823" s="4"/>
    </row>
    <row r="1824" spans="1:44" ht="36" x14ac:dyDescent="0.2">
      <c r="A1824" s="1" t="s">
        <v>916</v>
      </c>
      <c r="B1824" s="1" t="s">
        <v>1439</v>
      </c>
      <c r="C1824" s="1" t="s">
        <v>5734</v>
      </c>
      <c r="D1824" s="1">
        <v>86</v>
      </c>
      <c r="E1824" s="1">
        <v>3</v>
      </c>
      <c r="F1824" s="1" t="s">
        <v>920</v>
      </c>
      <c r="G1824" s="1" t="s">
        <v>1440</v>
      </c>
      <c r="H1824" s="1" t="s">
        <v>26</v>
      </c>
      <c r="I1824" s="1" t="s">
        <v>38</v>
      </c>
      <c r="J1824" s="1" t="s">
        <v>971</v>
      </c>
      <c r="K1824" s="4" t="s">
        <v>1441</v>
      </c>
      <c r="L1824" s="4"/>
      <c r="M1824" s="1">
        <v>3</v>
      </c>
      <c r="P1824" s="56">
        <v>0</v>
      </c>
      <c r="Q1824" s="57">
        <v>2</v>
      </c>
      <c r="R1824" s="58">
        <v>1</v>
      </c>
      <c r="S1824" s="59">
        <v>2</v>
      </c>
      <c r="V1824" s="4" t="s">
        <v>1442</v>
      </c>
      <c r="AL1824" s="60" t="s">
        <v>30</v>
      </c>
      <c r="AN1824" s="4" t="s">
        <v>30</v>
      </c>
      <c r="AR1824" s="4"/>
    </row>
    <row r="1825" spans="1:44" ht="84" x14ac:dyDescent="0.2">
      <c r="A1825" s="1" t="s">
        <v>916</v>
      </c>
      <c r="B1825" s="1" t="s">
        <v>1054</v>
      </c>
      <c r="C1825" s="1" t="s">
        <v>5734</v>
      </c>
      <c r="D1825" s="1">
        <v>87</v>
      </c>
      <c r="E1825" s="1">
        <v>3</v>
      </c>
      <c r="F1825" s="1" t="s">
        <v>920</v>
      </c>
      <c r="G1825" s="1" t="s">
        <v>1055</v>
      </c>
      <c r="H1825" s="1" t="s">
        <v>26</v>
      </c>
      <c r="I1825" s="1" t="s">
        <v>38</v>
      </c>
      <c r="J1825" s="1" t="s">
        <v>971</v>
      </c>
      <c r="K1825" s="4" t="s">
        <v>972</v>
      </c>
      <c r="L1825" s="4"/>
      <c r="M1825" s="1">
        <v>5</v>
      </c>
      <c r="P1825" s="56">
        <v>3</v>
      </c>
      <c r="Q1825" s="57">
        <v>3</v>
      </c>
      <c r="R1825" s="58">
        <v>2</v>
      </c>
      <c r="S1825" s="59">
        <v>3</v>
      </c>
      <c r="V1825" s="4" t="s">
        <v>1056</v>
      </c>
      <c r="AL1825" s="60" t="s">
        <v>30</v>
      </c>
      <c r="AN1825" s="4" t="s">
        <v>30</v>
      </c>
      <c r="AR1825" s="4"/>
    </row>
    <row r="1826" spans="1:44" ht="36" x14ac:dyDescent="0.2">
      <c r="A1826" s="1" t="s">
        <v>916</v>
      </c>
      <c r="B1826" s="1" t="s">
        <v>1238</v>
      </c>
      <c r="C1826" s="1" t="s">
        <v>5734</v>
      </c>
      <c r="D1826" s="1">
        <v>88</v>
      </c>
      <c r="E1826" s="1">
        <v>3</v>
      </c>
      <c r="F1826" s="1" t="s">
        <v>920</v>
      </c>
      <c r="G1826" s="1" t="s">
        <v>1239</v>
      </c>
      <c r="H1826" s="1" t="s">
        <v>26</v>
      </c>
      <c r="I1826" s="1" t="s">
        <v>38</v>
      </c>
      <c r="J1826" s="1" t="s">
        <v>971</v>
      </c>
      <c r="K1826" s="4" t="s">
        <v>972</v>
      </c>
      <c r="L1826" s="4"/>
      <c r="M1826" s="1">
        <v>3</v>
      </c>
      <c r="P1826" s="56">
        <v>2</v>
      </c>
      <c r="Q1826" s="57">
        <v>2</v>
      </c>
      <c r="R1826" s="58">
        <v>0</v>
      </c>
      <c r="S1826" s="59">
        <v>3</v>
      </c>
      <c r="V1826" s="4" t="s">
        <v>1240</v>
      </c>
      <c r="AL1826" s="60" t="s">
        <v>30</v>
      </c>
      <c r="AN1826" s="4" t="s">
        <v>30</v>
      </c>
      <c r="AR1826" s="4"/>
    </row>
    <row r="1827" spans="1:44" ht="84" x14ac:dyDescent="0.2">
      <c r="A1827" s="1" t="s">
        <v>916</v>
      </c>
      <c r="B1827" s="1" t="s">
        <v>1321</v>
      </c>
      <c r="C1827" s="1" t="s">
        <v>5734</v>
      </c>
      <c r="D1827" s="1">
        <v>89</v>
      </c>
      <c r="E1827" s="1">
        <v>3</v>
      </c>
      <c r="F1827" s="1" t="s">
        <v>920</v>
      </c>
      <c r="G1827" s="1" t="s">
        <v>1322</v>
      </c>
      <c r="I1827" s="1" t="s">
        <v>56</v>
      </c>
      <c r="J1827" s="1" t="s">
        <v>971</v>
      </c>
      <c r="K1827" s="4" t="s">
        <v>1159</v>
      </c>
      <c r="L1827" s="4"/>
      <c r="M1827" s="1">
        <v>1</v>
      </c>
      <c r="V1827" s="4" t="s">
        <v>1323</v>
      </c>
      <c r="AL1827" s="60" t="s">
        <v>30</v>
      </c>
      <c r="AN1827" s="4" t="s">
        <v>30</v>
      </c>
      <c r="AR1827" s="4"/>
    </row>
    <row r="1828" spans="1:44" ht="96" x14ac:dyDescent="0.2">
      <c r="A1828" s="1" t="s">
        <v>916</v>
      </c>
      <c r="B1828" s="1" t="s">
        <v>1096</v>
      </c>
      <c r="C1828" s="1" t="s">
        <v>5734</v>
      </c>
      <c r="D1828" s="1">
        <v>90</v>
      </c>
      <c r="E1828" s="1">
        <v>3</v>
      </c>
      <c r="F1828" s="1" t="s">
        <v>920</v>
      </c>
      <c r="G1828" s="1" t="s">
        <v>1097</v>
      </c>
      <c r="H1828" s="1" t="s">
        <v>26</v>
      </c>
      <c r="I1828" s="1" t="s">
        <v>56</v>
      </c>
      <c r="J1828" s="1" t="s">
        <v>971</v>
      </c>
      <c r="K1828" s="4" t="s">
        <v>1098</v>
      </c>
      <c r="L1828" s="4"/>
      <c r="M1828" s="1">
        <v>5</v>
      </c>
      <c r="V1828" s="4" t="s">
        <v>1099</v>
      </c>
      <c r="AL1828" s="60" t="s">
        <v>30</v>
      </c>
      <c r="AN1828" s="4" t="s">
        <v>30</v>
      </c>
      <c r="AR1828" s="4"/>
    </row>
    <row r="1829" spans="1:44" ht="48" x14ac:dyDescent="0.2">
      <c r="A1829" s="1" t="s">
        <v>916</v>
      </c>
      <c r="B1829" s="1" t="s">
        <v>1559</v>
      </c>
      <c r="C1829" s="1" t="s">
        <v>5734</v>
      </c>
      <c r="D1829" s="1">
        <v>91</v>
      </c>
      <c r="E1829" s="1">
        <v>3</v>
      </c>
      <c r="F1829" s="1" t="s">
        <v>920</v>
      </c>
      <c r="G1829" s="1" t="s">
        <v>1560</v>
      </c>
      <c r="I1829" s="1" t="s">
        <v>56</v>
      </c>
      <c r="J1829" s="1" t="s">
        <v>971</v>
      </c>
      <c r="K1829" s="4" t="s">
        <v>467</v>
      </c>
      <c r="L1829" s="4"/>
      <c r="M1829" s="1">
        <v>2</v>
      </c>
      <c r="V1829" s="4" t="s">
        <v>1561</v>
      </c>
      <c r="AL1829" s="60" t="s">
        <v>30</v>
      </c>
      <c r="AN1829" s="4" t="s">
        <v>30</v>
      </c>
    </row>
    <row r="1830" spans="1:44" ht="96" x14ac:dyDescent="0.2">
      <c r="A1830" s="1" t="s">
        <v>916</v>
      </c>
      <c r="B1830" s="1" t="s">
        <v>1413</v>
      </c>
      <c r="C1830" s="1" t="s">
        <v>5734</v>
      </c>
      <c r="D1830" s="1">
        <v>92</v>
      </c>
      <c r="E1830" s="1">
        <v>3</v>
      </c>
      <c r="F1830" s="1" t="s">
        <v>920</v>
      </c>
      <c r="G1830" s="1" t="s">
        <v>1414</v>
      </c>
      <c r="I1830" s="1" t="s">
        <v>56</v>
      </c>
      <c r="J1830" s="1" t="s">
        <v>971</v>
      </c>
      <c r="K1830" s="4" t="s">
        <v>196</v>
      </c>
      <c r="L1830" s="4"/>
      <c r="M1830" s="1">
        <v>2</v>
      </c>
      <c r="V1830" s="4" t="s">
        <v>1415</v>
      </c>
      <c r="AL1830" s="60" t="s">
        <v>30</v>
      </c>
      <c r="AN1830" s="4" t="s">
        <v>30</v>
      </c>
      <c r="AR1830" s="4"/>
    </row>
    <row r="1831" spans="1:44" ht="96" x14ac:dyDescent="0.2">
      <c r="A1831" s="1" t="s">
        <v>916</v>
      </c>
      <c r="B1831" s="1" t="s">
        <v>1040</v>
      </c>
      <c r="C1831" s="1" t="s">
        <v>5734</v>
      </c>
      <c r="D1831" s="1">
        <v>93</v>
      </c>
      <c r="E1831" s="1">
        <v>3</v>
      </c>
      <c r="F1831" s="1" t="s">
        <v>920</v>
      </c>
      <c r="G1831" s="1" t="s">
        <v>1041</v>
      </c>
      <c r="H1831" s="1" t="s">
        <v>26</v>
      </c>
      <c r="I1831" s="1" t="s">
        <v>56</v>
      </c>
      <c r="J1831" s="1" t="s">
        <v>971</v>
      </c>
      <c r="K1831" s="4" t="s">
        <v>196</v>
      </c>
      <c r="L1831" s="4"/>
      <c r="M1831" s="1">
        <v>2</v>
      </c>
      <c r="V1831" s="4" t="s">
        <v>1042</v>
      </c>
      <c r="AL1831" s="60" t="s">
        <v>30</v>
      </c>
      <c r="AN1831" s="4" t="s">
        <v>30</v>
      </c>
      <c r="AR1831" s="4"/>
    </row>
    <row r="1832" spans="1:44" ht="60" x14ac:dyDescent="0.2">
      <c r="A1832" s="1" t="s">
        <v>916</v>
      </c>
      <c r="B1832" s="1" t="s">
        <v>1300</v>
      </c>
      <c r="C1832" s="1" t="s">
        <v>5734</v>
      </c>
      <c r="D1832" s="1">
        <v>94</v>
      </c>
      <c r="E1832" s="1">
        <v>3</v>
      </c>
      <c r="F1832" s="1" t="s">
        <v>920</v>
      </c>
      <c r="G1832" s="1" t="s">
        <v>1301</v>
      </c>
      <c r="H1832" s="1" t="s">
        <v>26</v>
      </c>
      <c r="I1832" s="1" t="s">
        <v>56</v>
      </c>
      <c r="J1832" s="1" t="s">
        <v>971</v>
      </c>
      <c r="K1832" s="4" t="s">
        <v>1302</v>
      </c>
      <c r="L1832" s="4"/>
      <c r="M1832" s="1">
        <v>1</v>
      </c>
      <c r="V1832" s="4" t="s">
        <v>1303</v>
      </c>
      <c r="AL1832" s="60" t="s">
        <v>30</v>
      </c>
      <c r="AN1832" s="4" t="s">
        <v>30</v>
      </c>
      <c r="AR1832" s="4"/>
    </row>
    <row r="1833" spans="1:44" ht="24" x14ac:dyDescent="0.2">
      <c r="A1833" s="1" t="s">
        <v>916</v>
      </c>
      <c r="B1833" s="1" t="s">
        <v>1523</v>
      </c>
      <c r="C1833" s="1" t="s">
        <v>5734</v>
      </c>
      <c r="D1833" s="1">
        <v>95</v>
      </c>
      <c r="E1833" s="1">
        <v>3</v>
      </c>
      <c r="F1833" s="1" t="s">
        <v>920</v>
      </c>
      <c r="G1833" s="1" t="s">
        <v>1524</v>
      </c>
      <c r="I1833" s="1" t="s">
        <v>63</v>
      </c>
      <c r="J1833" s="1" t="s">
        <v>971</v>
      </c>
      <c r="K1833" s="4"/>
      <c r="L1833" s="4"/>
      <c r="M1833" s="1">
        <v>0</v>
      </c>
      <c r="V1833" s="4" t="s">
        <v>1525</v>
      </c>
      <c r="AL1833" s="60" t="s">
        <v>30</v>
      </c>
      <c r="AN1833" s="4" t="s">
        <v>30</v>
      </c>
      <c r="AR1833" s="4"/>
    </row>
    <row r="1834" spans="1:44" ht="48" x14ac:dyDescent="0.2">
      <c r="A1834" s="1" t="s">
        <v>916</v>
      </c>
      <c r="B1834" s="1" t="s">
        <v>1144</v>
      </c>
      <c r="C1834" s="1" t="s">
        <v>5734</v>
      </c>
      <c r="D1834" s="1">
        <v>96</v>
      </c>
      <c r="E1834" s="1">
        <v>3</v>
      </c>
      <c r="F1834" s="1" t="s">
        <v>920</v>
      </c>
      <c r="G1834" s="1" t="s">
        <v>1145</v>
      </c>
      <c r="I1834" s="1" t="s">
        <v>63</v>
      </c>
      <c r="J1834" s="1" t="s">
        <v>971</v>
      </c>
      <c r="K1834" s="4" t="s">
        <v>261</v>
      </c>
      <c r="L1834" s="4"/>
      <c r="M1834" s="1">
        <v>0</v>
      </c>
      <c r="V1834" s="4" t="s">
        <v>1146</v>
      </c>
      <c r="AL1834" s="60" t="s">
        <v>30</v>
      </c>
      <c r="AN1834" s="4" t="s">
        <v>30</v>
      </c>
    </row>
    <row r="1835" spans="1:44" ht="24" x14ac:dyDescent="0.2">
      <c r="A1835" s="1" t="s">
        <v>916</v>
      </c>
      <c r="B1835" s="1" t="s">
        <v>1338</v>
      </c>
      <c r="C1835" s="1" t="s">
        <v>5734</v>
      </c>
      <c r="D1835" s="1">
        <v>97</v>
      </c>
      <c r="E1835" s="1">
        <v>3</v>
      </c>
      <c r="F1835" s="1" t="s">
        <v>920</v>
      </c>
      <c r="G1835" s="1" t="s">
        <v>1339</v>
      </c>
      <c r="I1835" s="1" t="s">
        <v>63</v>
      </c>
      <c r="J1835" s="1" t="s">
        <v>971</v>
      </c>
      <c r="K1835" s="4"/>
      <c r="L1835" s="4"/>
      <c r="M1835" s="1">
        <v>1</v>
      </c>
      <c r="V1835" s="4" t="s">
        <v>1340</v>
      </c>
      <c r="AL1835" s="60" t="s">
        <v>30</v>
      </c>
      <c r="AN1835" s="4" t="s">
        <v>30</v>
      </c>
    </row>
    <row r="1836" spans="1:44" ht="24" x14ac:dyDescent="0.2">
      <c r="A1836" s="1" t="s">
        <v>916</v>
      </c>
      <c r="B1836" s="1" t="s">
        <v>1307</v>
      </c>
      <c r="C1836" s="1" t="s">
        <v>5734</v>
      </c>
      <c r="D1836" s="1">
        <v>98</v>
      </c>
      <c r="E1836" s="1">
        <v>3</v>
      </c>
      <c r="F1836" s="1" t="s">
        <v>920</v>
      </c>
      <c r="G1836" s="1" t="s">
        <v>1308</v>
      </c>
      <c r="I1836" s="1" t="s">
        <v>63</v>
      </c>
      <c r="J1836" s="1" t="s">
        <v>971</v>
      </c>
      <c r="K1836" s="4"/>
      <c r="L1836" s="4"/>
      <c r="M1836" s="1">
        <v>0</v>
      </c>
      <c r="V1836" s="4" t="s">
        <v>1309</v>
      </c>
      <c r="AL1836" s="60" t="s">
        <v>30</v>
      </c>
      <c r="AN1836" s="4" t="s">
        <v>30</v>
      </c>
    </row>
    <row r="1837" spans="1:44" ht="48" x14ac:dyDescent="0.2">
      <c r="A1837" s="1" t="s">
        <v>916</v>
      </c>
      <c r="B1837" s="1" t="s">
        <v>1220</v>
      </c>
      <c r="C1837" s="1" t="s">
        <v>5734</v>
      </c>
      <c r="D1837" s="1">
        <v>99</v>
      </c>
      <c r="E1837" s="1">
        <v>3</v>
      </c>
      <c r="F1837" s="1" t="s">
        <v>920</v>
      </c>
      <c r="G1837" s="1" t="s">
        <v>1221</v>
      </c>
      <c r="I1837" s="1" t="s">
        <v>63</v>
      </c>
      <c r="J1837" s="1" t="s">
        <v>971</v>
      </c>
      <c r="K1837" s="4"/>
      <c r="L1837" s="4"/>
      <c r="M1837" s="1">
        <v>0</v>
      </c>
      <c r="V1837" s="4" t="s">
        <v>1222</v>
      </c>
      <c r="AL1837" s="60" t="s">
        <v>30</v>
      </c>
      <c r="AN1837" s="4" t="s">
        <v>30</v>
      </c>
    </row>
    <row r="1838" spans="1:44" ht="24" x14ac:dyDescent="0.2">
      <c r="A1838" s="1" t="s">
        <v>916</v>
      </c>
      <c r="B1838" s="1" t="s">
        <v>1230</v>
      </c>
      <c r="C1838" s="1" t="s">
        <v>5734</v>
      </c>
      <c r="D1838" s="1">
        <v>100</v>
      </c>
      <c r="E1838" s="1">
        <v>3</v>
      </c>
      <c r="F1838" s="1" t="s">
        <v>920</v>
      </c>
      <c r="G1838" s="1" t="s">
        <v>1231</v>
      </c>
      <c r="I1838" s="1" t="s">
        <v>63</v>
      </c>
      <c r="J1838" s="1" t="s">
        <v>971</v>
      </c>
      <c r="K1838" s="4" t="s">
        <v>1232</v>
      </c>
      <c r="L1838" s="4" t="s">
        <v>1233</v>
      </c>
      <c r="M1838" s="1">
        <v>0</v>
      </c>
      <c r="V1838" s="4" t="s">
        <v>1234</v>
      </c>
      <c r="AL1838" s="60" t="s">
        <v>30</v>
      </c>
      <c r="AN1838" s="4" t="s">
        <v>30</v>
      </c>
    </row>
    <row r="1839" spans="1:44" ht="24" x14ac:dyDescent="0.2">
      <c r="A1839" s="111" t="s">
        <v>916</v>
      </c>
      <c r="B1839" s="111" t="s">
        <v>1118</v>
      </c>
      <c r="C1839" s="111" t="s">
        <v>5734</v>
      </c>
      <c r="D1839" s="111">
        <v>101</v>
      </c>
      <c r="E1839" s="111">
        <v>2</v>
      </c>
      <c r="F1839" s="111" t="s">
        <v>924</v>
      </c>
      <c r="G1839" s="111" t="s">
        <v>1119</v>
      </c>
      <c r="I1839" s="1" t="s">
        <v>82</v>
      </c>
      <c r="K1839" s="4" t="s">
        <v>324</v>
      </c>
      <c r="L1839" s="4"/>
      <c r="M1839" s="1"/>
      <c r="V1839" s="4" t="s">
        <v>1120</v>
      </c>
      <c r="W1839" s="4" t="s">
        <v>1121</v>
      </c>
      <c r="AL1839" s="60" t="s">
        <v>30</v>
      </c>
      <c r="AN1839" s="4" t="s">
        <v>30</v>
      </c>
    </row>
    <row r="1840" spans="1:44" ht="36" x14ac:dyDescent="0.2">
      <c r="A1840" s="1" t="s">
        <v>916</v>
      </c>
      <c r="B1840" s="1" t="s">
        <v>1137</v>
      </c>
      <c r="C1840" s="1" t="s">
        <v>5734</v>
      </c>
      <c r="D1840" s="1">
        <v>102</v>
      </c>
      <c r="E1840" s="1">
        <v>2</v>
      </c>
      <c r="F1840" s="1" t="s">
        <v>924</v>
      </c>
      <c r="G1840" s="1" t="s">
        <v>1138</v>
      </c>
      <c r="I1840" s="1" t="s">
        <v>82</v>
      </c>
      <c r="K1840" s="4" t="s">
        <v>261</v>
      </c>
      <c r="L1840" s="4"/>
      <c r="M1840" s="1"/>
      <c r="V1840" s="4" t="s">
        <v>1139</v>
      </c>
      <c r="AL1840" s="60" t="s">
        <v>30</v>
      </c>
      <c r="AN1840" s="4" t="s">
        <v>30</v>
      </c>
    </row>
    <row r="1841" spans="1:40" ht="36" x14ac:dyDescent="0.2">
      <c r="A1841" s="1" t="s">
        <v>916</v>
      </c>
      <c r="B1841" s="1" t="s">
        <v>1181</v>
      </c>
      <c r="C1841" s="1" t="s">
        <v>5734</v>
      </c>
      <c r="D1841" s="1">
        <v>103</v>
      </c>
      <c r="E1841" s="1">
        <v>2</v>
      </c>
      <c r="F1841" s="1" t="s">
        <v>924</v>
      </c>
      <c r="G1841" s="1" t="s">
        <v>1182</v>
      </c>
      <c r="I1841" s="1" t="s">
        <v>82</v>
      </c>
      <c r="K1841" s="4"/>
      <c r="L1841" s="4"/>
      <c r="M1841" s="1"/>
      <c r="V1841" s="4" t="s">
        <v>1183</v>
      </c>
      <c r="W1841" s="4" t="s">
        <v>1184</v>
      </c>
      <c r="AL1841" s="60" t="s">
        <v>30</v>
      </c>
      <c r="AN1841" s="4" t="s">
        <v>30</v>
      </c>
    </row>
    <row r="1842" spans="1:40" ht="36" x14ac:dyDescent="0.2">
      <c r="A1842" s="1" t="s">
        <v>916</v>
      </c>
      <c r="B1842" s="1" t="s">
        <v>1122</v>
      </c>
      <c r="C1842" s="1" t="s">
        <v>5734</v>
      </c>
      <c r="D1842" s="1">
        <v>104</v>
      </c>
      <c r="E1842" s="1">
        <v>2</v>
      </c>
      <c r="F1842" s="1" t="s">
        <v>924</v>
      </c>
      <c r="G1842" s="1" t="s">
        <v>1123</v>
      </c>
      <c r="I1842" s="1" t="s">
        <v>82</v>
      </c>
      <c r="K1842" s="4" t="s">
        <v>1124</v>
      </c>
      <c r="L1842" s="4"/>
      <c r="M1842" s="1"/>
      <c r="V1842" s="4" t="s">
        <v>1125</v>
      </c>
      <c r="AL1842" s="60" t="s">
        <v>30</v>
      </c>
      <c r="AN1842" s="4" t="s">
        <v>30</v>
      </c>
    </row>
    <row r="1843" spans="1:40" ht="36" x14ac:dyDescent="0.2">
      <c r="A1843" s="1" t="s">
        <v>916</v>
      </c>
      <c r="B1843" s="1" t="s">
        <v>1556</v>
      </c>
      <c r="C1843" s="1" t="s">
        <v>5734</v>
      </c>
      <c r="D1843" s="1">
        <v>105</v>
      </c>
      <c r="E1843" s="1">
        <v>2</v>
      </c>
      <c r="F1843" s="1" t="s">
        <v>924</v>
      </c>
      <c r="G1843" s="1" t="s">
        <v>1557</v>
      </c>
      <c r="I1843" s="1" t="s">
        <v>63</v>
      </c>
      <c r="K1843" s="4" t="s">
        <v>1124</v>
      </c>
      <c r="L1843" s="4"/>
      <c r="M1843" s="1"/>
      <c r="V1843" s="4" t="s">
        <v>1558</v>
      </c>
      <c r="AL1843" s="60" t="s">
        <v>30</v>
      </c>
      <c r="AN1843" s="4" t="s">
        <v>30</v>
      </c>
    </row>
    <row r="1844" spans="1:40" ht="48" x14ac:dyDescent="0.2">
      <c r="A1844" s="1" t="s">
        <v>916</v>
      </c>
      <c r="B1844" s="1" t="s">
        <v>1355</v>
      </c>
      <c r="C1844" s="1" t="s">
        <v>5734</v>
      </c>
      <c r="D1844" s="1">
        <v>106</v>
      </c>
      <c r="E1844" s="1">
        <v>2</v>
      </c>
      <c r="F1844" s="1" t="s">
        <v>924</v>
      </c>
      <c r="G1844" s="1" t="s">
        <v>1356</v>
      </c>
      <c r="I1844" s="1" t="s">
        <v>82</v>
      </c>
      <c r="K1844" s="4"/>
      <c r="L1844" s="4"/>
      <c r="M1844" s="1"/>
      <c r="V1844" s="4" t="s">
        <v>1357</v>
      </c>
      <c r="W1844" s="4" t="s">
        <v>1358</v>
      </c>
      <c r="AL1844" s="60" t="s">
        <v>30</v>
      </c>
      <c r="AN1844" s="4" t="s">
        <v>30</v>
      </c>
    </row>
    <row r="1845" spans="1:40" ht="24" x14ac:dyDescent="0.2">
      <c r="A1845" s="1" t="s">
        <v>916</v>
      </c>
      <c r="B1845" s="1" t="s">
        <v>921</v>
      </c>
      <c r="C1845" s="1" t="s">
        <v>5734</v>
      </c>
      <c r="D1845" s="1">
        <v>107</v>
      </c>
      <c r="E1845" s="1">
        <v>2</v>
      </c>
      <c r="F1845" s="1" t="s">
        <v>924</v>
      </c>
      <c r="G1845" s="1" t="s">
        <v>922</v>
      </c>
      <c r="I1845" s="1" t="s">
        <v>104</v>
      </c>
      <c r="K1845" s="4" t="s">
        <v>697</v>
      </c>
      <c r="L1845" s="4"/>
      <c r="M1845" s="1"/>
      <c r="O1845" s="55">
        <v>2</v>
      </c>
      <c r="T1845" s="60">
        <v>7</v>
      </c>
      <c r="V1845" s="4" t="s">
        <v>923</v>
      </c>
      <c r="AL1845" s="60" t="s">
        <v>30</v>
      </c>
      <c r="AN1845" s="4" t="s">
        <v>30</v>
      </c>
    </row>
    <row r="1846" spans="1:40" ht="60" customHeight="1" x14ac:dyDescent="0.2">
      <c r="A1846" s="1" t="s">
        <v>916</v>
      </c>
      <c r="B1846" s="1" t="s">
        <v>1390</v>
      </c>
      <c r="C1846" s="1" t="s">
        <v>5734</v>
      </c>
      <c r="D1846" s="1">
        <v>108</v>
      </c>
      <c r="E1846" s="1">
        <v>2</v>
      </c>
      <c r="F1846" s="1" t="s">
        <v>924</v>
      </c>
      <c r="G1846" s="1" t="s">
        <v>1391</v>
      </c>
      <c r="I1846" s="1" t="s">
        <v>104</v>
      </c>
      <c r="K1846" s="4" t="s">
        <v>956</v>
      </c>
      <c r="L1846" s="4" t="s">
        <v>331</v>
      </c>
      <c r="M1846" s="1"/>
      <c r="O1846" s="55">
        <v>4</v>
      </c>
      <c r="T1846" s="60">
        <v>2</v>
      </c>
      <c r="V1846" s="4" t="s">
        <v>1392</v>
      </c>
      <c r="AL1846" s="60" t="s">
        <v>30</v>
      </c>
      <c r="AN1846" s="4" t="s">
        <v>30</v>
      </c>
    </row>
    <row r="1847" spans="1:40" ht="24" x14ac:dyDescent="0.2">
      <c r="A1847" s="1" t="s">
        <v>916</v>
      </c>
      <c r="B1847" s="1" t="s">
        <v>1548</v>
      </c>
      <c r="C1847" s="1" t="s">
        <v>5734</v>
      </c>
      <c r="D1847" s="1">
        <v>109</v>
      </c>
      <c r="E1847" s="1">
        <v>3</v>
      </c>
      <c r="F1847" s="1" t="s">
        <v>924</v>
      </c>
      <c r="G1847" s="1" t="s">
        <v>1549</v>
      </c>
      <c r="I1847" s="1" t="s">
        <v>104</v>
      </c>
      <c r="K1847" s="4" t="s">
        <v>956</v>
      </c>
      <c r="L1847" s="4"/>
      <c r="M1847" s="1"/>
      <c r="O1847" s="55">
        <v>2</v>
      </c>
      <c r="T1847" s="60">
        <v>3</v>
      </c>
      <c r="V1847" s="4" t="s">
        <v>1550</v>
      </c>
      <c r="W1847" s="4" t="s">
        <v>1551</v>
      </c>
      <c r="AL1847" s="60" t="s">
        <v>30</v>
      </c>
      <c r="AN1847" s="4" t="s">
        <v>30</v>
      </c>
    </row>
    <row r="1848" spans="1:40" ht="60" x14ac:dyDescent="0.2">
      <c r="A1848" s="1" t="s">
        <v>916</v>
      </c>
      <c r="B1848" s="1" t="s">
        <v>954</v>
      </c>
      <c r="C1848" s="1" t="s">
        <v>5734</v>
      </c>
      <c r="D1848" s="1">
        <v>110</v>
      </c>
      <c r="E1848" s="1">
        <v>1</v>
      </c>
      <c r="F1848" s="1" t="s">
        <v>924</v>
      </c>
      <c r="G1848" s="1" t="s">
        <v>955</v>
      </c>
      <c r="H1848" s="1" t="s">
        <v>26</v>
      </c>
      <c r="I1848" s="1" t="s">
        <v>104</v>
      </c>
      <c r="K1848" s="4" t="s">
        <v>956</v>
      </c>
      <c r="L1848" s="4"/>
      <c r="M1848" s="1"/>
      <c r="O1848" s="55">
        <v>5</v>
      </c>
      <c r="T1848" s="60">
        <v>5</v>
      </c>
      <c r="V1848" s="4" t="s">
        <v>957</v>
      </c>
      <c r="AL1848" s="60" t="s">
        <v>30</v>
      </c>
      <c r="AN1848" s="4" t="s">
        <v>30</v>
      </c>
    </row>
    <row r="1849" spans="1:40" ht="24" x14ac:dyDescent="0.2">
      <c r="A1849" s="1" t="s">
        <v>916</v>
      </c>
      <c r="B1849" s="1" t="s">
        <v>1215</v>
      </c>
      <c r="C1849" s="1" t="s">
        <v>5734</v>
      </c>
      <c r="D1849" s="1">
        <v>111</v>
      </c>
      <c r="E1849" s="1">
        <v>2</v>
      </c>
      <c r="F1849" s="1" t="s">
        <v>924</v>
      </c>
      <c r="G1849" s="1" t="s">
        <v>1216</v>
      </c>
      <c r="I1849" s="1" t="s">
        <v>104</v>
      </c>
      <c r="K1849" s="4" t="s">
        <v>1217</v>
      </c>
      <c r="L1849" s="4"/>
      <c r="M1849" s="1"/>
      <c r="O1849" s="55">
        <v>3</v>
      </c>
      <c r="T1849" s="60">
        <v>6</v>
      </c>
      <c r="V1849" s="4" t="s">
        <v>1218</v>
      </c>
      <c r="W1849" s="4" t="s">
        <v>1219</v>
      </c>
      <c r="AL1849" s="60" t="s">
        <v>30</v>
      </c>
      <c r="AN1849" s="4" t="s">
        <v>30</v>
      </c>
    </row>
    <row r="1850" spans="1:40" ht="24" x14ac:dyDescent="0.2">
      <c r="A1850" s="1" t="s">
        <v>916</v>
      </c>
      <c r="B1850" s="1" t="s">
        <v>1517</v>
      </c>
      <c r="C1850" s="1" t="s">
        <v>5734</v>
      </c>
      <c r="D1850" s="1">
        <v>112</v>
      </c>
      <c r="E1850" s="1">
        <v>2</v>
      </c>
      <c r="F1850" s="1" t="s">
        <v>924</v>
      </c>
      <c r="G1850" s="1" t="s">
        <v>1518</v>
      </c>
      <c r="I1850" s="1" t="s">
        <v>104</v>
      </c>
      <c r="K1850" s="4" t="s">
        <v>697</v>
      </c>
      <c r="L1850" s="4"/>
      <c r="M1850" s="1"/>
      <c r="O1850" s="55">
        <v>2</v>
      </c>
      <c r="T1850" s="60">
        <v>4</v>
      </c>
      <c r="V1850" s="4" t="s">
        <v>1519</v>
      </c>
      <c r="W1850" s="4" t="s">
        <v>1520</v>
      </c>
      <c r="AL1850" s="60" t="s">
        <v>30</v>
      </c>
      <c r="AN1850" s="4" t="s">
        <v>30</v>
      </c>
    </row>
    <row r="1851" spans="1:40" ht="60" x14ac:dyDescent="0.2">
      <c r="A1851" s="1" t="s">
        <v>916</v>
      </c>
      <c r="B1851" s="1" t="s">
        <v>1288</v>
      </c>
      <c r="C1851" s="1" t="s">
        <v>5734</v>
      </c>
      <c r="D1851" s="1">
        <v>113</v>
      </c>
      <c r="E1851" s="1">
        <v>1</v>
      </c>
      <c r="F1851" s="1" t="s">
        <v>924</v>
      </c>
      <c r="G1851" s="1" t="s">
        <v>1289</v>
      </c>
      <c r="H1851" s="1" t="s">
        <v>26</v>
      </c>
      <c r="I1851" s="1" t="s">
        <v>104</v>
      </c>
      <c r="K1851" s="4" t="s">
        <v>1059</v>
      </c>
      <c r="L1851" s="4" t="s">
        <v>331</v>
      </c>
      <c r="M1851" s="1"/>
      <c r="O1851" s="55">
        <v>3</v>
      </c>
      <c r="T1851" s="60">
        <v>6</v>
      </c>
      <c r="U1851" s="1">
        <v>2</v>
      </c>
      <c r="V1851" s="4" t="s">
        <v>1290</v>
      </c>
      <c r="AL1851" s="60" t="s">
        <v>30</v>
      </c>
      <c r="AN1851" s="4" t="s">
        <v>30</v>
      </c>
    </row>
    <row r="1852" spans="1:40" ht="96" x14ac:dyDescent="0.2">
      <c r="A1852" s="1" t="s">
        <v>916</v>
      </c>
      <c r="B1852" s="1" t="s">
        <v>958</v>
      </c>
      <c r="C1852" s="1" t="s">
        <v>5734</v>
      </c>
      <c r="D1852" s="1">
        <v>114</v>
      </c>
      <c r="E1852" s="1">
        <v>1</v>
      </c>
      <c r="F1852" s="1" t="s">
        <v>924</v>
      </c>
      <c r="G1852" s="1" t="s">
        <v>959</v>
      </c>
      <c r="I1852" s="1" t="s">
        <v>88</v>
      </c>
      <c r="K1852" s="4" t="s">
        <v>960</v>
      </c>
      <c r="L1852" s="4"/>
      <c r="M1852" s="1"/>
      <c r="V1852" s="4" t="s">
        <v>961</v>
      </c>
      <c r="AL1852" s="60" t="s">
        <v>30</v>
      </c>
      <c r="AN1852" s="4" t="s">
        <v>30</v>
      </c>
    </row>
    <row r="1853" spans="1:40" ht="24" x14ac:dyDescent="0.2">
      <c r="A1853" s="1" t="s">
        <v>916</v>
      </c>
      <c r="B1853" s="1" t="s">
        <v>1276</v>
      </c>
      <c r="C1853" s="1" t="s">
        <v>5734</v>
      </c>
      <c r="D1853" s="1">
        <v>115</v>
      </c>
      <c r="E1853" s="1">
        <v>1</v>
      </c>
      <c r="F1853" s="1" t="s">
        <v>924</v>
      </c>
      <c r="G1853" s="1" t="s">
        <v>1277</v>
      </c>
      <c r="H1853" s="1" t="s">
        <v>26</v>
      </c>
      <c r="I1853" s="1" t="s">
        <v>88</v>
      </c>
      <c r="K1853" s="4" t="s">
        <v>1278</v>
      </c>
      <c r="L1853" s="4"/>
      <c r="M1853" s="1"/>
      <c r="P1853" s="56">
        <v>3</v>
      </c>
      <c r="Q1853" s="57">
        <v>3</v>
      </c>
      <c r="R1853" s="58">
        <v>1</v>
      </c>
      <c r="S1853" s="59">
        <v>4</v>
      </c>
      <c r="V1853" s="4" t="s">
        <v>1279</v>
      </c>
      <c r="AL1853" s="60" t="s">
        <v>30</v>
      </c>
      <c r="AN1853" s="4" t="s">
        <v>30</v>
      </c>
    </row>
    <row r="1854" spans="1:40" ht="24" x14ac:dyDescent="0.2">
      <c r="A1854" s="1" t="s">
        <v>916</v>
      </c>
      <c r="B1854" s="1" t="s">
        <v>1594</v>
      </c>
      <c r="C1854" s="1" t="s">
        <v>5734</v>
      </c>
      <c r="D1854" s="1">
        <v>116</v>
      </c>
      <c r="E1854" s="1">
        <v>1</v>
      </c>
      <c r="F1854" s="1" t="s">
        <v>924</v>
      </c>
      <c r="G1854" s="1" t="s">
        <v>1595</v>
      </c>
      <c r="H1854" s="1" t="s">
        <v>26</v>
      </c>
      <c r="I1854" s="1" t="s">
        <v>94</v>
      </c>
      <c r="K1854" s="4" t="s">
        <v>930</v>
      </c>
      <c r="L1854" s="4" t="s">
        <v>1294</v>
      </c>
      <c r="M1854" s="1"/>
      <c r="N1854" s="54">
        <v>45</v>
      </c>
      <c r="O1854" s="55">
        <v>4</v>
      </c>
      <c r="Q1854" s="57">
        <v>7</v>
      </c>
      <c r="R1854" s="58">
        <v>4</v>
      </c>
      <c r="S1854" s="59">
        <v>12</v>
      </c>
      <c r="U1854" s="1">
        <v>3</v>
      </c>
      <c r="V1854" s="4" t="s">
        <v>1596</v>
      </c>
      <c r="AL1854" s="60" t="s">
        <v>30</v>
      </c>
      <c r="AN1854" s="4" t="s">
        <v>30</v>
      </c>
    </row>
    <row r="1855" spans="1:40" ht="24" x14ac:dyDescent="0.2">
      <c r="A1855" s="1" t="s">
        <v>916</v>
      </c>
      <c r="B1855" s="1" t="s">
        <v>1291</v>
      </c>
      <c r="C1855" s="1" t="s">
        <v>5734</v>
      </c>
      <c r="D1855" s="1">
        <v>117</v>
      </c>
      <c r="E1855" s="1">
        <v>1</v>
      </c>
      <c r="F1855" s="1" t="s">
        <v>924</v>
      </c>
      <c r="G1855" s="1" t="s">
        <v>1292</v>
      </c>
      <c r="H1855" s="1" t="s">
        <v>26</v>
      </c>
      <c r="I1855" s="1" t="s">
        <v>94</v>
      </c>
      <c r="K1855" s="4" t="s">
        <v>1293</v>
      </c>
      <c r="L1855" s="4" t="s">
        <v>1294</v>
      </c>
      <c r="M1855" s="1"/>
      <c r="N1855" s="54">
        <v>48</v>
      </c>
      <c r="O1855" s="55">
        <v>5</v>
      </c>
      <c r="Q1855" s="57">
        <v>9</v>
      </c>
      <c r="R1855" s="58">
        <v>5</v>
      </c>
      <c r="S1855" s="59">
        <v>20</v>
      </c>
      <c r="U1855" s="1">
        <v>5</v>
      </c>
      <c r="V1855" s="4" t="s">
        <v>1295</v>
      </c>
      <c r="AL1855" s="60" t="s">
        <v>30</v>
      </c>
      <c r="AN1855" s="4" t="s">
        <v>30</v>
      </c>
    </row>
    <row r="1856" spans="1:40" ht="24" x14ac:dyDescent="0.2">
      <c r="A1856" s="1" t="s">
        <v>916</v>
      </c>
      <c r="B1856" s="1" t="s">
        <v>1351</v>
      </c>
      <c r="C1856" s="1" t="s">
        <v>5734</v>
      </c>
      <c r="D1856" s="1">
        <v>118</v>
      </c>
      <c r="E1856" s="1">
        <v>4</v>
      </c>
      <c r="F1856" s="1" t="s">
        <v>924</v>
      </c>
      <c r="G1856" s="1" t="s">
        <v>1352</v>
      </c>
      <c r="I1856" s="1" t="s">
        <v>94</v>
      </c>
      <c r="K1856" s="4" t="s">
        <v>930</v>
      </c>
      <c r="L1856" s="4"/>
      <c r="M1856" s="1"/>
      <c r="N1856" s="54">
        <v>30</v>
      </c>
      <c r="O1856" s="55">
        <v>1</v>
      </c>
      <c r="Q1856" s="57">
        <v>2</v>
      </c>
      <c r="R1856" s="58">
        <v>1</v>
      </c>
      <c r="S1856" s="59">
        <v>5</v>
      </c>
      <c r="V1856" s="4" t="s">
        <v>1353</v>
      </c>
      <c r="W1856" s="4" t="s">
        <v>1354</v>
      </c>
      <c r="AL1856" s="60" t="s">
        <v>30</v>
      </c>
      <c r="AN1856" s="4" t="s">
        <v>30</v>
      </c>
    </row>
    <row r="1857" spans="1:40" ht="24" x14ac:dyDescent="0.2">
      <c r="A1857" s="1" t="s">
        <v>916</v>
      </c>
      <c r="B1857" s="1" t="s">
        <v>1027</v>
      </c>
      <c r="C1857" s="1" t="s">
        <v>5734</v>
      </c>
      <c r="D1857" s="1">
        <v>119</v>
      </c>
      <c r="E1857" s="1">
        <v>1</v>
      </c>
      <c r="F1857" s="1" t="s">
        <v>924</v>
      </c>
      <c r="G1857" s="1" t="s">
        <v>1028</v>
      </c>
      <c r="H1857" s="1" t="s">
        <v>26</v>
      </c>
      <c r="I1857" s="1" t="s">
        <v>94</v>
      </c>
      <c r="K1857" s="4" t="s">
        <v>1029</v>
      </c>
      <c r="L1857" s="4"/>
      <c r="M1857" s="1"/>
      <c r="N1857" s="54">
        <v>33</v>
      </c>
      <c r="O1857" s="55">
        <v>3</v>
      </c>
      <c r="Q1857" s="57">
        <v>5</v>
      </c>
      <c r="R1857" s="58">
        <v>1</v>
      </c>
      <c r="S1857" s="59">
        <v>6</v>
      </c>
      <c r="V1857" s="4" t="s">
        <v>1030</v>
      </c>
      <c r="W1857" s="4" t="s">
        <v>1031</v>
      </c>
      <c r="AL1857" s="60" t="s">
        <v>30</v>
      </c>
      <c r="AN1857" s="4" t="s">
        <v>30</v>
      </c>
    </row>
    <row r="1858" spans="1:40" ht="36" x14ac:dyDescent="0.2">
      <c r="A1858" s="1" t="s">
        <v>916</v>
      </c>
      <c r="B1858" s="1" t="s">
        <v>1471</v>
      </c>
      <c r="C1858" s="1" t="s">
        <v>5734</v>
      </c>
      <c r="D1858" s="1">
        <v>120</v>
      </c>
      <c r="E1858" s="1">
        <v>2</v>
      </c>
      <c r="F1858" s="1" t="s">
        <v>924</v>
      </c>
      <c r="G1858" s="1" t="s">
        <v>1472</v>
      </c>
      <c r="I1858" s="1" t="s">
        <v>94</v>
      </c>
      <c r="K1858" s="4" t="s">
        <v>1473</v>
      </c>
      <c r="L1858" s="4"/>
      <c r="M1858" s="1"/>
      <c r="N1858" s="54">
        <v>20</v>
      </c>
      <c r="O1858" s="55">
        <v>2</v>
      </c>
      <c r="Q1858" s="57">
        <v>4</v>
      </c>
      <c r="R1858" s="58">
        <v>1</v>
      </c>
      <c r="S1858" s="59">
        <v>4</v>
      </c>
      <c r="V1858" s="4" t="s">
        <v>1474</v>
      </c>
      <c r="AL1858" s="60" t="s">
        <v>30</v>
      </c>
      <c r="AN1858" s="4" t="s">
        <v>30</v>
      </c>
    </row>
    <row r="1859" spans="1:40" ht="48" x14ac:dyDescent="0.2">
      <c r="A1859" s="1" t="s">
        <v>916</v>
      </c>
      <c r="B1859" s="1" t="s">
        <v>1019</v>
      </c>
      <c r="C1859" s="1" t="s">
        <v>5734</v>
      </c>
      <c r="D1859" s="1">
        <v>121</v>
      </c>
      <c r="E1859" s="1">
        <v>3</v>
      </c>
      <c r="F1859" s="1" t="s">
        <v>924</v>
      </c>
      <c r="G1859" s="1" t="s">
        <v>1020</v>
      </c>
      <c r="I1859" s="1" t="s">
        <v>94</v>
      </c>
      <c r="K1859" s="4" t="s">
        <v>930</v>
      </c>
      <c r="L1859" s="4"/>
      <c r="M1859" s="1"/>
      <c r="N1859" s="54">
        <v>25</v>
      </c>
      <c r="O1859" s="55">
        <v>2</v>
      </c>
      <c r="Q1859" s="57">
        <v>2</v>
      </c>
      <c r="R1859" s="58">
        <v>3</v>
      </c>
      <c r="S1859" s="59">
        <v>5</v>
      </c>
      <c r="V1859" s="4" t="s">
        <v>1021</v>
      </c>
      <c r="W1859" s="4" t="s">
        <v>1022</v>
      </c>
      <c r="AL1859" s="60" t="s">
        <v>30</v>
      </c>
      <c r="AN1859" s="4" t="s">
        <v>30</v>
      </c>
    </row>
    <row r="1860" spans="1:40" ht="24" x14ac:dyDescent="0.2">
      <c r="A1860" s="1" t="s">
        <v>916</v>
      </c>
      <c r="B1860" s="1" t="s">
        <v>1261</v>
      </c>
      <c r="C1860" s="1" t="s">
        <v>5734</v>
      </c>
      <c r="D1860" s="1">
        <v>122</v>
      </c>
      <c r="E1860" s="1">
        <v>4</v>
      </c>
      <c r="F1860" s="1" t="s">
        <v>924</v>
      </c>
      <c r="G1860" s="1" t="s">
        <v>1262</v>
      </c>
      <c r="I1860" s="1" t="s">
        <v>94</v>
      </c>
      <c r="K1860" s="4" t="s">
        <v>930</v>
      </c>
      <c r="L1860" s="4"/>
      <c r="M1860" s="1"/>
      <c r="N1860" s="54">
        <v>32</v>
      </c>
      <c r="O1860" s="55">
        <v>3</v>
      </c>
      <c r="Q1860" s="57">
        <v>3</v>
      </c>
      <c r="R1860" s="58">
        <v>2</v>
      </c>
      <c r="S1860" s="59">
        <v>4</v>
      </c>
      <c r="V1860" s="4" t="s">
        <v>1263</v>
      </c>
      <c r="W1860" s="4" t="s">
        <v>1264</v>
      </c>
      <c r="AL1860" s="60" t="s">
        <v>30</v>
      </c>
      <c r="AN1860" s="4" t="s">
        <v>30</v>
      </c>
    </row>
    <row r="1861" spans="1:40" ht="84" x14ac:dyDescent="0.2">
      <c r="A1861" s="1" t="s">
        <v>916</v>
      </c>
      <c r="B1861" s="1" t="s">
        <v>1552</v>
      </c>
      <c r="C1861" s="1" t="s">
        <v>5734</v>
      </c>
      <c r="D1861" s="1">
        <v>123</v>
      </c>
      <c r="E1861" s="1">
        <v>3</v>
      </c>
      <c r="F1861" s="1" t="s">
        <v>924</v>
      </c>
      <c r="G1861" s="1" t="s">
        <v>1553</v>
      </c>
      <c r="I1861" s="1" t="s">
        <v>94</v>
      </c>
      <c r="K1861" s="4" t="s">
        <v>1554</v>
      </c>
      <c r="L1861" s="4"/>
      <c r="M1861" s="1"/>
      <c r="N1861" s="54">
        <v>28</v>
      </c>
      <c r="O1861" s="55">
        <v>1</v>
      </c>
      <c r="Q1861" s="57">
        <v>2</v>
      </c>
      <c r="R1861" s="58">
        <v>1</v>
      </c>
      <c r="S1861" s="59">
        <v>3</v>
      </c>
      <c r="V1861" s="4" t="s">
        <v>1555</v>
      </c>
      <c r="AL1861" s="60" t="s">
        <v>30</v>
      </c>
      <c r="AN1861" s="4" t="s">
        <v>30</v>
      </c>
    </row>
    <row r="1862" spans="1:40" ht="24" x14ac:dyDescent="0.2">
      <c r="A1862" s="1" t="s">
        <v>916</v>
      </c>
      <c r="B1862" s="1" t="s">
        <v>1435</v>
      </c>
      <c r="C1862" s="1" t="s">
        <v>5734</v>
      </c>
      <c r="D1862" s="1">
        <v>124</v>
      </c>
      <c r="E1862" s="1">
        <v>1</v>
      </c>
      <c r="F1862" s="1" t="s">
        <v>924</v>
      </c>
      <c r="G1862" s="1" t="s">
        <v>1436</v>
      </c>
      <c r="H1862" s="1" t="s">
        <v>26</v>
      </c>
      <c r="I1862" s="1" t="s">
        <v>94</v>
      </c>
      <c r="K1862" s="4" t="s">
        <v>930</v>
      </c>
      <c r="L1862" s="4" t="s">
        <v>1437</v>
      </c>
      <c r="M1862" s="1"/>
      <c r="N1862" s="54">
        <v>1</v>
      </c>
      <c r="O1862" s="55">
        <v>3</v>
      </c>
      <c r="Q1862" s="57">
        <v>6</v>
      </c>
      <c r="R1862" s="58">
        <v>3</v>
      </c>
      <c r="S1862" s="59">
        <v>10</v>
      </c>
      <c r="V1862" s="4" t="s">
        <v>1438</v>
      </c>
      <c r="AL1862" s="60" t="s">
        <v>30</v>
      </c>
      <c r="AN1862" s="4" t="s">
        <v>30</v>
      </c>
    </row>
    <row r="1863" spans="1:40" ht="72" x14ac:dyDescent="0.2">
      <c r="A1863" s="111" t="s">
        <v>916</v>
      </c>
      <c r="B1863" s="111" t="s">
        <v>1569</v>
      </c>
      <c r="C1863" s="111" t="s">
        <v>5734</v>
      </c>
      <c r="D1863" s="111">
        <v>125</v>
      </c>
      <c r="E1863" s="111">
        <v>1</v>
      </c>
      <c r="F1863" s="111" t="s">
        <v>938</v>
      </c>
      <c r="G1863" s="111" t="s">
        <v>1570</v>
      </c>
      <c r="H1863" s="1" t="s">
        <v>26</v>
      </c>
      <c r="I1863" s="1" t="s">
        <v>94</v>
      </c>
      <c r="K1863" s="4" t="s">
        <v>1319</v>
      </c>
      <c r="L1863" s="4" t="s">
        <v>1571</v>
      </c>
      <c r="M1863" s="1"/>
      <c r="N1863" s="54">
        <v>50</v>
      </c>
      <c r="O1863" s="55">
        <v>8</v>
      </c>
      <c r="Q1863" s="57">
        <v>15</v>
      </c>
      <c r="R1863" s="58">
        <v>9</v>
      </c>
      <c r="S1863" s="59">
        <v>40</v>
      </c>
      <c r="V1863" s="4" t="s">
        <v>1572</v>
      </c>
      <c r="AL1863" s="60" t="s">
        <v>30</v>
      </c>
      <c r="AN1863" s="4" t="s">
        <v>30</v>
      </c>
    </row>
    <row r="1864" spans="1:40" ht="60" x14ac:dyDescent="0.2">
      <c r="A1864" s="1" t="s">
        <v>916</v>
      </c>
      <c r="B1864" s="1" t="s">
        <v>1283</v>
      </c>
      <c r="C1864" s="1" t="s">
        <v>5734</v>
      </c>
      <c r="D1864" s="1">
        <v>126</v>
      </c>
      <c r="E1864" s="1">
        <v>1</v>
      </c>
      <c r="F1864" s="1" t="s">
        <v>938</v>
      </c>
      <c r="G1864" s="1" t="s">
        <v>1284</v>
      </c>
      <c r="H1864" s="1" t="s">
        <v>26</v>
      </c>
      <c r="I1864" s="1" t="s">
        <v>104</v>
      </c>
      <c r="K1864" s="4" t="s">
        <v>1285</v>
      </c>
      <c r="L1864" s="4" t="s">
        <v>1286</v>
      </c>
      <c r="M1864" s="1"/>
      <c r="O1864" s="55">
        <v>5</v>
      </c>
      <c r="T1864" s="60">
        <v>15</v>
      </c>
      <c r="U1864" s="1">
        <v>1</v>
      </c>
      <c r="V1864" s="4" t="s">
        <v>1287</v>
      </c>
      <c r="AL1864" s="60" t="s">
        <v>30</v>
      </c>
      <c r="AN1864" s="4" t="s">
        <v>30</v>
      </c>
    </row>
    <row r="1865" spans="1:40" ht="24" x14ac:dyDescent="0.2">
      <c r="A1865" s="1" t="s">
        <v>916</v>
      </c>
      <c r="B1865" s="1" t="s">
        <v>1529</v>
      </c>
      <c r="C1865" s="1" t="s">
        <v>5734</v>
      </c>
      <c r="D1865" s="1">
        <v>127</v>
      </c>
      <c r="E1865" s="1">
        <v>2</v>
      </c>
      <c r="F1865" s="1" t="s">
        <v>938</v>
      </c>
      <c r="G1865" s="1" t="s">
        <v>1530</v>
      </c>
      <c r="I1865" s="1" t="s">
        <v>94</v>
      </c>
      <c r="K1865" s="4" t="s">
        <v>1142</v>
      </c>
      <c r="L1865" s="4" t="s">
        <v>945</v>
      </c>
      <c r="M1865" s="1"/>
      <c r="N1865" s="54">
        <v>42</v>
      </c>
      <c r="O1865" s="55">
        <v>5</v>
      </c>
      <c r="Q1865" s="57">
        <v>9</v>
      </c>
      <c r="R1865" s="58">
        <v>5</v>
      </c>
      <c r="S1865" s="59">
        <v>21</v>
      </c>
      <c r="U1865" s="1">
        <v>5</v>
      </c>
      <c r="V1865" s="4" t="s">
        <v>1531</v>
      </c>
      <c r="W1865" s="4" t="s">
        <v>1532</v>
      </c>
      <c r="AL1865" s="60" t="s">
        <v>30</v>
      </c>
      <c r="AN1865" s="4" t="s">
        <v>30</v>
      </c>
    </row>
    <row r="1866" spans="1:40" ht="48" x14ac:dyDescent="0.2">
      <c r="A1866" s="1" t="s">
        <v>916</v>
      </c>
      <c r="B1866" s="1" t="s">
        <v>1304</v>
      </c>
      <c r="C1866" s="1" t="s">
        <v>5734</v>
      </c>
      <c r="D1866" s="1">
        <v>128</v>
      </c>
      <c r="E1866" s="1">
        <v>1</v>
      </c>
      <c r="F1866" s="1" t="s">
        <v>938</v>
      </c>
      <c r="G1866" s="1" t="s">
        <v>1305</v>
      </c>
      <c r="H1866" s="1" t="s">
        <v>26</v>
      </c>
      <c r="I1866" s="1" t="s">
        <v>88</v>
      </c>
      <c r="K1866" s="4" t="s">
        <v>1098</v>
      </c>
      <c r="L1866" s="4"/>
      <c r="M1866" s="1"/>
      <c r="V1866" s="4" t="s">
        <v>1306</v>
      </c>
      <c r="AL1866" s="60" t="s">
        <v>30</v>
      </c>
      <c r="AN1866" s="4" t="s">
        <v>30</v>
      </c>
    </row>
    <row r="1867" spans="1:40" ht="24" x14ac:dyDescent="0.2">
      <c r="A1867" s="1" t="s">
        <v>916</v>
      </c>
      <c r="B1867" s="1" t="s">
        <v>1023</v>
      </c>
      <c r="C1867" s="1" t="s">
        <v>5734</v>
      </c>
      <c r="D1867" s="1">
        <v>129</v>
      </c>
      <c r="E1867" s="1">
        <v>1</v>
      </c>
      <c r="F1867" s="1" t="s">
        <v>938</v>
      </c>
      <c r="G1867" s="1" t="s">
        <v>1024</v>
      </c>
      <c r="H1867" s="1" t="s">
        <v>26</v>
      </c>
      <c r="I1867" s="1" t="s">
        <v>94</v>
      </c>
      <c r="K1867" s="4" t="s">
        <v>1025</v>
      </c>
      <c r="L1867" s="4" t="s">
        <v>945</v>
      </c>
      <c r="M1867" s="1"/>
      <c r="N1867" s="54">
        <v>40</v>
      </c>
      <c r="O1867" s="55">
        <v>5</v>
      </c>
      <c r="Q1867" s="57">
        <v>10</v>
      </c>
      <c r="R1867" s="58">
        <v>4</v>
      </c>
      <c r="S1867" s="59">
        <v>25</v>
      </c>
      <c r="U1867" s="1">
        <v>6</v>
      </c>
      <c r="V1867" s="4" t="s">
        <v>1026</v>
      </c>
      <c r="AL1867" s="60" t="s">
        <v>30</v>
      </c>
      <c r="AN1867" s="4" t="s">
        <v>30</v>
      </c>
    </row>
    <row r="1868" spans="1:40" ht="24" x14ac:dyDescent="0.2">
      <c r="A1868" s="1" t="s">
        <v>916</v>
      </c>
      <c r="B1868" s="1" t="s">
        <v>1397</v>
      </c>
      <c r="C1868" s="1" t="s">
        <v>5734</v>
      </c>
      <c r="D1868" s="1">
        <v>130</v>
      </c>
      <c r="E1868" s="1">
        <v>3</v>
      </c>
      <c r="F1868" s="1" t="s">
        <v>938</v>
      </c>
      <c r="G1868" s="1" t="s">
        <v>1398</v>
      </c>
      <c r="I1868" s="1" t="s">
        <v>94</v>
      </c>
      <c r="K1868" s="4" t="s">
        <v>287</v>
      </c>
      <c r="L1868" s="4" t="s">
        <v>945</v>
      </c>
      <c r="M1868" s="1"/>
      <c r="N1868" s="54">
        <v>30</v>
      </c>
      <c r="O1868" s="55">
        <v>2</v>
      </c>
      <c r="Q1868" s="57">
        <v>6</v>
      </c>
      <c r="R1868" s="58">
        <v>3</v>
      </c>
      <c r="S1868" s="59">
        <v>9</v>
      </c>
      <c r="V1868" s="4" t="s">
        <v>1399</v>
      </c>
      <c r="W1868" s="4" t="s">
        <v>1400</v>
      </c>
      <c r="AL1868" s="60" t="s">
        <v>30</v>
      </c>
      <c r="AN1868" s="4" t="s">
        <v>30</v>
      </c>
    </row>
    <row r="1869" spans="1:40" ht="24" x14ac:dyDescent="0.2">
      <c r="A1869" s="1" t="s">
        <v>916</v>
      </c>
      <c r="B1869" s="1" t="s">
        <v>942</v>
      </c>
      <c r="C1869" s="1" t="s">
        <v>5734</v>
      </c>
      <c r="D1869" s="1">
        <v>131</v>
      </c>
      <c r="E1869" s="1">
        <v>2</v>
      </c>
      <c r="F1869" s="1" t="s">
        <v>938</v>
      </c>
      <c r="G1869" s="1" t="s">
        <v>943</v>
      </c>
      <c r="I1869" s="1" t="s">
        <v>94</v>
      </c>
      <c r="K1869" s="4" t="s">
        <v>944</v>
      </c>
      <c r="L1869" s="4" t="s">
        <v>945</v>
      </c>
      <c r="M1869" s="1"/>
      <c r="N1869" s="54">
        <v>28</v>
      </c>
      <c r="O1869" s="55">
        <v>3</v>
      </c>
      <c r="Q1869" s="57">
        <v>5</v>
      </c>
      <c r="R1869" s="58">
        <v>2</v>
      </c>
      <c r="S1869" s="59">
        <v>6</v>
      </c>
      <c r="V1869" s="4" t="s">
        <v>946</v>
      </c>
      <c r="AL1869" s="60" t="s">
        <v>30</v>
      </c>
      <c r="AN1869" s="4" t="s">
        <v>30</v>
      </c>
    </row>
    <row r="1870" spans="1:40" ht="24" x14ac:dyDescent="0.2">
      <c r="A1870" s="1" t="s">
        <v>916</v>
      </c>
      <c r="B1870" s="1" t="s">
        <v>1443</v>
      </c>
      <c r="C1870" s="1" t="s">
        <v>5734</v>
      </c>
      <c r="D1870" s="1">
        <v>132</v>
      </c>
      <c r="E1870" s="1">
        <v>3</v>
      </c>
      <c r="F1870" s="1" t="s">
        <v>938</v>
      </c>
      <c r="G1870" s="1" t="s">
        <v>1444</v>
      </c>
      <c r="I1870" s="1" t="s">
        <v>94</v>
      </c>
      <c r="K1870" s="4" t="s">
        <v>944</v>
      </c>
      <c r="L1870" s="4" t="s">
        <v>1445</v>
      </c>
      <c r="M1870" s="1"/>
      <c r="N1870" s="54">
        <v>25</v>
      </c>
      <c r="O1870" s="55">
        <v>2</v>
      </c>
      <c r="Q1870" s="57">
        <v>4</v>
      </c>
      <c r="R1870" s="58">
        <v>1</v>
      </c>
      <c r="S1870" s="59">
        <v>5</v>
      </c>
      <c r="V1870" s="4" t="s">
        <v>1446</v>
      </c>
      <c r="W1870" s="4" t="s">
        <v>1447</v>
      </c>
      <c r="AL1870" s="60" t="s">
        <v>30</v>
      </c>
      <c r="AN1870" s="4" t="s">
        <v>30</v>
      </c>
    </row>
    <row r="1871" spans="1:40" ht="36" x14ac:dyDescent="0.2">
      <c r="A1871" s="1" t="s">
        <v>916</v>
      </c>
      <c r="B1871" s="1" t="s">
        <v>1363</v>
      </c>
      <c r="C1871" s="1" t="s">
        <v>5734</v>
      </c>
      <c r="D1871" s="1">
        <v>133</v>
      </c>
      <c r="E1871" s="1">
        <v>2</v>
      </c>
      <c r="F1871" s="1" t="s">
        <v>938</v>
      </c>
      <c r="G1871" s="1" t="s">
        <v>1364</v>
      </c>
      <c r="I1871" s="1" t="s">
        <v>94</v>
      </c>
      <c r="K1871" s="4" t="s">
        <v>1025</v>
      </c>
      <c r="L1871" s="4" t="s">
        <v>945</v>
      </c>
      <c r="M1871" s="1"/>
      <c r="N1871" s="54">
        <v>37</v>
      </c>
      <c r="O1871" s="55">
        <v>4</v>
      </c>
      <c r="Q1871" s="57">
        <v>7</v>
      </c>
      <c r="R1871" s="58">
        <v>3</v>
      </c>
      <c r="S1871" s="59">
        <v>22</v>
      </c>
      <c r="U1871" s="1">
        <v>5</v>
      </c>
      <c r="V1871" s="4" t="s">
        <v>1365</v>
      </c>
      <c r="W1871" s="4" t="s">
        <v>1366</v>
      </c>
      <c r="AL1871" s="60" t="s">
        <v>30</v>
      </c>
      <c r="AN1871" s="4" t="s">
        <v>30</v>
      </c>
    </row>
    <row r="1872" spans="1:40" ht="24" x14ac:dyDescent="0.2">
      <c r="A1872" s="1" t="s">
        <v>916</v>
      </c>
      <c r="B1872" s="1" t="s">
        <v>1140</v>
      </c>
      <c r="C1872" s="1" t="s">
        <v>5734</v>
      </c>
      <c r="D1872" s="1">
        <v>134</v>
      </c>
      <c r="E1872" s="1">
        <v>2</v>
      </c>
      <c r="F1872" s="1" t="s">
        <v>938</v>
      </c>
      <c r="G1872" s="1" t="s">
        <v>1141</v>
      </c>
      <c r="I1872" s="1" t="s">
        <v>94</v>
      </c>
      <c r="K1872" s="4" t="s">
        <v>1142</v>
      </c>
      <c r="L1872" s="4" t="s">
        <v>945</v>
      </c>
      <c r="M1872" s="1"/>
      <c r="N1872" s="54">
        <v>40</v>
      </c>
      <c r="O1872" s="55">
        <v>5</v>
      </c>
      <c r="Q1872" s="57">
        <v>8</v>
      </c>
      <c r="R1872" s="58">
        <v>5</v>
      </c>
      <c r="S1872" s="59">
        <v>20</v>
      </c>
      <c r="U1872" s="1">
        <v>5</v>
      </c>
      <c r="V1872" s="4" t="s">
        <v>1143</v>
      </c>
      <c r="AL1872" s="60" t="s">
        <v>30</v>
      </c>
      <c r="AN1872" s="4" t="s">
        <v>30</v>
      </c>
    </row>
    <row r="1873" spans="1:40" ht="36" x14ac:dyDescent="0.2">
      <c r="A1873" s="1" t="s">
        <v>916</v>
      </c>
      <c r="B1873" s="1" t="s">
        <v>1393</v>
      </c>
      <c r="C1873" s="1" t="s">
        <v>5734</v>
      </c>
      <c r="D1873" s="1">
        <v>135</v>
      </c>
      <c r="E1873" s="1">
        <v>1</v>
      </c>
      <c r="F1873" s="1" t="s">
        <v>938</v>
      </c>
      <c r="G1873" s="1" t="s">
        <v>1394</v>
      </c>
      <c r="H1873" s="1" t="s">
        <v>26</v>
      </c>
      <c r="I1873" s="1" t="s">
        <v>94</v>
      </c>
      <c r="K1873" s="4" t="s">
        <v>930</v>
      </c>
      <c r="L1873" s="4" t="s">
        <v>1395</v>
      </c>
      <c r="M1873" s="1"/>
      <c r="N1873" s="54">
        <v>35</v>
      </c>
      <c r="O1873" s="55">
        <v>5</v>
      </c>
      <c r="Q1873" s="57">
        <v>7</v>
      </c>
      <c r="R1873" s="58">
        <v>4</v>
      </c>
      <c r="S1873" s="59">
        <v>15</v>
      </c>
      <c r="V1873" s="4" t="s">
        <v>1396</v>
      </c>
      <c r="AL1873" s="60" t="s">
        <v>30</v>
      </c>
      <c r="AN1873" s="4" t="s">
        <v>30</v>
      </c>
    </row>
    <row r="1874" spans="1:40" ht="36" x14ac:dyDescent="0.2">
      <c r="A1874" s="1" t="s">
        <v>916</v>
      </c>
      <c r="B1874" s="1" t="s">
        <v>934</v>
      </c>
      <c r="C1874" s="1" t="s">
        <v>5734</v>
      </c>
      <c r="D1874" s="1">
        <v>136</v>
      </c>
      <c r="E1874" s="1">
        <v>2</v>
      </c>
      <c r="F1874" s="1" t="s">
        <v>938</v>
      </c>
      <c r="G1874" s="1" t="s">
        <v>935</v>
      </c>
      <c r="I1874" s="1" t="s">
        <v>82</v>
      </c>
      <c r="K1874" s="4"/>
      <c r="L1874" s="4"/>
      <c r="M1874" s="1"/>
      <c r="V1874" s="4" t="s">
        <v>936</v>
      </c>
      <c r="W1874" s="4" t="s">
        <v>937</v>
      </c>
      <c r="AL1874" s="60" t="s">
        <v>30</v>
      </c>
      <c r="AN1874" s="4" t="s">
        <v>30</v>
      </c>
    </row>
    <row r="1875" spans="1:40" ht="36" x14ac:dyDescent="0.2">
      <c r="A1875" s="1" t="s">
        <v>916</v>
      </c>
      <c r="B1875" s="1" t="s">
        <v>1110</v>
      </c>
      <c r="C1875" s="1" t="s">
        <v>5734</v>
      </c>
      <c r="D1875" s="1">
        <v>137</v>
      </c>
      <c r="E1875" s="1">
        <v>2</v>
      </c>
      <c r="F1875" s="1" t="s">
        <v>938</v>
      </c>
      <c r="G1875" s="1" t="s">
        <v>1111</v>
      </c>
      <c r="I1875" s="1" t="s">
        <v>104</v>
      </c>
      <c r="K1875" s="4" t="s">
        <v>1112</v>
      </c>
      <c r="L1875" s="4"/>
      <c r="M1875" s="1"/>
      <c r="O1875" s="55">
        <v>3</v>
      </c>
      <c r="T1875" s="60">
        <v>4</v>
      </c>
      <c r="V1875" s="4" t="s">
        <v>1113</v>
      </c>
      <c r="AL1875" s="60" t="s">
        <v>30</v>
      </c>
      <c r="AN1875" s="4" t="s">
        <v>30</v>
      </c>
    </row>
    <row r="1876" spans="1:40" ht="36" x14ac:dyDescent="0.2">
      <c r="A1876" s="1" t="s">
        <v>916</v>
      </c>
      <c r="B1876" s="1" t="s">
        <v>1500</v>
      </c>
      <c r="C1876" s="1" t="s">
        <v>5734</v>
      </c>
      <c r="D1876" s="1">
        <v>138</v>
      </c>
      <c r="E1876" s="1">
        <v>3</v>
      </c>
      <c r="F1876" s="1" t="s">
        <v>938</v>
      </c>
      <c r="G1876" s="1" t="s">
        <v>1501</v>
      </c>
      <c r="I1876" s="1" t="s">
        <v>104</v>
      </c>
      <c r="K1876" s="4" t="s">
        <v>1112</v>
      </c>
      <c r="L1876" s="4"/>
      <c r="M1876" s="1"/>
      <c r="O1876" s="55">
        <v>2</v>
      </c>
      <c r="T1876" s="60">
        <v>6</v>
      </c>
      <c r="V1876" s="4" t="s">
        <v>1502</v>
      </c>
      <c r="W1876" s="4" t="s">
        <v>1503</v>
      </c>
      <c r="AL1876" s="60" t="s">
        <v>30</v>
      </c>
      <c r="AN1876" s="4" t="s">
        <v>30</v>
      </c>
    </row>
    <row r="1877" spans="1:40" ht="96" x14ac:dyDescent="0.2">
      <c r="A1877" s="1" t="s">
        <v>916</v>
      </c>
      <c r="B1877" s="1" t="s">
        <v>947</v>
      </c>
      <c r="C1877" s="1" t="s">
        <v>5734</v>
      </c>
      <c r="D1877" s="1">
        <v>139</v>
      </c>
      <c r="E1877" s="1">
        <v>1</v>
      </c>
      <c r="F1877" s="1" t="s">
        <v>938</v>
      </c>
      <c r="G1877" s="1" t="s">
        <v>948</v>
      </c>
      <c r="I1877" s="1" t="s">
        <v>88</v>
      </c>
      <c r="K1877" s="4" t="s">
        <v>196</v>
      </c>
      <c r="L1877" s="4" t="s">
        <v>949</v>
      </c>
      <c r="M1877" s="1"/>
      <c r="V1877" s="4" t="s">
        <v>950</v>
      </c>
      <c r="AL1877" s="60" t="s">
        <v>30</v>
      </c>
      <c r="AN1877" s="4" t="s">
        <v>30</v>
      </c>
    </row>
    <row r="1878" spans="1:40" ht="36" x14ac:dyDescent="0.2">
      <c r="A1878" s="1" t="s">
        <v>916</v>
      </c>
      <c r="B1878" s="1" t="s">
        <v>1586</v>
      </c>
      <c r="C1878" s="1" t="s">
        <v>5734</v>
      </c>
      <c r="D1878" s="1">
        <v>140</v>
      </c>
      <c r="E1878" s="1">
        <v>2</v>
      </c>
      <c r="F1878" s="1" t="s">
        <v>938</v>
      </c>
      <c r="G1878" s="1" t="s">
        <v>1587</v>
      </c>
      <c r="I1878" s="1" t="s">
        <v>104</v>
      </c>
      <c r="K1878" s="4" t="s">
        <v>1112</v>
      </c>
      <c r="L1878" s="4"/>
      <c r="M1878" s="1"/>
      <c r="O1878" s="55">
        <v>4</v>
      </c>
      <c r="T1878" s="60">
        <v>3</v>
      </c>
      <c r="V1878" s="4" t="s">
        <v>1588</v>
      </c>
      <c r="W1878" s="4" t="s">
        <v>1589</v>
      </c>
      <c r="AL1878" s="60" t="s">
        <v>30</v>
      </c>
      <c r="AN1878" s="4" t="s">
        <v>30</v>
      </c>
    </row>
    <row r="1879" spans="1:40" ht="24" x14ac:dyDescent="0.2">
      <c r="A1879" s="1" t="s">
        <v>916</v>
      </c>
      <c r="B1879" s="1" t="s">
        <v>1590</v>
      </c>
      <c r="C1879" s="1" t="s">
        <v>5734</v>
      </c>
      <c r="D1879" s="1">
        <v>141</v>
      </c>
      <c r="E1879" s="1">
        <v>2</v>
      </c>
      <c r="F1879" s="1" t="s">
        <v>938</v>
      </c>
      <c r="G1879" s="1" t="s">
        <v>1591</v>
      </c>
      <c r="I1879" s="1" t="s">
        <v>104</v>
      </c>
      <c r="K1879" s="4" t="s">
        <v>1592</v>
      </c>
      <c r="L1879" s="4"/>
      <c r="M1879" s="1"/>
      <c r="O1879" s="55">
        <v>1</v>
      </c>
      <c r="T1879" s="60">
        <v>8</v>
      </c>
      <c r="V1879" s="4" t="s">
        <v>1593</v>
      </c>
      <c r="AL1879" s="60" t="s">
        <v>30</v>
      </c>
      <c r="AN1879" s="4" t="s">
        <v>30</v>
      </c>
    </row>
    <row r="1880" spans="1:40" ht="96" x14ac:dyDescent="0.2">
      <c r="A1880" s="1" t="s">
        <v>916</v>
      </c>
      <c r="B1880" s="1" t="s">
        <v>1458</v>
      </c>
      <c r="C1880" s="1" t="s">
        <v>5734</v>
      </c>
      <c r="D1880" s="1">
        <v>142</v>
      </c>
      <c r="E1880" s="1">
        <v>1</v>
      </c>
      <c r="F1880" s="1" t="s">
        <v>938</v>
      </c>
      <c r="G1880" s="1" t="s">
        <v>1459</v>
      </c>
      <c r="H1880" s="1" t="s">
        <v>26</v>
      </c>
      <c r="I1880" s="1" t="s">
        <v>104</v>
      </c>
      <c r="K1880" s="4" t="s">
        <v>1285</v>
      </c>
      <c r="L1880" s="4"/>
      <c r="M1880" s="1"/>
      <c r="O1880" s="55">
        <v>1</v>
      </c>
      <c r="T1880" s="60">
        <v>20</v>
      </c>
      <c r="U1880" s="1">
        <v>1</v>
      </c>
      <c r="V1880" s="4" t="s">
        <v>1460</v>
      </c>
      <c r="AL1880" s="60" t="s">
        <v>30</v>
      </c>
      <c r="AN1880" s="4" t="s">
        <v>30</v>
      </c>
    </row>
    <row r="1881" spans="1:40" ht="84" x14ac:dyDescent="0.2">
      <c r="A1881" s="1" t="s">
        <v>916</v>
      </c>
      <c r="B1881" s="1" t="s">
        <v>1504</v>
      </c>
      <c r="C1881" s="1" t="s">
        <v>5734</v>
      </c>
      <c r="D1881" s="1">
        <v>143</v>
      </c>
      <c r="E1881" s="1">
        <v>1</v>
      </c>
      <c r="F1881" s="1" t="s">
        <v>938</v>
      </c>
      <c r="G1881" s="1" t="s">
        <v>1505</v>
      </c>
      <c r="H1881" s="1" t="s">
        <v>26</v>
      </c>
      <c r="I1881" s="1" t="s">
        <v>104</v>
      </c>
      <c r="K1881" s="4" t="s">
        <v>1285</v>
      </c>
      <c r="L1881" s="4"/>
      <c r="M1881" s="1"/>
      <c r="O1881" s="55">
        <v>10</v>
      </c>
      <c r="T1881" s="60">
        <v>10</v>
      </c>
      <c r="U1881" s="1">
        <v>1</v>
      </c>
      <c r="V1881" s="4" t="s">
        <v>1506</v>
      </c>
      <c r="AL1881" s="60" t="s">
        <v>30</v>
      </c>
      <c r="AN1881" s="4" t="s">
        <v>30</v>
      </c>
    </row>
    <row r="1882" spans="1:40" ht="72" x14ac:dyDescent="0.2">
      <c r="A1882" s="1" t="s">
        <v>916</v>
      </c>
      <c r="B1882" s="1" t="s">
        <v>1310</v>
      </c>
      <c r="C1882" s="1" t="s">
        <v>5734</v>
      </c>
      <c r="D1882" s="1">
        <v>144</v>
      </c>
      <c r="E1882" s="1">
        <v>1</v>
      </c>
      <c r="F1882" s="1" t="s">
        <v>938</v>
      </c>
      <c r="G1882" s="1" t="s">
        <v>1311</v>
      </c>
      <c r="I1882" s="1" t="s">
        <v>104</v>
      </c>
      <c r="K1882" s="4" t="s">
        <v>1312</v>
      </c>
      <c r="L1882" s="4"/>
      <c r="M1882" s="1"/>
      <c r="O1882" s="55">
        <v>2</v>
      </c>
      <c r="T1882" s="60">
        <v>4</v>
      </c>
      <c r="V1882" s="4" t="s">
        <v>1313</v>
      </c>
      <c r="AL1882" s="60" t="s">
        <v>30</v>
      </c>
      <c r="AN1882" s="4" t="s">
        <v>30</v>
      </c>
    </row>
    <row r="1883" spans="1:40" ht="72" x14ac:dyDescent="0.2">
      <c r="A1883" s="1" t="s">
        <v>916</v>
      </c>
      <c r="B1883" s="1" t="s">
        <v>1223</v>
      </c>
      <c r="C1883" s="1" t="s">
        <v>5734</v>
      </c>
      <c r="D1883" s="1">
        <v>145</v>
      </c>
      <c r="E1883" s="1">
        <v>2</v>
      </c>
      <c r="F1883" s="1" t="s">
        <v>938</v>
      </c>
      <c r="G1883" s="1" t="s">
        <v>1224</v>
      </c>
      <c r="I1883" s="1" t="s">
        <v>104</v>
      </c>
      <c r="K1883" s="4" t="s">
        <v>1225</v>
      </c>
      <c r="L1883" s="4"/>
      <c r="M1883" s="1"/>
      <c r="O1883" s="55">
        <v>3</v>
      </c>
      <c r="T1883" s="60">
        <v>3</v>
      </c>
      <c r="V1883" s="4" t="s">
        <v>1226</v>
      </c>
      <c r="W1883" s="4" t="s">
        <v>1050</v>
      </c>
      <c r="AL1883" s="60" t="s">
        <v>30</v>
      </c>
      <c r="AN1883" s="4" t="s">
        <v>30</v>
      </c>
    </row>
    <row r="1884" spans="1:40" ht="60" x14ac:dyDescent="0.2">
      <c r="A1884" s="1" t="s">
        <v>916</v>
      </c>
      <c r="B1884" s="1" t="s">
        <v>1046</v>
      </c>
      <c r="C1884" s="1" t="s">
        <v>5734</v>
      </c>
      <c r="D1884" s="1">
        <v>146</v>
      </c>
      <c r="E1884" s="1">
        <v>1</v>
      </c>
      <c r="F1884" s="1" t="s">
        <v>938</v>
      </c>
      <c r="G1884" s="1" t="s">
        <v>1047</v>
      </c>
      <c r="H1884" s="1" t="s">
        <v>26</v>
      </c>
      <c r="I1884" s="1" t="s">
        <v>104</v>
      </c>
      <c r="K1884" s="4" t="s">
        <v>1048</v>
      </c>
      <c r="L1884" s="4"/>
      <c r="M1884" s="1"/>
      <c r="O1884" s="55">
        <v>5</v>
      </c>
      <c r="T1884" s="60">
        <v>7</v>
      </c>
      <c r="U1884" s="1">
        <v>2</v>
      </c>
      <c r="V1884" s="4" t="s">
        <v>1049</v>
      </c>
      <c r="W1884" s="4" t="s">
        <v>1050</v>
      </c>
      <c r="AL1884" s="60" t="s">
        <v>30</v>
      </c>
      <c r="AN1884" s="4" t="s">
        <v>30</v>
      </c>
    </row>
    <row r="1885" spans="1:40" ht="36" x14ac:dyDescent="0.2">
      <c r="A1885" s="1" t="s">
        <v>916</v>
      </c>
      <c r="B1885" s="1" t="s">
        <v>1241</v>
      </c>
      <c r="C1885" s="1" t="s">
        <v>5734</v>
      </c>
      <c r="D1885" s="1">
        <v>147</v>
      </c>
      <c r="E1885" s="1">
        <v>3</v>
      </c>
      <c r="F1885" s="1" t="s">
        <v>938</v>
      </c>
      <c r="G1885" s="1" t="s">
        <v>1242</v>
      </c>
      <c r="I1885" s="1" t="s">
        <v>82</v>
      </c>
      <c r="K1885" s="4" t="s">
        <v>1243</v>
      </c>
      <c r="L1885" s="4"/>
      <c r="M1885" s="1"/>
      <c r="V1885" s="4" t="s">
        <v>1244</v>
      </c>
      <c r="W1885" s="4" t="s">
        <v>1245</v>
      </c>
      <c r="AL1885" s="60" t="s">
        <v>30</v>
      </c>
      <c r="AN1885" s="4" t="s">
        <v>30</v>
      </c>
    </row>
    <row r="1886" spans="1:40" ht="48" x14ac:dyDescent="0.2">
      <c r="A1886" s="1" t="s">
        <v>916</v>
      </c>
      <c r="B1886" s="1" t="s">
        <v>951</v>
      </c>
      <c r="C1886" s="1" t="s">
        <v>5734</v>
      </c>
      <c r="D1886" s="1">
        <v>148</v>
      </c>
      <c r="E1886" s="1">
        <v>2</v>
      </c>
      <c r="F1886" s="1" t="s">
        <v>938</v>
      </c>
      <c r="G1886" s="1" t="s">
        <v>952</v>
      </c>
      <c r="I1886" s="1" t="s">
        <v>82</v>
      </c>
      <c r="K1886" s="4" t="s">
        <v>261</v>
      </c>
      <c r="L1886" s="4"/>
      <c r="M1886" s="1"/>
      <c r="V1886" s="4" t="s">
        <v>953</v>
      </c>
      <c r="AL1886" s="60" t="s">
        <v>30</v>
      </c>
      <c r="AN1886" s="4" t="s">
        <v>30</v>
      </c>
    </row>
    <row r="1887" spans="1:40" ht="24" x14ac:dyDescent="0.2">
      <c r="A1887" s="1" t="s">
        <v>916</v>
      </c>
      <c r="B1887" s="1" t="s">
        <v>939</v>
      </c>
      <c r="C1887" s="1" t="s">
        <v>5734</v>
      </c>
      <c r="D1887" s="1">
        <v>149</v>
      </c>
      <c r="E1887" s="1">
        <v>3</v>
      </c>
      <c r="F1887" s="1" t="s">
        <v>938</v>
      </c>
      <c r="G1887" s="1" t="s">
        <v>940</v>
      </c>
      <c r="I1887" s="1" t="s">
        <v>82</v>
      </c>
      <c r="K1887" s="4"/>
      <c r="L1887" s="4" t="s">
        <v>685</v>
      </c>
      <c r="M1887" s="1"/>
      <c r="V1887" s="4" t="s">
        <v>941</v>
      </c>
      <c r="AL1887" s="60" t="s">
        <v>30</v>
      </c>
      <c r="AN1887" s="4" t="s">
        <v>30</v>
      </c>
    </row>
    <row r="1888" spans="1:40" ht="36" x14ac:dyDescent="0.2">
      <c r="A1888" s="1" t="s">
        <v>916</v>
      </c>
      <c r="B1888" s="1" t="s">
        <v>966</v>
      </c>
      <c r="C1888" s="1" t="s">
        <v>5734</v>
      </c>
      <c r="D1888" s="1">
        <v>150</v>
      </c>
      <c r="E1888" s="1">
        <v>2</v>
      </c>
      <c r="F1888" s="1" t="s">
        <v>938</v>
      </c>
      <c r="G1888" s="1" t="s">
        <v>967</v>
      </c>
      <c r="I1888" s="1" t="s">
        <v>82</v>
      </c>
      <c r="K1888" s="4" t="s">
        <v>261</v>
      </c>
      <c r="L1888" s="4"/>
      <c r="M1888" s="1"/>
      <c r="V1888" s="4" t="s">
        <v>968</v>
      </c>
      <c r="AL1888" s="60" t="s">
        <v>30</v>
      </c>
      <c r="AN1888" s="4" t="s">
        <v>30</v>
      </c>
    </row>
    <row r="1889" spans="1:40" ht="36" x14ac:dyDescent="0.2">
      <c r="A1889" s="1" t="s">
        <v>916</v>
      </c>
      <c r="B1889" s="1" t="s">
        <v>1487</v>
      </c>
      <c r="C1889" s="1" t="s">
        <v>5734</v>
      </c>
      <c r="D1889" s="1">
        <v>151</v>
      </c>
      <c r="E1889" s="1">
        <v>3</v>
      </c>
      <c r="F1889" s="1" t="s">
        <v>938</v>
      </c>
      <c r="G1889" s="1" t="s">
        <v>1488</v>
      </c>
      <c r="I1889" s="1" t="s">
        <v>82</v>
      </c>
      <c r="K1889" s="4" t="s">
        <v>1243</v>
      </c>
      <c r="L1889" s="4" t="s">
        <v>1233</v>
      </c>
      <c r="M1889" s="1"/>
      <c r="V1889" s="4" t="s">
        <v>1489</v>
      </c>
      <c r="AL1889" s="60" t="s">
        <v>30</v>
      </c>
      <c r="AN1889" s="4" t="s">
        <v>30</v>
      </c>
    </row>
    <row r="1890" spans="1:40" ht="48" x14ac:dyDescent="0.2">
      <c r="A1890" s="1" t="s">
        <v>916</v>
      </c>
      <c r="B1890" s="1" t="s">
        <v>1251</v>
      </c>
      <c r="C1890" s="1" t="s">
        <v>5734</v>
      </c>
      <c r="D1890" s="1">
        <v>152</v>
      </c>
      <c r="E1890" s="1">
        <v>1</v>
      </c>
      <c r="F1890" s="1" t="s">
        <v>938</v>
      </c>
      <c r="G1890" s="1" t="s">
        <v>1252</v>
      </c>
      <c r="I1890" s="1" t="s">
        <v>88</v>
      </c>
      <c r="K1890" s="4" t="s">
        <v>1253</v>
      </c>
      <c r="L1890" s="4"/>
      <c r="M1890" s="1"/>
      <c r="V1890" s="4" t="s">
        <v>1254</v>
      </c>
      <c r="AL1890" s="60" t="s">
        <v>30</v>
      </c>
      <c r="AN1890" s="4" t="s">
        <v>30</v>
      </c>
    </row>
    <row r="1891" spans="1:40" ht="48" x14ac:dyDescent="0.2">
      <c r="A1891" s="1" t="s">
        <v>916</v>
      </c>
      <c r="B1891" s="1" t="s">
        <v>1490</v>
      </c>
      <c r="C1891" s="1" t="s">
        <v>5734</v>
      </c>
      <c r="D1891" s="1">
        <v>153</v>
      </c>
      <c r="E1891" s="1">
        <v>1</v>
      </c>
      <c r="F1891" s="1" t="s">
        <v>938</v>
      </c>
      <c r="G1891" s="1" t="s">
        <v>1491</v>
      </c>
      <c r="I1891" s="1" t="s">
        <v>88</v>
      </c>
      <c r="K1891" s="4" t="s">
        <v>1492</v>
      </c>
      <c r="L1891" s="4"/>
      <c r="M1891" s="1"/>
      <c r="V1891" s="4" t="s">
        <v>1493</v>
      </c>
      <c r="AL1891" s="60" t="s">
        <v>30</v>
      </c>
      <c r="AN1891" s="4" t="s">
        <v>30</v>
      </c>
    </row>
    <row r="1892" spans="1:40" ht="24" x14ac:dyDescent="0.2">
      <c r="A1892" s="1" t="s">
        <v>916</v>
      </c>
      <c r="B1892" s="1" t="s">
        <v>1538</v>
      </c>
      <c r="C1892" s="1" t="s">
        <v>5734</v>
      </c>
      <c r="D1892" s="1">
        <v>154</v>
      </c>
      <c r="F1892" s="1" t="s">
        <v>920</v>
      </c>
      <c r="G1892" s="1" t="s">
        <v>1539</v>
      </c>
      <c r="I1892" s="1" t="s">
        <v>63</v>
      </c>
      <c r="J1892" s="1" t="s">
        <v>971</v>
      </c>
      <c r="K1892" s="4"/>
      <c r="L1892" s="4"/>
      <c r="M1892" s="1">
        <v>0</v>
      </c>
      <c r="V1892" s="4" t="s">
        <v>1540</v>
      </c>
      <c r="AL1892" s="60" t="s">
        <v>30</v>
      </c>
      <c r="AN1892" s="4" t="s">
        <v>30</v>
      </c>
    </row>
    <row r="1893" spans="1:40" ht="72" x14ac:dyDescent="0.2">
      <c r="A1893" s="111" t="s">
        <v>916</v>
      </c>
      <c r="B1893" s="111" t="s">
        <v>1420</v>
      </c>
      <c r="C1893" s="111" t="s">
        <v>5734</v>
      </c>
      <c r="D1893" s="111">
        <v>155</v>
      </c>
      <c r="E1893" s="111">
        <v>3</v>
      </c>
      <c r="F1893" s="111" t="s">
        <v>933</v>
      </c>
      <c r="G1893" s="111" t="s">
        <v>1421</v>
      </c>
      <c r="H1893" s="1" t="s">
        <v>26</v>
      </c>
      <c r="I1893" s="1" t="s">
        <v>94</v>
      </c>
      <c r="K1893" s="4" t="s">
        <v>930</v>
      </c>
      <c r="L1893" s="4" t="s">
        <v>931</v>
      </c>
      <c r="M1893" s="1"/>
      <c r="N1893" s="54">
        <v>50</v>
      </c>
      <c r="O1893" s="55">
        <v>5</v>
      </c>
      <c r="Q1893" s="57">
        <v>6</v>
      </c>
      <c r="R1893" s="58">
        <v>7</v>
      </c>
      <c r="S1893" s="59">
        <v>20</v>
      </c>
      <c r="V1893" s="4" t="s">
        <v>1422</v>
      </c>
      <c r="AL1893" s="60" t="s">
        <v>30</v>
      </c>
      <c r="AN1893" s="4" t="s">
        <v>30</v>
      </c>
    </row>
    <row r="1894" spans="1:40" ht="36" x14ac:dyDescent="0.2">
      <c r="A1894" s="1" t="s">
        <v>916</v>
      </c>
      <c r="B1894" s="1" t="s">
        <v>1359</v>
      </c>
      <c r="C1894" s="1" t="s">
        <v>5734</v>
      </c>
      <c r="D1894" s="1">
        <v>156</v>
      </c>
      <c r="E1894" s="1">
        <v>2</v>
      </c>
      <c r="F1894" s="1" t="s">
        <v>933</v>
      </c>
      <c r="G1894" s="1" t="s">
        <v>1360</v>
      </c>
      <c r="I1894" s="1" t="s">
        <v>104</v>
      </c>
      <c r="K1894" s="4" t="s">
        <v>1361</v>
      </c>
      <c r="L1894" s="4" t="s">
        <v>1179</v>
      </c>
      <c r="M1894" s="1"/>
      <c r="O1894" s="55">
        <v>4</v>
      </c>
      <c r="T1894" s="60">
        <v>2</v>
      </c>
      <c r="V1894" s="4" t="s">
        <v>1362</v>
      </c>
      <c r="AL1894" s="60" t="s">
        <v>30</v>
      </c>
      <c r="AN1894" s="4" t="s">
        <v>30</v>
      </c>
    </row>
    <row r="1895" spans="1:40" x14ac:dyDescent="0.2">
      <c r="A1895" s="1" t="s">
        <v>916</v>
      </c>
      <c r="B1895" s="1" t="s">
        <v>1176</v>
      </c>
      <c r="C1895" s="1" t="s">
        <v>5734</v>
      </c>
      <c r="D1895" s="1">
        <v>157</v>
      </c>
      <c r="E1895" s="1">
        <v>1</v>
      </c>
      <c r="F1895" s="1" t="s">
        <v>933</v>
      </c>
      <c r="G1895" s="1" t="s">
        <v>1177</v>
      </c>
      <c r="H1895" s="1" t="s">
        <v>26</v>
      </c>
      <c r="I1895" s="1" t="s">
        <v>104</v>
      </c>
      <c r="K1895" s="4" t="s">
        <v>1178</v>
      </c>
      <c r="L1895" s="4" t="s">
        <v>1179</v>
      </c>
      <c r="M1895" s="1"/>
      <c r="O1895" s="55">
        <v>3</v>
      </c>
      <c r="T1895" s="60">
        <v>4</v>
      </c>
      <c r="V1895" s="4" t="s">
        <v>1180</v>
      </c>
      <c r="AL1895" s="60" t="s">
        <v>30</v>
      </c>
      <c r="AN1895" s="4" t="s">
        <v>30</v>
      </c>
    </row>
    <row r="1896" spans="1:40" ht="36" x14ac:dyDescent="0.2">
      <c r="A1896" s="1" t="s">
        <v>916</v>
      </c>
      <c r="B1896" s="1" t="s">
        <v>1378</v>
      </c>
      <c r="C1896" s="1" t="s">
        <v>5734</v>
      </c>
      <c r="D1896" s="1">
        <v>158</v>
      </c>
      <c r="E1896" s="1">
        <v>2</v>
      </c>
      <c r="F1896" s="1" t="s">
        <v>933</v>
      </c>
      <c r="G1896" s="1" t="s">
        <v>1379</v>
      </c>
      <c r="I1896" s="1" t="s">
        <v>104</v>
      </c>
      <c r="K1896" s="4" t="s">
        <v>1380</v>
      </c>
      <c r="L1896" s="4" t="s">
        <v>1013</v>
      </c>
      <c r="M1896" s="1"/>
      <c r="O1896" s="55">
        <v>2</v>
      </c>
      <c r="T1896" s="60">
        <v>5</v>
      </c>
      <c r="V1896" s="4" t="s">
        <v>1381</v>
      </c>
      <c r="W1896" s="4" t="s">
        <v>1382</v>
      </c>
      <c r="AL1896" s="60" t="s">
        <v>30</v>
      </c>
      <c r="AN1896" s="4" t="s">
        <v>30</v>
      </c>
    </row>
    <row r="1897" spans="1:40" ht="24" x14ac:dyDescent="0.2">
      <c r="A1897" s="1" t="s">
        <v>916</v>
      </c>
      <c r="B1897" s="1" t="s">
        <v>1578</v>
      </c>
      <c r="C1897" s="1" t="s">
        <v>5734</v>
      </c>
      <c r="D1897" s="1">
        <v>159</v>
      </c>
      <c r="E1897" s="1">
        <v>3</v>
      </c>
      <c r="F1897" s="1" t="s">
        <v>933</v>
      </c>
      <c r="G1897" s="1" t="s">
        <v>1579</v>
      </c>
      <c r="I1897" s="1" t="s">
        <v>104</v>
      </c>
      <c r="K1897" s="4" t="s">
        <v>1543</v>
      </c>
      <c r="L1897" s="4" t="s">
        <v>1179</v>
      </c>
      <c r="M1897" s="1"/>
      <c r="O1897" s="55">
        <v>3</v>
      </c>
      <c r="T1897" s="60">
        <v>6</v>
      </c>
      <c r="V1897" s="4" t="s">
        <v>1580</v>
      </c>
      <c r="W1897" s="4" t="s">
        <v>1581</v>
      </c>
      <c r="AL1897" s="60" t="s">
        <v>30</v>
      </c>
      <c r="AN1897" s="4" t="s">
        <v>30</v>
      </c>
    </row>
    <row r="1898" spans="1:40" ht="48" x14ac:dyDescent="0.2">
      <c r="A1898" s="1" t="s">
        <v>916</v>
      </c>
      <c r="B1898" s="1" t="s">
        <v>1036</v>
      </c>
      <c r="C1898" s="1" t="s">
        <v>5734</v>
      </c>
      <c r="D1898" s="1">
        <v>160</v>
      </c>
      <c r="E1898" s="1">
        <v>3</v>
      </c>
      <c r="F1898" s="1" t="s">
        <v>933</v>
      </c>
      <c r="G1898" s="1" t="s">
        <v>1037</v>
      </c>
      <c r="I1898" s="1" t="s">
        <v>104</v>
      </c>
      <c r="K1898" s="4" t="s">
        <v>105</v>
      </c>
      <c r="L1898" s="4" t="s">
        <v>1013</v>
      </c>
      <c r="M1898" s="1"/>
      <c r="O1898" s="55">
        <v>2</v>
      </c>
      <c r="T1898" s="60">
        <v>3</v>
      </c>
      <c r="V1898" s="4" t="s">
        <v>1038</v>
      </c>
      <c r="W1898" s="4" t="s">
        <v>1039</v>
      </c>
      <c r="AL1898" s="60" t="s">
        <v>30</v>
      </c>
      <c r="AN1898" s="4" t="s">
        <v>30</v>
      </c>
    </row>
    <row r="1899" spans="1:40" ht="48" x14ac:dyDescent="0.2">
      <c r="A1899" s="1" t="s">
        <v>916</v>
      </c>
      <c r="B1899" s="1" t="s">
        <v>1010</v>
      </c>
      <c r="C1899" s="1" t="s">
        <v>5734</v>
      </c>
      <c r="D1899" s="1">
        <v>161</v>
      </c>
      <c r="E1899" s="1">
        <v>2</v>
      </c>
      <c r="F1899" s="1" t="s">
        <v>933</v>
      </c>
      <c r="G1899" s="1" t="s">
        <v>1011</v>
      </c>
      <c r="I1899" s="1" t="s">
        <v>104</v>
      </c>
      <c r="K1899" s="4" t="s">
        <v>1012</v>
      </c>
      <c r="L1899" s="4" t="s">
        <v>1013</v>
      </c>
      <c r="M1899" s="1"/>
      <c r="O1899" s="55">
        <v>2</v>
      </c>
      <c r="T1899" s="60">
        <v>5</v>
      </c>
      <c r="V1899" s="4" t="s">
        <v>1014</v>
      </c>
      <c r="AL1899" s="60" t="s">
        <v>30</v>
      </c>
      <c r="AN1899" s="4" t="s">
        <v>30</v>
      </c>
    </row>
    <row r="1900" spans="1:40" ht="60" x14ac:dyDescent="0.2">
      <c r="A1900" s="1" t="s">
        <v>916</v>
      </c>
      <c r="B1900" s="1" t="s">
        <v>1057</v>
      </c>
      <c r="C1900" s="1" t="s">
        <v>5734</v>
      </c>
      <c r="D1900" s="1">
        <v>162</v>
      </c>
      <c r="E1900" s="1">
        <v>1</v>
      </c>
      <c r="F1900" s="1" t="s">
        <v>933</v>
      </c>
      <c r="G1900" s="1" t="s">
        <v>1058</v>
      </c>
      <c r="H1900" s="1" t="s">
        <v>26</v>
      </c>
      <c r="I1900" s="1" t="s">
        <v>104</v>
      </c>
      <c r="K1900" s="4" t="s">
        <v>1059</v>
      </c>
      <c r="L1900" s="4" t="s">
        <v>1013</v>
      </c>
      <c r="M1900" s="1"/>
      <c r="O1900" s="55">
        <v>5</v>
      </c>
      <c r="T1900" s="60">
        <v>4</v>
      </c>
      <c r="V1900" s="4" t="s">
        <v>1060</v>
      </c>
      <c r="AL1900" s="60" t="s">
        <v>30</v>
      </c>
      <c r="AN1900" s="4" t="s">
        <v>30</v>
      </c>
    </row>
    <row r="1901" spans="1:40" ht="24" x14ac:dyDescent="0.2">
      <c r="A1901" s="1" t="s">
        <v>916</v>
      </c>
      <c r="B1901" s="1" t="s">
        <v>1514</v>
      </c>
      <c r="C1901" s="1" t="s">
        <v>5734</v>
      </c>
      <c r="D1901" s="1">
        <v>163</v>
      </c>
      <c r="E1901" s="1">
        <v>1</v>
      </c>
      <c r="F1901" s="1" t="s">
        <v>933</v>
      </c>
      <c r="G1901" s="1" t="s">
        <v>1515</v>
      </c>
      <c r="H1901" s="1" t="s">
        <v>26</v>
      </c>
      <c r="I1901" s="1" t="s">
        <v>104</v>
      </c>
      <c r="K1901" s="4" t="s">
        <v>956</v>
      </c>
      <c r="L1901" s="4"/>
      <c r="M1901" s="1"/>
      <c r="O1901" s="55">
        <v>4</v>
      </c>
      <c r="T1901" s="60">
        <v>10</v>
      </c>
      <c r="V1901" s="4" t="s">
        <v>1516</v>
      </c>
      <c r="AL1901" s="60" t="s">
        <v>30</v>
      </c>
      <c r="AN1901" s="4" t="s">
        <v>30</v>
      </c>
    </row>
    <row r="1902" spans="1:40" ht="60" x14ac:dyDescent="0.2">
      <c r="A1902" s="1" t="s">
        <v>916</v>
      </c>
      <c r="B1902" s="1" t="s">
        <v>1533</v>
      </c>
      <c r="C1902" s="1" t="s">
        <v>5734</v>
      </c>
      <c r="D1902" s="1">
        <v>164</v>
      </c>
      <c r="E1902" s="1">
        <v>2</v>
      </c>
      <c r="F1902" s="1" t="s">
        <v>933</v>
      </c>
      <c r="G1902" s="1" t="s">
        <v>1534</v>
      </c>
      <c r="H1902" s="1" t="s">
        <v>26</v>
      </c>
      <c r="I1902" s="1" t="s">
        <v>104</v>
      </c>
      <c r="K1902" s="4" t="s">
        <v>1535</v>
      </c>
      <c r="L1902" s="4" t="s">
        <v>1536</v>
      </c>
      <c r="M1902" s="1"/>
      <c r="O1902" s="55">
        <v>2</v>
      </c>
      <c r="T1902" s="60">
        <v>6</v>
      </c>
      <c r="V1902" s="4" t="s">
        <v>1537</v>
      </c>
      <c r="AL1902" s="60" t="s">
        <v>30</v>
      </c>
      <c r="AN1902" s="4" t="s">
        <v>30</v>
      </c>
    </row>
    <row r="1903" spans="1:40" ht="36" x14ac:dyDescent="0.2">
      <c r="A1903" s="1" t="s">
        <v>916</v>
      </c>
      <c r="B1903" s="1" t="s">
        <v>1161</v>
      </c>
      <c r="C1903" s="1" t="s">
        <v>5734</v>
      </c>
      <c r="D1903" s="1">
        <v>165</v>
      </c>
      <c r="E1903" s="1">
        <v>3</v>
      </c>
      <c r="F1903" s="1" t="s">
        <v>933</v>
      </c>
      <c r="G1903" s="1" t="s">
        <v>1162</v>
      </c>
      <c r="I1903" s="1" t="s">
        <v>82</v>
      </c>
      <c r="K1903" s="4" t="s">
        <v>1149</v>
      </c>
      <c r="L1903" s="4"/>
      <c r="M1903" s="1"/>
      <c r="V1903" s="4" t="s">
        <v>1163</v>
      </c>
      <c r="W1903" s="4" t="s">
        <v>1164</v>
      </c>
      <c r="AL1903" s="60" t="s">
        <v>30</v>
      </c>
      <c r="AN1903" s="4" t="s">
        <v>30</v>
      </c>
    </row>
    <row r="1904" spans="1:40" ht="24" x14ac:dyDescent="0.2">
      <c r="A1904" s="1" t="s">
        <v>916</v>
      </c>
      <c r="B1904" s="1" t="s">
        <v>1198</v>
      </c>
      <c r="C1904" s="1" t="s">
        <v>5734</v>
      </c>
      <c r="D1904" s="1">
        <v>166</v>
      </c>
      <c r="E1904" s="1">
        <v>3</v>
      </c>
      <c r="F1904" s="1" t="s">
        <v>933</v>
      </c>
      <c r="G1904" s="1" t="s">
        <v>1199</v>
      </c>
      <c r="I1904" s="1" t="s">
        <v>82</v>
      </c>
      <c r="K1904" s="4"/>
      <c r="L1904" s="4"/>
      <c r="M1904" s="1"/>
      <c r="V1904" s="4" t="s">
        <v>1200</v>
      </c>
      <c r="W1904" s="4" t="s">
        <v>1201</v>
      </c>
      <c r="AL1904" s="60" t="s">
        <v>30</v>
      </c>
      <c r="AN1904" s="4" t="s">
        <v>30</v>
      </c>
    </row>
    <row r="1905" spans="1:40" ht="24" x14ac:dyDescent="0.2">
      <c r="A1905" s="1" t="s">
        <v>916</v>
      </c>
      <c r="B1905" s="1" t="s">
        <v>1347</v>
      </c>
      <c r="C1905" s="1" t="s">
        <v>5734</v>
      </c>
      <c r="D1905" s="1">
        <v>167</v>
      </c>
      <c r="E1905" s="1">
        <v>2</v>
      </c>
      <c r="F1905" s="1" t="s">
        <v>933</v>
      </c>
      <c r="G1905" s="1" t="s">
        <v>1348</v>
      </c>
      <c r="I1905" s="1" t="s">
        <v>82</v>
      </c>
      <c r="K1905" s="4"/>
      <c r="L1905" s="4" t="s">
        <v>155</v>
      </c>
      <c r="M1905" s="1"/>
      <c r="V1905" s="4" t="s">
        <v>1349</v>
      </c>
      <c r="W1905" s="4" t="s">
        <v>1350</v>
      </c>
      <c r="AL1905" s="60" t="s">
        <v>30</v>
      </c>
      <c r="AN1905" s="4" t="s">
        <v>30</v>
      </c>
    </row>
    <row r="1906" spans="1:40" ht="60" x14ac:dyDescent="0.2">
      <c r="A1906" s="1" t="s">
        <v>916</v>
      </c>
      <c r="B1906" s="1" t="s">
        <v>928</v>
      </c>
      <c r="C1906" s="1" t="s">
        <v>5734</v>
      </c>
      <c r="D1906" s="1">
        <v>168</v>
      </c>
      <c r="E1906" s="1">
        <v>3</v>
      </c>
      <c r="F1906" s="1" t="s">
        <v>933</v>
      </c>
      <c r="G1906" s="1" t="s">
        <v>929</v>
      </c>
      <c r="H1906" s="1" t="s">
        <v>26</v>
      </c>
      <c r="I1906" s="1" t="s">
        <v>94</v>
      </c>
      <c r="K1906" s="4" t="s">
        <v>930</v>
      </c>
      <c r="L1906" s="4" t="s">
        <v>931</v>
      </c>
      <c r="M1906" s="1"/>
      <c r="N1906" s="54">
        <v>50</v>
      </c>
      <c r="O1906" s="55">
        <v>6</v>
      </c>
      <c r="Q1906" s="57">
        <v>5</v>
      </c>
      <c r="R1906" s="58">
        <v>8</v>
      </c>
      <c r="S1906" s="59">
        <v>20</v>
      </c>
      <c r="V1906" s="4" t="s">
        <v>932</v>
      </c>
      <c r="AL1906" s="60" t="s">
        <v>30</v>
      </c>
      <c r="AN1906" s="4" t="s">
        <v>30</v>
      </c>
    </row>
    <row r="1907" spans="1:40" ht="36" x14ac:dyDescent="0.2">
      <c r="A1907" s="1" t="s">
        <v>916</v>
      </c>
      <c r="B1907" s="1" t="s">
        <v>982</v>
      </c>
      <c r="C1907" s="1" t="s">
        <v>5734</v>
      </c>
      <c r="D1907" s="1">
        <v>169</v>
      </c>
      <c r="E1907" s="1">
        <v>3</v>
      </c>
      <c r="F1907" s="1" t="s">
        <v>933</v>
      </c>
      <c r="G1907" s="1" t="s">
        <v>983</v>
      </c>
      <c r="I1907" s="1" t="s">
        <v>82</v>
      </c>
      <c r="K1907" s="4"/>
      <c r="L1907" s="4"/>
      <c r="M1907" s="1"/>
      <c r="V1907" s="4" t="s">
        <v>984</v>
      </c>
      <c r="W1907" s="4" t="s">
        <v>985</v>
      </c>
      <c r="AL1907" s="60" t="s">
        <v>30</v>
      </c>
      <c r="AN1907" s="4" t="s">
        <v>30</v>
      </c>
    </row>
    <row r="1908" spans="1:40" ht="24" x14ac:dyDescent="0.2">
      <c r="A1908" s="1" t="s">
        <v>916</v>
      </c>
      <c r="B1908" s="1" t="s">
        <v>1341</v>
      </c>
      <c r="C1908" s="1" t="s">
        <v>5734</v>
      </c>
      <c r="D1908" s="1">
        <v>170</v>
      </c>
      <c r="E1908" s="1">
        <v>3</v>
      </c>
      <c r="F1908" s="1" t="s">
        <v>933</v>
      </c>
      <c r="G1908" s="1" t="s">
        <v>1342</v>
      </c>
      <c r="I1908" s="1" t="s">
        <v>82</v>
      </c>
      <c r="K1908" s="4"/>
      <c r="L1908" s="4"/>
      <c r="M1908" s="1"/>
      <c r="V1908" s="4" t="s">
        <v>1343</v>
      </c>
      <c r="AL1908" s="60" t="s">
        <v>30</v>
      </c>
      <c r="AN1908" s="4" t="s">
        <v>30</v>
      </c>
    </row>
    <row r="1909" spans="1:40" ht="36" x14ac:dyDescent="0.2">
      <c r="A1909" s="1" t="s">
        <v>916</v>
      </c>
      <c r="B1909" s="1" t="s">
        <v>1465</v>
      </c>
      <c r="C1909" s="1" t="s">
        <v>5734</v>
      </c>
      <c r="D1909" s="1">
        <v>171</v>
      </c>
      <c r="E1909" s="1">
        <v>2</v>
      </c>
      <c r="F1909" s="1" t="s">
        <v>933</v>
      </c>
      <c r="G1909" s="1" t="s">
        <v>1466</v>
      </c>
      <c r="I1909" s="1" t="s">
        <v>82</v>
      </c>
      <c r="K1909" s="4"/>
      <c r="L1909" s="4"/>
      <c r="M1909" s="1"/>
      <c r="V1909" s="4" t="s">
        <v>1467</v>
      </c>
      <c r="AL1909" s="60" t="s">
        <v>30</v>
      </c>
      <c r="AN1909" s="4" t="s">
        <v>30</v>
      </c>
    </row>
    <row r="1910" spans="1:40" ht="24" x14ac:dyDescent="0.2">
      <c r="A1910" s="1" t="s">
        <v>916</v>
      </c>
      <c r="B1910" s="1" t="s">
        <v>1079</v>
      </c>
      <c r="C1910" s="1" t="s">
        <v>5734</v>
      </c>
      <c r="D1910" s="1">
        <v>172</v>
      </c>
      <c r="E1910" s="1">
        <v>3</v>
      </c>
      <c r="F1910" s="1" t="s">
        <v>933</v>
      </c>
      <c r="G1910" s="1" t="s">
        <v>1080</v>
      </c>
      <c r="I1910" s="1" t="s">
        <v>82</v>
      </c>
      <c r="K1910" s="4"/>
      <c r="L1910" s="4"/>
      <c r="M1910" s="1"/>
      <c r="V1910" s="4" t="s">
        <v>1081</v>
      </c>
      <c r="AL1910" s="60" t="s">
        <v>30</v>
      </c>
      <c r="AN1910" s="4" t="s">
        <v>30</v>
      </c>
    </row>
    <row r="1911" spans="1:40" ht="24" x14ac:dyDescent="0.2">
      <c r="A1911" s="1" t="s">
        <v>916</v>
      </c>
      <c r="B1911" s="1" t="s">
        <v>1541</v>
      </c>
      <c r="C1911" s="1" t="s">
        <v>5734</v>
      </c>
      <c r="D1911" s="1">
        <v>173</v>
      </c>
      <c r="E1911" s="1">
        <v>3</v>
      </c>
      <c r="F1911" s="1" t="s">
        <v>933</v>
      </c>
      <c r="G1911" s="1" t="s">
        <v>1542</v>
      </c>
      <c r="I1911" s="1" t="s">
        <v>104</v>
      </c>
      <c r="K1911" s="4" t="s">
        <v>1543</v>
      </c>
      <c r="L1911" s="4" t="s">
        <v>1179</v>
      </c>
      <c r="M1911" s="1"/>
      <c r="O1911" s="55">
        <v>3</v>
      </c>
      <c r="T1911" s="60">
        <v>5</v>
      </c>
      <c r="V1911" s="4" t="s">
        <v>1544</v>
      </c>
      <c r="AL1911" s="60" t="s">
        <v>30</v>
      </c>
      <c r="AN1911" s="4" t="s">
        <v>30</v>
      </c>
    </row>
    <row r="1912" spans="1:40" ht="72" x14ac:dyDescent="0.2">
      <c r="A1912" s="1" t="s">
        <v>916</v>
      </c>
      <c r="B1912" s="1" t="s">
        <v>1205</v>
      </c>
      <c r="C1912" s="1" t="s">
        <v>5734</v>
      </c>
      <c r="D1912" s="1">
        <v>174</v>
      </c>
      <c r="E1912" s="1">
        <v>3</v>
      </c>
      <c r="F1912" s="1" t="s">
        <v>933</v>
      </c>
      <c r="G1912" s="1" t="s">
        <v>1206</v>
      </c>
      <c r="H1912" s="1" t="s">
        <v>26</v>
      </c>
      <c r="I1912" s="1" t="s">
        <v>94</v>
      </c>
      <c r="K1912" s="4" t="s">
        <v>930</v>
      </c>
      <c r="L1912" s="4" t="s">
        <v>931</v>
      </c>
      <c r="M1912" s="1"/>
      <c r="N1912" s="54">
        <v>50</v>
      </c>
      <c r="O1912" s="55">
        <v>4</v>
      </c>
      <c r="Q1912" s="57">
        <v>8</v>
      </c>
      <c r="R1912" s="58">
        <v>6</v>
      </c>
      <c r="S1912" s="59">
        <v>20</v>
      </c>
      <c r="V1912" s="4" t="s">
        <v>1207</v>
      </c>
      <c r="AL1912" s="60" t="s">
        <v>30</v>
      </c>
      <c r="AN1912" s="4" t="s">
        <v>30</v>
      </c>
    </row>
    <row r="1913" spans="1:40" ht="60" x14ac:dyDescent="0.2">
      <c r="A1913" s="1" t="s">
        <v>916</v>
      </c>
      <c r="B1913" s="1" t="s">
        <v>992</v>
      </c>
      <c r="C1913" s="1" t="s">
        <v>5734</v>
      </c>
      <c r="D1913" s="1">
        <v>175</v>
      </c>
      <c r="E1913" s="1">
        <v>1</v>
      </c>
      <c r="F1913" s="1" t="s">
        <v>933</v>
      </c>
      <c r="G1913" s="1" t="s">
        <v>993</v>
      </c>
      <c r="H1913" s="1" t="s">
        <v>26</v>
      </c>
      <c r="I1913" s="1" t="s">
        <v>94</v>
      </c>
      <c r="K1913" s="4" t="s">
        <v>930</v>
      </c>
      <c r="L1913" s="4" t="s">
        <v>994</v>
      </c>
      <c r="M1913" s="1"/>
      <c r="N1913" s="54">
        <v>1</v>
      </c>
      <c r="O1913" s="55">
        <v>6</v>
      </c>
      <c r="Q1913" s="57">
        <v>9</v>
      </c>
      <c r="R1913" s="58">
        <v>9</v>
      </c>
      <c r="S1913" s="59">
        <v>25</v>
      </c>
      <c r="V1913" s="4" t="s">
        <v>995</v>
      </c>
      <c r="AL1913" s="60" t="s">
        <v>30</v>
      </c>
      <c r="AN1913" s="4" t="s">
        <v>30</v>
      </c>
    </row>
    <row r="1914" spans="1:40" ht="48" x14ac:dyDescent="0.2">
      <c r="A1914" s="1" t="s">
        <v>916</v>
      </c>
      <c r="B1914" s="1" t="s">
        <v>1468</v>
      </c>
      <c r="C1914" s="1" t="s">
        <v>5734</v>
      </c>
      <c r="D1914" s="1">
        <v>176</v>
      </c>
      <c r="E1914" s="1">
        <v>1</v>
      </c>
      <c r="F1914" s="1" t="s">
        <v>933</v>
      </c>
      <c r="G1914" s="1" t="s">
        <v>1469</v>
      </c>
      <c r="H1914" s="1" t="s">
        <v>26</v>
      </c>
      <c r="I1914" s="1" t="s">
        <v>88</v>
      </c>
      <c r="K1914" s="4" t="s">
        <v>1456</v>
      </c>
      <c r="L1914" s="4"/>
      <c r="M1914" s="1"/>
      <c r="P1914" s="56">
        <v>2</v>
      </c>
      <c r="Q1914" s="57">
        <v>2</v>
      </c>
      <c r="R1914" s="58">
        <v>2</v>
      </c>
      <c r="S1914" s="59">
        <v>4</v>
      </c>
      <c r="V1914" s="4" t="s">
        <v>1470</v>
      </c>
      <c r="AL1914" s="60" t="s">
        <v>30</v>
      </c>
      <c r="AN1914" s="4" t="s">
        <v>30</v>
      </c>
    </row>
    <row r="1915" spans="1:40" ht="60" x14ac:dyDescent="0.2">
      <c r="A1915" s="111" t="s">
        <v>916</v>
      </c>
      <c r="B1915" s="111" t="s">
        <v>1461</v>
      </c>
      <c r="C1915" s="111" t="s">
        <v>5734</v>
      </c>
      <c r="D1915" s="111">
        <v>177</v>
      </c>
      <c r="E1915" s="111">
        <v>1</v>
      </c>
      <c r="F1915" s="111" t="s">
        <v>924</v>
      </c>
      <c r="G1915" s="111" t="s">
        <v>8203</v>
      </c>
      <c r="I1915" s="1" t="s">
        <v>125</v>
      </c>
      <c r="K1915" s="4"/>
      <c r="L1915" s="4"/>
      <c r="M1915" s="1">
        <v>1</v>
      </c>
      <c r="N1915" s="54" t="s">
        <v>9529</v>
      </c>
      <c r="V1915" s="4" t="s">
        <v>1462</v>
      </c>
      <c r="X1915" s="1" t="s">
        <v>1463</v>
      </c>
      <c r="Y1915" s="1" t="s">
        <v>8203</v>
      </c>
      <c r="AA1915" s="1" t="s">
        <v>125</v>
      </c>
      <c r="AE1915" s="1">
        <v>1</v>
      </c>
      <c r="AF1915" s="54" t="s">
        <v>9530</v>
      </c>
      <c r="AL1915" s="60">
        <v>20</v>
      </c>
      <c r="AN1915" s="4" t="s">
        <v>1464</v>
      </c>
    </row>
    <row r="1916" spans="1:40" ht="120" x14ac:dyDescent="0.2">
      <c r="A1916" s="1" t="s">
        <v>916</v>
      </c>
      <c r="B1916" s="1" t="s">
        <v>1195</v>
      </c>
      <c r="C1916" s="1" t="s">
        <v>5734</v>
      </c>
      <c r="D1916" s="1">
        <v>178</v>
      </c>
      <c r="E1916" s="1">
        <v>1</v>
      </c>
      <c r="F1916" s="1" t="s">
        <v>924</v>
      </c>
      <c r="G1916" s="1" t="s">
        <v>8204</v>
      </c>
      <c r="I1916" s="1" t="s">
        <v>125</v>
      </c>
      <c r="K1916" s="4"/>
      <c r="L1916" s="4"/>
      <c r="M1916" s="1">
        <v>2</v>
      </c>
      <c r="N1916" s="54" t="s">
        <v>9529</v>
      </c>
      <c r="V1916" s="4" t="s">
        <v>1196</v>
      </c>
      <c r="Y1916" s="1" t="s">
        <v>8204</v>
      </c>
      <c r="AA1916" s="1" t="s">
        <v>125</v>
      </c>
      <c r="AE1916" s="1">
        <v>2</v>
      </c>
      <c r="AF1916" s="54" t="s">
        <v>9530</v>
      </c>
      <c r="AL1916" s="60" t="s">
        <v>799</v>
      </c>
      <c r="AN1916" s="4" t="s">
        <v>1197</v>
      </c>
    </row>
    <row r="1917" spans="1:40" ht="96" x14ac:dyDescent="0.2">
      <c r="A1917" s="1" t="s">
        <v>916</v>
      </c>
      <c r="B1917" s="1" t="s">
        <v>1089</v>
      </c>
      <c r="C1917" s="1" t="s">
        <v>5734</v>
      </c>
      <c r="D1917" s="1">
        <v>179</v>
      </c>
      <c r="E1917" s="1">
        <v>1</v>
      </c>
      <c r="F1917" s="1" t="s">
        <v>924</v>
      </c>
      <c r="G1917" s="1" t="s">
        <v>8205</v>
      </c>
      <c r="I1917" s="1" t="s">
        <v>125</v>
      </c>
      <c r="K1917" s="4"/>
      <c r="L1917" s="4"/>
      <c r="M1917" s="1">
        <v>3</v>
      </c>
      <c r="N1917" s="54" t="s">
        <v>9529</v>
      </c>
      <c r="V1917" s="4" t="s">
        <v>1090</v>
      </c>
      <c r="Y1917" s="1" t="s">
        <v>8205</v>
      </c>
      <c r="AA1917" s="1" t="s">
        <v>125</v>
      </c>
      <c r="AE1917" s="1">
        <v>3</v>
      </c>
      <c r="AF1917" s="54" t="s">
        <v>9530</v>
      </c>
      <c r="AL1917" s="60" t="s">
        <v>799</v>
      </c>
      <c r="AN1917" s="4" t="s">
        <v>1091</v>
      </c>
    </row>
    <row r="1918" spans="1:40" x14ac:dyDescent="0.2">
      <c r="A1918" s="1" t="s">
        <v>916</v>
      </c>
      <c r="B1918" s="1" t="s">
        <v>1573</v>
      </c>
      <c r="C1918" s="1" t="s">
        <v>5734</v>
      </c>
      <c r="D1918" s="1">
        <v>180</v>
      </c>
      <c r="E1918" s="1">
        <v>1</v>
      </c>
      <c r="F1918" s="1" t="s">
        <v>924</v>
      </c>
      <c r="G1918" s="1" t="s">
        <v>1574</v>
      </c>
      <c r="I1918" s="1" t="s">
        <v>3482</v>
      </c>
      <c r="K1918" s="4"/>
      <c r="L1918" s="4"/>
      <c r="M1918" s="1"/>
      <c r="N1918" s="54" t="s">
        <v>9529</v>
      </c>
      <c r="T1918" s="60" t="s">
        <v>799</v>
      </c>
      <c r="Y1918" s="1" t="s">
        <v>1574</v>
      </c>
      <c r="AA1918" s="1" t="s">
        <v>3482</v>
      </c>
      <c r="AF1918" s="54" t="s">
        <v>9530</v>
      </c>
      <c r="AL1918" s="60" t="s">
        <v>30</v>
      </c>
      <c r="AN1918" s="4" t="s">
        <v>30</v>
      </c>
    </row>
    <row r="1919" spans="1:40" ht="72" x14ac:dyDescent="0.2">
      <c r="A1919" s="1" t="s">
        <v>916</v>
      </c>
      <c r="B1919" s="1" t="s">
        <v>1169</v>
      </c>
      <c r="C1919" s="1" t="s">
        <v>5734</v>
      </c>
      <c r="D1919" s="1">
        <v>181</v>
      </c>
      <c r="E1919" s="1">
        <v>1</v>
      </c>
      <c r="F1919" s="1" t="s">
        <v>938</v>
      </c>
      <c r="G1919" s="1" t="s">
        <v>8206</v>
      </c>
      <c r="I1919" s="1" t="s">
        <v>125</v>
      </c>
      <c r="K1919" s="4"/>
      <c r="L1919" s="4"/>
      <c r="M1919" s="1">
        <v>1</v>
      </c>
      <c r="N1919" s="54" t="s">
        <v>9529</v>
      </c>
      <c r="V1919" s="4" t="s">
        <v>1170</v>
      </c>
      <c r="X1919" s="1" t="s">
        <v>1171</v>
      </c>
      <c r="Y1919" s="1" t="s">
        <v>8206</v>
      </c>
      <c r="AA1919" s="1" t="s">
        <v>125</v>
      </c>
      <c r="AE1919" s="1">
        <v>1</v>
      </c>
      <c r="AF1919" s="54" t="s">
        <v>9530</v>
      </c>
      <c r="AL1919" s="60" t="s">
        <v>799</v>
      </c>
      <c r="AN1919" s="4" t="s">
        <v>1172</v>
      </c>
    </row>
    <row r="1920" spans="1:40" ht="72" x14ac:dyDescent="0.2">
      <c r="A1920" s="1" t="s">
        <v>916</v>
      </c>
      <c r="B1920" s="1" t="s">
        <v>1151</v>
      </c>
      <c r="C1920" s="1" t="s">
        <v>5734</v>
      </c>
      <c r="D1920" s="1">
        <v>182</v>
      </c>
      <c r="E1920" s="1">
        <v>1</v>
      </c>
      <c r="F1920" s="1" t="s">
        <v>938</v>
      </c>
      <c r="G1920" s="1" t="s">
        <v>8207</v>
      </c>
      <c r="I1920" s="1" t="s">
        <v>125</v>
      </c>
      <c r="K1920" s="4"/>
      <c r="L1920" s="4"/>
      <c r="M1920" s="1">
        <v>2</v>
      </c>
      <c r="N1920" s="54" t="s">
        <v>9529</v>
      </c>
      <c r="V1920" s="4" t="s">
        <v>1152</v>
      </c>
      <c r="Y1920" s="1" t="s">
        <v>8207</v>
      </c>
      <c r="AA1920" s="1" t="s">
        <v>125</v>
      </c>
      <c r="AE1920" s="1">
        <v>2</v>
      </c>
      <c r="AF1920" s="54" t="s">
        <v>9530</v>
      </c>
      <c r="AL1920" s="60" t="s">
        <v>799</v>
      </c>
      <c r="AN1920" s="4" t="s">
        <v>1153</v>
      </c>
    </row>
    <row r="1921" spans="1:40" ht="84" x14ac:dyDescent="0.2">
      <c r="A1921" s="1" t="s">
        <v>916</v>
      </c>
      <c r="B1921" s="1" t="s">
        <v>1246</v>
      </c>
      <c r="C1921" s="1" t="s">
        <v>5734</v>
      </c>
      <c r="D1921" s="1">
        <v>183</v>
      </c>
      <c r="E1921" s="1">
        <v>1</v>
      </c>
      <c r="F1921" s="1" t="s">
        <v>938</v>
      </c>
      <c r="G1921" s="1" t="s">
        <v>8208</v>
      </c>
      <c r="I1921" s="1" t="s">
        <v>125</v>
      </c>
      <c r="K1921" s="4"/>
      <c r="L1921" s="4"/>
      <c r="M1921" s="1">
        <v>3</v>
      </c>
      <c r="N1921" s="54" t="s">
        <v>9529</v>
      </c>
      <c r="Y1921" s="1" t="s">
        <v>8208</v>
      </c>
      <c r="AA1921" s="1" t="s">
        <v>125</v>
      </c>
      <c r="AE1921" s="1">
        <v>3</v>
      </c>
      <c r="AF1921" s="54" t="s">
        <v>9530</v>
      </c>
      <c r="AL1921" s="60" t="s">
        <v>799</v>
      </c>
      <c r="AN1921" s="4" t="s">
        <v>1247</v>
      </c>
    </row>
    <row r="1922" spans="1:40" ht="48" x14ac:dyDescent="0.2">
      <c r="A1922" s="1" t="s">
        <v>916</v>
      </c>
      <c r="B1922" s="1" t="s">
        <v>1280</v>
      </c>
      <c r="C1922" s="1" t="s">
        <v>5734</v>
      </c>
      <c r="D1922" s="1">
        <v>184</v>
      </c>
      <c r="E1922" s="1">
        <v>1</v>
      </c>
      <c r="F1922" s="1" t="s">
        <v>938</v>
      </c>
      <c r="G1922" s="1" t="s">
        <v>8209</v>
      </c>
      <c r="I1922" s="1" t="s">
        <v>125</v>
      </c>
      <c r="K1922" s="4"/>
      <c r="L1922" s="4"/>
      <c r="M1922" s="1">
        <v>4</v>
      </c>
      <c r="N1922" s="54" t="s">
        <v>9529</v>
      </c>
      <c r="V1922" s="4" t="s">
        <v>1281</v>
      </c>
      <c r="Y1922" s="1" t="s">
        <v>8209</v>
      </c>
      <c r="AA1922" s="1" t="s">
        <v>125</v>
      </c>
      <c r="AE1922" s="1">
        <v>4</v>
      </c>
      <c r="AF1922" s="54" t="s">
        <v>9530</v>
      </c>
      <c r="AL1922" s="60" t="s">
        <v>799</v>
      </c>
      <c r="AN1922" s="4" t="s">
        <v>1282</v>
      </c>
    </row>
    <row r="1923" spans="1:40" x14ac:dyDescent="0.2">
      <c r="A1923" s="1" t="s">
        <v>916</v>
      </c>
      <c r="B1923" s="1" t="s">
        <v>990</v>
      </c>
      <c r="C1923" s="1" t="s">
        <v>5734</v>
      </c>
      <c r="D1923" s="1">
        <v>185</v>
      </c>
      <c r="E1923" s="1">
        <v>1</v>
      </c>
      <c r="F1923" s="1" t="s">
        <v>938</v>
      </c>
      <c r="G1923" s="1" t="s">
        <v>991</v>
      </c>
      <c r="I1923" s="1" t="s">
        <v>3482</v>
      </c>
      <c r="K1923" s="4"/>
      <c r="L1923" s="4"/>
      <c r="M1923" s="1"/>
      <c r="N1923" s="54" t="s">
        <v>9529</v>
      </c>
      <c r="T1923" s="60" t="s">
        <v>799</v>
      </c>
      <c r="Y1923" s="1" t="s">
        <v>991</v>
      </c>
      <c r="AA1923" s="1" t="s">
        <v>3482</v>
      </c>
      <c r="AF1923" s="54" t="s">
        <v>9530</v>
      </c>
      <c r="AL1923" s="60" t="s">
        <v>30</v>
      </c>
      <c r="AN1923" s="4" t="s">
        <v>30</v>
      </c>
    </row>
    <row r="1924" spans="1:40" ht="108" x14ac:dyDescent="0.2">
      <c r="A1924" s="1" t="s">
        <v>916</v>
      </c>
      <c r="B1924" s="1" t="s">
        <v>962</v>
      </c>
      <c r="C1924" s="1" t="s">
        <v>5734</v>
      </c>
      <c r="D1924" s="1">
        <v>186</v>
      </c>
      <c r="E1924" s="1">
        <v>1</v>
      </c>
      <c r="F1924" s="1" t="s">
        <v>933</v>
      </c>
      <c r="G1924" s="1" t="s">
        <v>8210</v>
      </c>
      <c r="I1924" s="1" t="s">
        <v>125</v>
      </c>
      <c r="K1924" s="4"/>
      <c r="L1924" s="4"/>
      <c r="M1924" s="1">
        <v>1</v>
      </c>
      <c r="N1924" s="54" t="s">
        <v>9529</v>
      </c>
      <c r="V1924" s="4" t="s">
        <v>963</v>
      </c>
      <c r="X1924" s="1" t="s">
        <v>964</v>
      </c>
      <c r="Y1924" s="1" t="s">
        <v>8210</v>
      </c>
      <c r="AA1924" s="1" t="s">
        <v>125</v>
      </c>
      <c r="AE1924" s="1">
        <v>1</v>
      </c>
      <c r="AF1924" s="54" t="s">
        <v>9530</v>
      </c>
      <c r="AL1924" s="60">
        <v>20</v>
      </c>
      <c r="AN1924" s="4" t="s">
        <v>965</v>
      </c>
    </row>
    <row r="1925" spans="1:40" ht="96" x14ac:dyDescent="0.2">
      <c r="A1925" s="1" t="s">
        <v>916</v>
      </c>
      <c r="B1925" s="1" t="s">
        <v>1526</v>
      </c>
      <c r="C1925" s="1" t="s">
        <v>5734</v>
      </c>
      <c r="D1925" s="1">
        <v>187</v>
      </c>
      <c r="E1925" s="1">
        <v>1</v>
      </c>
      <c r="F1925" s="1" t="s">
        <v>933</v>
      </c>
      <c r="G1925" s="1" t="s">
        <v>8211</v>
      </c>
      <c r="I1925" s="1" t="s">
        <v>125</v>
      </c>
      <c r="K1925" s="4"/>
      <c r="L1925" s="4"/>
      <c r="M1925" s="1">
        <v>2</v>
      </c>
      <c r="N1925" s="54" t="s">
        <v>9529</v>
      </c>
      <c r="V1925" s="4" t="s">
        <v>1527</v>
      </c>
      <c r="Y1925" s="1" t="s">
        <v>8211</v>
      </c>
      <c r="AA1925" s="1" t="s">
        <v>125</v>
      </c>
      <c r="AE1925" s="1">
        <v>2</v>
      </c>
      <c r="AF1925" s="54" t="s">
        <v>9530</v>
      </c>
      <c r="AL1925" s="60" t="s">
        <v>799</v>
      </c>
      <c r="AN1925" s="4" t="s">
        <v>1528</v>
      </c>
    </row>
    <row r="1926" spans="1:40" ht="84" x14ac:dyDescent="0.2">
      <c r="A1926" s="1" t="s">
        <v>916</v>
      </c>
      <c r="B1926" s="1" t="s">
        <v>1103</v>
      </c>
      <c r="C1926" s="1" t="s">
        <v>5734</v>
      </c>
      <c r="D1926" s="1">
        <v>188</v>
      </c>
      <c r="E1926" s="1">
        <v>1</v>
      </c>
      <c r="F1926" s="1" t="s">
        <v>933</v>
      </c>
      <c r="G1926" s="1" t="s">
        <v>8212</v>
      </c>
      <c r="I1926" s="1" t="s">
        <v>125</v>
      </c>
      <c r="K1926" s="4"/>
      <c r="L1926" s="4"/>
      <c r="M1926" s="1">
        <v>3</v>
      </c>
      <c r="N1926" s="54" t="s">
        <v>9529</v>
      </c>
      <c r="V1926" s="4" t="s">
        <v>1104</v>
      </c>
      <c r="Y1926" s="1" t="s">
        <v>8212</v>
      </c>
      <c r="AA1926" s="1" t="s">
        <v>125</v>
      </c>
      <c r="AE1926" s="1">
        <v>3</v>
      </c>
      <c r="AF1926" s="54" t="s">
        <v>9530</v>
      </c>
      <c r="AL1926" s="60" t="s">
        <v>799</v>
      </c>
      <c r="AN1926" s="4" t="s">
        <v>1105</v>
      </c>
    </row>
    <row r="1927" spans="1:40" x14ac:dyDescent="0.2">
      <c r="A1927" s="1" t="s">
        <v>916</v>
      </c>
      <c r="B1927" s="1" t="s">
        <v>1521</v>
      </c>
      <c r="C1927" s="1" t="s">
        <v>5734</v>
      </c>
      <c r="D1927" s="1">
        <v>189</v>
      </c>
      <c r="E1927" s="1">
        <v>1</v>
      </c>
      <c r="F1927" s="1" t="s">
        <v>933</v>
      </c>
      <c r="G1927" s="1" t="s">
        <v>1522</v>
      </c>
      <c r="I1927" s="1" t="s">
        <v>3482</v>
      </c>
      <c r="K1927" s="4"/>
      <c r="L1927" s="4"/>
      <c r="M1927" s="1">
        <v>4</v>
      </c>
      <c r="N1927" s="54" t="s">
        <v>9529</v>
      </c>
      <c r="T1927" s="60" t="s">
        <v>799</v>
      </c>
      <c r="Y1927" s="1" t="s">
        <v>1522</v>
      </c>
      <c r="AA1927" s="1" t="s">
        <v>3482</v>
      </c>
      <c r="AF1927" s="54" t="s">
        <v>9530</v>
      </c>
      <c r="AL1927" s="60" t="s">
        <v>30</v>
      </c>
      <c r="AN1927" s="4" t="s">
        <v>30</v>
      </c>
    </row>
    <row r="1928" spans="1:40" ht="60" x14ac:dyDescent="0.2">
      <c r="A1928" s="115" t="s">
        <v>7985</v>
      </c>
      <c r="B1928" s="115" t="s">
        <v>7986</v>
      </c>
      <c r="C1928" s="115" t="s">
        <v>8062</v>
      </c>
      <c r="D1928" s="115">
        <v>1</v>
      </c>
      <c r="E1928" s="115">
        <v>1</v>
      </c>
      <c r="F1928" s="115" t="s">
        <v>7987</v>
      </c>
      <c r="G1928" s="115" t="s">
        <v>9587</v>
      </c>
      <c r="I1928" s="1" t="s">
        <v>125</v>
      </c>
      <c r="K1928" s="4"/>
      <c r="L1928" s="4"/>
      <c r="M1928" s="1">
        <v>1</v>
      </c>
      <c r="N1928" s="54" t="s">
        <v>9529</v>
      </c>
      <c r="O1928" s="69"/>
      <c r="P1928" s="70"/>
      <c r="Q1928" s="71"/>
      <c r="R1928" s="72"/>
      <c r="S1928" s="73"/>
      <c r="V1928" s="4" t="s">
        <v>8063</v>
      </c>
      <c r="X1928" s="1" t="s">
        <v>7988</v>
      </c>
      <c r="Y1928" s="1" t="s">
        <v>9587</v>
      </c>
      <c r="AA1928" s="1" t="s">
        <v>125</v>
      </c>
      <c r="AE1928" s="1">
        <v>1</v>
      </c>
      <c r="AF1928" s="54" t="s">
        <v>9530</v>
      </c>
      <c r="AG1928" s="69"/>
      <c r="AH1928" s="70"/>
      <c r="AI1928" s="71"/>
      <c r="AJ1928" s="72"/>
      <c r="AK1928" s="73"/>
      <c r="AL1928" s="60">
        <v>10</v>
      </c>
      <c r="AN1928" s="4" t="s">
        <v>7989</v>
      </c>
    </row>
    <row r="1929" spans="1:40" ht="36" x14ac:dyDescent="0.2">
      <c r="A1929" s="1" t="s">
        <v>7985</v>
      </c>
      <c r="B1929" s="1" t="s">
        <v>7990</v>
      </c>
      <c r="C1929" s="1" t="s">
        <v>8062</v>
      </c>
      <c r="D1929" s="1">
        <v>2</v>
      </c>
      <c r="E1929" s="1">
        <v>1</v>
      </c>
      <c r="F1929" s="1" t="s">
        <v>7987</v>
      </c>
      <c r="G1929" s="1" t="s">
        <v>9644</v>
      </c>
      <c r="I1929" s="1" t="s">
        <v>125</v>
      </c>
      <c r="K1929" s="4"/>
      <c r="L1929" s="4"/>
      <c r="M1929" s="1">
        <v>2</v>
      </c>
      <c r="N1929" s="54" t="s">
        <v>9529</v>
      </c>
      <c r="O1929" s="69"/>
      <c r="P1929" s="70"/>
      <c r="Q1929" s="71"/>
      <c r="R1929" s="72"/>
      <c r="S1929" s="73"/>
      <c r="V1929" s="4" t="s">
        <v>7991</v>
      </c>
      <c r="Y1929" s="1" t="s">
        <v>9644</v>
      </c>
      <c r="AA1929" s="1" t="s">
        <v>125</v>
      </c>
      <c r="AE1929" s="1">
        <v>2</v>
      </c>
      <c r="AF1929" s="54" t="s">
        <v>9530</v>
      </c>
      <c r="AG1929" s="69"/>
      <c r="AH1929" s="70"/>
      <c r="AI1929" s="71"/>
      <c r="AJ1929" s="72"/>
      <c r="AK1929" s="73"/>
      <c r="AL1929" s="60">
        <v>10</v>
      </c>
      <c r="AN1929" s="4" t="s">
        <v>7992</v>
      </c>
    </row>
    <row r="1930" spans="1:40" ht="36" x14ac:dyDescent="0.2">
      <c r="A1930" s="1" t="s">
        <v>7985</v>
      </c>
      <c r="B1930" s="1" t="s">
        <v>7993</v>
      </c>
      <c r="C1930" s="1" t="s">
        <v>8062</v>
      </c>
      <c r="D1930" s="1">
        <v>3</v>
      </c>
      <c r="E1930" s="1">
        <v>1</v>
      </c>
      <c r="F1930" s="1" t="s">
        <v>7987</v>
      </c>
      <c r="G1930" s="1" t="s">
        <v>9704</v>
      </c>
      <c r="I1930" s="1" t="s">
        <v>125</v>
      </c>
      <c r="K1930" s="4"/>
      <c r="L1930" s="4"/>
      <c r="M1930" s="1">
        <v>3</v>
      </c>
      <c r="N1930" s="54" t="s">
        <v>9529</v>
      </c>
      <c r="O1930" s="69"/>
      <c r="P1930" s="70"/>
      <c r="Q1930" s="71"/>
      <c r="R1930" s="72"/>
      <c r="S1930" s="73"/>
      <c r="V1930" s="4" t="s">
        <v>7994</v>
      </c>
      <c r="Y1930" s="1" t="s">
        <v>9704</v>
      </c>
      <c r="AA1930" s="1" t="s">
        <v>125</v>
      </c>
      <c r="AE1930" s="1">
        <v>3</v>
      </c>
      <c r="AF1930" s="54" t="s">
        <v>9530</v>
      </c>
      <c r="AG1930" s="69"/>
      <c r="AH1930" s="70"/>
      <c r="AI1930" s="71"/>
      <c r="AJ1930" s="72"/>
      <c r="AK1930" s="73"/>
      <c r="AL1930" s="60">
        <v>10</v>
      </c>
      <c r="AN1930" s="4" t="s">
        <v>7995</v>
      </c>
    </row>
    <row r="1931" spans="1:40" ht="48" x14ac:dyDescent="0.2">
      <c r="A1931" s="1" t="s">
        <v>7985</v>
      </c>
      <c r="B1931" s="1" t="s">
        <v>7996</v>
      </c>
      <c r="C1931" s="1" t="s">
        <v>8062</v>
      </c>
      <c r="D1931" s="1">
        <v>4</v>
      </c>
      <c r="E1931" s="1">
        <v>1</v>
      </c>
      <c r="F1931" s="1" t="s">
        <v>7987</v>
      </c>
      <c r="G1931" s="1" t="s">
        <v>7997</v>
      </c>
      <c r="H1931" s="1" t="s">
        <v>26</v>
      </c>
      <c r="I1931" s="1" t="s">
        <v>94</v>
      </c>
      <c r="K1931" s="4" t="s">
        <v>7998</v>
      </c>
      <c r="L1931" s="4" t="s">
        <v>331</v>
      </c>
      <c r="M1931" s="1"/>
      <c r="N1931" s="68">
        <v>25</v>
      </c>
      <c r="O1931" s="69" t="s">
        <v>113</v>
      </c>
      <c r="P1931" s="70"/>
      <c r="Q1931" s="71" t="s">
        <v>113</v>
      </c>
      <c r="R1931" s="72">
        <v>4</v>
      </c>
      <c r="S1931" s="73">
        <v>7</v>
      </c>
      <c r="U1931" s="1">
        <v>2</v>
      </c>
      <c r="V1931" s="4" t="s">
        <v>7999</v>
      </c>
      <c r="X1931" s="1" t="s">
        <v>1681</v>
      </c>
      <c r="AF1931" s="68"/>
      <c r="AG1931" s="69"/>
      <c r="AH1931" s="70"/>
      <c r="AI1931" s="71"/>
      <c r="AJ1931" s="72"/>
      <c r="AK1931" s="73"/>
      <c r="AL1931" s="60" t="s">
        <v>30</v>
      </c>
    </row>
    <row r="1932" spans="1:40" ht="48" x14ac:dyDescent="0.2">
      <c r="A1932" s="1" t="s">
        <v>7985</v>
      </c>
      <c r="B1932" s="1" t="s">
        <v>8000</v>
      </c>
      <c r="C1932" s="1" t="s">
        <v>8062</v>
      </c>
      <c r="D1932" s="1">
        <v>5</v>
      </c>
      <c r="E1932" s="1">
        <v>1</v>
      </c>
      <c r="F1932" s="1" t="s">
        <v>7987</v>
      </c>
      <c r="G1932" s="1" t="s">
        <v>8001</v>
      </c>
      <c r="H1932" s="1" t="s">
        <v>26</v>
      </c>
      <c r="I1932" s="1" t="s">
        <v>94</v>
      </c>
      <c r="K1932" s="4" t="s">
        <v>7998</v>
      </c>
      <c r="L1932" s="4" t="s">
        <v>8002</v>
      </c>
      <c r="M1932" s="1"/>
      <c r="N1932" s="68">
        <v>45</v>
      </c>
      <c r="O1932" s="69" t="s">
        <v>113</v>
      </c>
      <c r="P1932" s="70"/>
      <c r="Q1932" s="71" t="s">
        <v>113</v>
      </c>
      <c r="R1932" s="72">
        <v>6</v>
      </c>
      <c r="S1932" s="73">
        <v>7</v>
      </c>
      <c r="U1932" s="1">
        <v>3</v>
      </c>
      <c r="V1932" s="4" t="s">
        <v>8003</v>
      </c>
      <c r="X1932" s="1" t="s">
        <v>1681</v>
      </c>
      <c r="AF1932" s="68"/>
      <c r="AG1932" s="69"/>
      <c r="AH1932" s="70"/>
      <c r="AI1932" s="71"/>
      <c r="AJ1932" s="72"/>
      <c r="AK1932" s="73"/>
      <c r="AL1932" s="60" t="s">
        <v>30</v>
      </c>
    </row>
    <row r="1933" spans="1:40" ht="60" x14ac:dyDescent="0.2">
      <c r="A1933" s="1" t="s">
        <v>7985</v>
      </c>
      <c r="B1933" s="1" t="s">
        <v>8004</v>
      </c>
      <c r="C1933" s="1" t="s">
        <v>8062</v>
      </c>
      <c r="D1933" s="1">
        <v>6</v>
      </c>
      <c r="E1933" s="1">
        <v>1</v>
      </c>
      <c r="F1933" s="1" t="s">
        <v>7987</v>
      </c>
      <c r="G1933" s="1" t="s">
        <v>2265</v>
      </c>
      <c r="H1933" s="1" t="s">
        <v>26</v>
      </c>
      <c r="I1933" s="1" t="s">
        <v>94</v>
      </c>
      <c r="K1933" s="4" t="s">
        <v>7998</v>
      </c>
      <c r="L1933" s="4" t="s">
        <v>8005</v>
      </c>
      <c r="M1933" s="1"/>
      <c r="N1933" s="68">
        <v>20</v>
      </c>
      <c r="O1933" s="69" t="s">
        <v>113</v>
      </c>
      <c r="P1933" s="70"/>
      <c r="Q1933" s="71" t="s">
        <v>113</v>
      </c>
      <c r="R1933" s="72" t="s">
        <v>113</v>
      </c>
      <c r="S1933" s="73">
        <v>9</v>
      </c>
      <c r="V1933" s="4" t="s">
        <v>8006</v>
      </c>
      <c r="X1933" s="1" t="s">
        <v>1681</v>
      </c>
      <c r="AF1933" s="68"/>
      <c r="AG1933" s="69"/>
      <c r="AH1933" s="70"/>
      <c r="AI1933" s="71"/>
      <c r="AJ1933" s="72"/>
      <c r="AK1933" s="73"/>
      <c r="AL1933" s="60" t="s">
        <v>30</v>
      </c>
    </row>
    <row r="1934" spans="1:40" ht="24" x14ac:dyDescent="0.2">
      <c r="A1934" s="1" t="s">
        <v>7985</v>
      </c>
      <c r="B1934" s="1" t="s">
        <v>8007</v>
      </c>
      <c r="C1934" s="1" t="s">
        <v>8062</v>
      </c>
      <c r="D1934" s="1">
        <v>7</v>
      </c>
      <c r="E1934" s="1">
        <v>3</v>
      </c>
      <c r="F1934" s="1" t="s">
        <v>7987</v>
      </c>
      <c r="G1934" s="1" t="s">
        <v>8008</v>
      </c>
      <c r="I1934" s="1" t="s">
        <v>94</v>
      </c>
      <c r="K1934" s="4" t="s">
        <v>8009</v>
      </c>
      <c r="L1934" s="4"/>
      <c r="M1934" s="1"/>
      <c r="N1934" s="68">
        <v>30</v>
      </c>
      <c r="O1934" s="69">
        <v>1</v>
      </c>
      <c r="P1934" s="70"/>
      <c r="Q1934" s="71">
        <v>4</v>
      </c>
      <c r="R1934" s="72">
        <v>3</v>
      </c>
      <c r="S1934" s="73">
        <v>3</v>
      </c>
      <c r="V1934" s="4" t="s">
        <v>8010</v>
      </c>
      <c r="W1934" s="4" t="s">
        <v>8011</v>
      </c>
      <c r="AF1934" s="68"/>
      <c r="AG1934" s="69"/>
      <c r="AH1934" s="70"/>
      <c r="AI1934" s="71"/>
      <c r="AJ1934" s="72"/>
      <c r="AK1934" s="73"/>
      <c r="AL1934" s="60" t="s">
        <v>30</v>
      </c>
    </row>
    <row r="1935" spans="1:40" ht="36" x14ac:dyDescent="0.2">
      <c r="A1935" s="1" t="s">
        <v>7985</v>
      </c>
      <c r="B1935" s="1" t="s">
        <v>8012</v>
      </c>
      <c r="C1935" s="1" t="s">
        <v>8062</v>
      </c>
      <c r="D1935" s="1">
        <v>8</v>
      </c>
      <c r="E1935" s="1">
        <v>2</v>
      </c>
      <c r="F1935" s="1" t="s">
        <v>7987</v>
      </c>
      <c r="G1935" s="1" t="s">
        <v>5762</v>
      </c>
      <c r="I1935" s="1" t="s">
        <v>94</v>
      </c>
      <c r="K1935" s="4" t="s">
        <v>8013</v>
      </c>
      <c r="L1935" s="4" t="s">
        <v>8014</v>
      </c>
      <c r="M1935" s="1"/>
      <c r="N1935" s="68">
        <v>35</v>
      </c>
      <c r="O1935" s="69" t="s">
        <v>113</v>
      </c>
      <c r="P1935" s="70"/>
      <c r="Q1935" s="71" t="s">
        <v>113</v>
      </c>
      <c r="R1935" s="72" t="s">
        <v>113</v>
      </c>
      <c r="S1935" s="73">
        <v>7</v>
      </c>
      <c r="V1935" s="4" t="s">
        <v>8015</v>
      </c>
      <c r="AF1935" s="68"/>
      <c r="AG1935" s="69"/>
      <c r="AH1935" s="70"/>
      <c r="AI1935" s="71"/>
      <c r="AJ1935" s="72"/>
      <c r="AK1935" s="73"/>
      <c r="AL1935" s="60" t="s">
        <v>30</v>
      </c>
    </row>
    <row r="1936" spans="1:40" ht="48" x14ac:dyDescent="0.2">
      <c r="A1936" s="1" t="s">
        <v>7985</v>
      </c>
      <c r="B1936" s="1" t="s">
        <v>8016</v>
      </c>
      <c r="C1936" s="1" t="s">
        <v>8062</v>
      </c>
      <c r="D1936" s="1">
        <v>9</v>
      </c>
      <c r="E1936" s="1">
        <v>4</v>
      </c>
      <c r="F1936" s="1" t="s">
        <v>7987</v>
      </c>
      <c r="G1936" s="1" t="s">
        <v>8017</v>
      </c>
      <c r="I1936" s="1" t="s">
        <v>94</v>
      </c>
      <c r="K1936" s="4" t="s">
        <v>8013</v>
      </c>
      <c r="L1936" s="4" t="s">
        <v>8018</v>
      </c>
      <c r="M1936" s="1"/>
      <c r="N1936" s="68">
        <v>30</v>
      </c>
      <c r="O1936" s="69" t="s">
        <v>113</v>
      </c>
      <c r="P1936" s="70"/>
      <c r="Q1936" s="71" t="s">
        <v>113</v>
      </c>
      <c r="R1936" s="72" t="s">
        <v>113</v>
      </c>
      <c r="S1936" s="73">
        <v>3</v>
      </c>
      <c r="V1936" s="4" t="s">
        <v>8019</v>
      </c>
      <c r="AF1936" s="68"/>
      <c r="AG1936" s="69"/>
      <c r="AH1936" s="70"/>
      <c r="AI1936" s="71"/>
      <c r="AJ1936" s="72"/>
      <c r="AK1936" s="73"/>
      <c r="AL1936" s="60" t="s">
        <v>30</v>
      </c>
    </row>
    <row r="1937" spans="1:40" ht="48" x14ac:dyDescent="0.2">
      <c r="A1937" s="1" t="s">
        <v>7985</v>
      </c>
      <c r="B1937" s="1" t="s">
        <v>8020</v>
      </c>
      <c r="C1937" s="1" t="s">
        <v>8062</v>
      </c>
      <c r="D1937" s="1">
        <v>10</v>
      </c>
      <c r="E1937" s="1">
        <v>4</v>
      </c>
      <c r="F1937" s="1" t="s">
        <v>7987</v>
      </c>
      <c r="G1937" s="1" t="s">
        <v>8021</v>
      </c>
      <c r="I1937" s="1" t="s">
        <v>94</v>
      </c>
      <c r="K1937" s="4" t="s">
        <v>8013</v>
      </c>
      <c r="L1937" s="4" t="s">
        <v>8018</v>
      </c>
      <c r="M1937" s="1"/>
      <c r="N1937" s="68">
        <v>35</v>
      </c>
      <c r="O1937" s="69" t="s">
        <v>113</v>
      </c>
      <c r="P1937" s="70"/>
      <c r="Q1937" s="71" t="s">
        <v>113</v>
      </c>
      <c r="R1937" s="72" t="s">
        <v>113</v>
      </c>
      <c r="S1937" s="73">
        <v>3</v>
      </c>
      <c r="V1937" s="4" t="s">
        <v>8022</v>
      </c>
      <c r="AF1937" s="68"/>
      <c r="AG1937" s="69"/>
      <c r="AH1937" s="70"/>
      <c r="AI1937" s="71"/>
      <c r="AJ1937" s="72"/>
      <c r="AK1937" s="73"/>
      <c r="AL1937" s="60" t="s">
        <v>30</v>
      </c>
    </row>
    <row r="1938" spans="1:40" ht="60" x14ac:dyDescent="0.2">
      <c r="A1938" s="1" t="s">
        <v>7985</v>
      </c>
      <c r="B1938" s="1" t="s">
        <v>8023</v>
      </c>
      <c r="C1938" s="1" t="s">
        <v>8062</v>
      </c>
      <c r="D1938" s="1">
        <v>11</v>
      </c>
      <c r="E1938" s="1">
        <v>1</v>
      </c>
      <c r="F1938" s="1" t="s">
        <v>7987</v>
      </c>
      <c r="G1938" s="1" t="s">
        <v>8024</v>
      </c>
      <c r="I1938" s="1" t="s">
        <v>104</v>
      </c>
      <c r="K1938" s="4" t="s">
        <v>8064</v>
      </c>
      <c r="L1938" s="4" t="s">
        <v>8025</v>
      </c>
      <c r="M1938" s="1"/>
      <c r="N1938" s="68"/>
      <c r="O1938" s="69" t="s">
        <v>113</v>
      </c>
      <c r="P1938" s="70"/>
      <c r="Q1938" s="71"/>
      <c r="R1938" s="72"/>
      <c r="S1938" s="73"/>
      <c r="T1938" s="60" t="s">
        <v>799</v>
      </c>
      <c r="V1938" s="4" t="s">
        <v>8026</v>
      </c>
      <c r="X1938" s="1" t="s">
        <v>1629</v>
      </c>
      <c r="AF1938" s="68"/>
      <c r="AG1938" s="69"/>
      <c r="AH1938" s="70"/>
      <c r="AI1938" s="71"/>
      <c r="AJ1938" s="72"/>
      <c r="AK1938" s="73"/>
      <c r="AL1938" s="60" t="s">
        <v>30</v>
      </c>
    </row>
    <row r="1939" spans="1:40" ht="60" x14ac:dyDescent="0.2">
      <c r="A1939" s="1" t="s">
        <v>7985</v>
      </c>
      <c r="B1939" s="1" t="s">
        <v>8027</v>
      </c>
      <c r="C1939" s="1" t="s">
        <v>8062</v>
      </c>
      <c r="D1939" s="1">
        <v>12</v>
      </c>
      <c r="E1939" s="1">
        <v>1</v>
      </c>
      <c r="F1939" s="1" t="s">
        <v>7987</v>
      </c>
      <c r="G1939" s="1" t="s">
        <v>8028</v>
      </c>
      <c r="I1939" s="1" t="s">
        <v>104</v>
      </c>
      <c r="K1939" s="4" t="s">
        <v>8064</v>
      </c>
      <c r="L1939" s="4" t="s">
        <v>8025</v>
      </c>
      <c r="M1939" s="1"/>
      <c r="N1939" s="68"/>
      <c r="O1939" s="69" t="s">
        <v>113</v>
      </c>
      <c r="P1939" s="70"/>
      <c r="Q1939" s="71"/>
      <c r="R1939" s="72"/>
      <c r="S1939" s="73"/>
      <c r="T1939" s="60" t="s">
        <v>799</v>
      </c>
      <c r="V1939" s="4" t="s">
        <v>8029</v>
      </c>
      <c r="X1939" s="1" t="s">
        <v>1681</v>
      </c>
      <c r="AF1939" s="68"/>
      <c r="AG1939" s="69"/>
      <c r="AH1939" s="70"/>
      <c r="AI1939" s="71"/>
      <c r="AJ1939" s="72"/>
      <c r="AK1939" s="73"/>
      <c r="AL1939" s="60" t="s">
        <v>30</v>
      </c>
    </row>
    <row r="1940" spans="1:40" ht="60" x14ac:dyDescent="0.2">
      <c r="A1940" s="1" t="s">
        <v>7985</v>
      </c>
      <c r="B1940" s="1" t="s">
        <v>8030</v>
      </c>
      <c r="C1940" s="1" t="s">
        <v>8062</v>
      </c>
      <c r="D1940" s="1">
        <v>13</v>
      </c>
      <c r="E1940" s="1">
        <v>1</v>
      </c>
      <c r="F1940" s="1" t="s">
        <v>7987</v>
      </c>
      <c r="G1940" s="1" t="s">
        <v>8031</v>
      </c>
      <c r="I1940" s="1" t="s">
        <v>104</v>
      </c>
      <c r="K1940" s="4" t="s">
        <v>8064</v>
      </c>
      <c r="L1940" s="4" t="s">
        <v>8032</v>
      </c>
      <c r="M1940" s="1"/>
      <c r="N1940" s="68"/>
      <c r="O1940" s="69" t="s">
        <v>113</v>
      </c>
      <c r="P1940" s="70"/>
      <c r="Q1940" s="71"/>
      <c r="R1940" s="72"/>
      <c r="S1940" s="73"/>
      <c r="T1940" s="60" t="s">
        <v>799</v>
      </c>
      <c r="V1940" s="4" t="s">
        <v>8033</v>
      </c>
      <c r="X1940" s="1" t="s">
        <v>1681</v>
      </c>
      <c r="AF1940" s="68"/>
      <c r="AG1940" s="69"/>
      <c r="AH1940" s="70"/>
      <c r="AI1940" s="71"/>
      <c r="AJ1940" s="72"/>
      <c r="AK1940" s="73"/>
      <c r="AL1940" s="60" t="s">
        <v>30</v>
      </c>
    </row>
    <row r="1941" spans="1:40" x14ac:dyDescent="0.2">
      <c r="A1941" s="1" t="s">
        <v>7985</v>
      </c>
      <c r="B1941" s="1" t="s">
        <v>8034</v>
      </c>
      <c r="C1941" s="1" t="s">
        <v>8062</v>
      </c>
      <c r="D1941" s="1">
        <v>14</v>
      </c>
      <c r="E1941" s="1">
        <v>3</v>
      </c>
      <c r="F1941" s="1" t="s">
        <v>7987</v>
      </c>
      <c r="G1941" s="1" t="s">
        <v>8035</v>
      </c>
      <c r="I1941" s="1" t="s">
        <v>104</v>
      </c>
      <c r="K1941" s="4" t="s">
        <v>1762</v>
      </c>
      <c r="L1941" s="4"/>
      <c r="M1941" s="1"/>
      <c r="N1941" s="68"/>
      <c r="O1941" s="69" t="s">
        <v>113</v>
      </c>
      <c r="P1941" s="70"/>
      <c r="Q1941" s="71"/>
      <c r="R1941" s="72"/>
      <c r="S1941" s="73"/>
      <c r="T1941" s="60">
        <v>2</v>
      </c>
      <c r="V1941" s="4" t="s">
        <v>8036</v>
      </c>
      <c r="W1941" s="4" t="s">
        <v>8037</v>
      </c>
      <c r="AF1941" s="68"/>
      <c r="AG1941" s="69"/>
      <c r="AH1941" s="70"/>
      <c r="AI1941" s="71"/>
      <c r="AJ1941" s="72"/>
      <c r="AK1941" s="73"/>
      <c r="AL1941" s="60" t="s">
        <v>30</v>
      </c>
    </row>
    <row r="1942" spans="1:40" ht="36" x14ac:dyDescent="0.2">
      <c r="A1942" s="1" t="s">
        <v>7985</v>
      </c>
      <c r="B1942" s="1" t="s">
        <v>8038</v>
      </c>
      <c r="C1942" s="1" t="s">
        <v>8062</v>
      </c>
      <c r="D1942" s="1">
        <v>15</v>
      </c>
      <c r="E1942" s="1">
        <v>2</v>
      </c>
      <c r="F1942" s="1" t="s">
        <v>7987</v>
      </c>
      <c r="G1942" s="1" t="s">
        <v>8039</v>
      </c>
      <c r="I1942" s="1" t="s">
        <v>104</v>
      </c>
      <c r="K1942" s="4" t="s">
        <v>8040</v>
      </c>
      <c r="L1942" s="4"/>
      <c r="M1942" s="1"/>
      <c r="N1942" s="68"/>
      <c r="O1942" s="69">
        <v>2</v>
      </c>
      <c r="P1942" s="70"/>
      <c r="Q1942" s="71"/>
      <c r="R1942" s="72"/>
      <c r="S1942" s="73"/>
      <c r="T1942" s="60">
        <v>5</v>
      </c>
      <c r="V1942" s="4" t="s">
        <v>8041</v>
      </c>
      <c r="W1942" s="4" t="s">
        <v>8042</v>
      </c>
      <c r="AF1942" s="68"/>
      <c r="AG1942" s="69"/>
      <c r="AH1942" s="70"/>
      <c r="AI1942" s="71"/>
      <c r="AJ1942" s="72"/>
      <c r="AK1942" s="73"/>
      <c r="AL1942" s="60" t="s">
        <v>30</v>
      </c>
    </row>
    <row r="1943" spans="1:40" ht="24" x14ac:dyDescent="0.2">
      <c r="A1943" s="1" t="s">
        <v>7985</v>
      </c>
      <c r="B1943" s="1" t="s">
        <v>8043</v>
      </c>
      <c r="C1943" s="1" t="s">
        <v>8062</v>
      </c>
      <c r="D1943" s="1">
        <v>16</v>
      </c>
      <c r="E1943" s="1">
        <v>4</v>
      </c>
      <c r="F1943" s="1" t="s">
        <v>7987</v>
      </c>
      <c r="G1943" s="1" t="s">
        <v>8044</v>
      </c>
      <c r="I1943" s="1" t="s">
        <v>104</v>
      </c>
      <c r="K1943" s="4" t="s">
        <v>1178</v>
      </c>
      <c r="L1943" s="4" t="s">
        <v>155</v>
      </c>
      <c r="M1943" s="1"/>
      <c r="N1943" s="68"/>
      <c r="O1943" s="69">
        <v>1</v>
      </c>
      <c r="P1943" s="70"/>
      <c r="Q1943" s="71"/>
      <c r="R1943" s="72"/>
      <c r="S1943" s="73"/>
      <c r="T1943" s="60">
        <v>3</v>
      </c>
      <c r="W1943" s="4" t="s">
        <v>8045</v>
      </c>
      <c r="AF1943" s="68"/>
      <c r="AG1943" s="69"/>
      <c r="AH1943" s="70"/>
      <c r="AI1943" s="71"/>
      <c r="AJ1943" s="72"/>
      <c r="AK1943" s="73"/>
      <c r="AL1943" s="60" t="s">
        <v>30</v>
      </c>
    </row>
    <row r="1944" spans="1:40" ht="24" x14ac:dyDescent="0.2">
      <c r="A1944" s="1" t="s">
        <v>7985</v>
      </c>
      <c r="B1944" s="1" t="s">
        <v>8046</v>
      </c>
      <c r="C1944" s="1" t="s">
        <v>8062</v>
      </c>
      <c r="D1944" s="1">
        <v>17</v>
      </c>
      <c r="E1944" s="1">
        <v>3</v>
      </c>
      <c r="F1944" s="1" t="s">
        <v>7987</v>
      </c>
      <c r="G1944" s="1" t="s">
        <v>8047</v>
      </c>
      <c r="I1944" s="1" t="s">
        <v>104</v>
      </c>
      <c r="K1944" s="4" t="s">
        <v>1178</v>
      </c>
      <c r="L1944" s="4" t="s">
        <v>8048</v>
      </c>
      <c r="M1944" s="1"/>
      <c r="N1944" s="68"/>
      <c r="O1944" s="69">
        <v>3</v>
      </c>
      <c r="P1944" s="70"/>
      <c r="Q1944" s="71"/>
      <c r="R1944" s="72"/>
      <c r="S1944" s="73"/>
      <c r="T1944" s="60">
        <v>4</v>
      </c>
      <c r="V1944" s="4" t="s">
        <v>8049</v>
      </c>
      <c r="W1944" s="4" t="s">
        <v>8050</v>
      </c>
      <c r="AF1944" s="68"/>
      <c r="AG1944" s="69"/>
      <c r="AH1944" s="70"/>
      <c r="AI1944" s="71"/>
      <c r="AJ1944" s="72"/>
      <c r="AK1944" s="73"/>
      <c r="AL1944" s="60" t="s">
        <v>30</v>
      </c>
    </row>
    <row r="1945" spans="1:40" ht="24" x14ac:dyDescent="0.2">
      <c r="A1945" s="1" t="s">
        <v>7985</v>
      </c>
      <c r="B1945" s="1" t="s">
        <v>8051</v>
      </c>
      <c r="C1945" s="1" t="s">
        <v>8062</v>
      </c>
      <c r="D1945" s="1">
        <v>18</v>
      </c>
      <c r="E1945" s="1">
        <v>3</v>
      </c>
      <c r="F1945" s="1" t="s">
        <v>7987</v>
      </c>
      <c r="G1945" s="1" t="s">
        <v>8052</v>
      </c>
      <c r="I1945" s="1" t="s">
        <v>82</v>
      </c>
      <c r="K1945" s="4"/>
      <c r="L1945" s="4"/>
      <c r="M1945" s="1"/>
      <c r="N1945" s="68"/>
      <c r="O1945" s="69"/>
      <c r="P1945" s="70"/>
      <c r="Q1945" s="71"/>
      <c r="R1945" s="72"/>
      <c r="S1945" s="73"/>
      <c r="V1945" s="4" t="s">
        <v>8053</v>
      </c>
      <c r="W1945" s="4" t="s">
        <v>8054</v>
      </c>
      <c r="AF1945" s="68"/>
      <c r="AG1945" s="69"/>
      <c r="AH1945" s="70"/>
      <c r="AI1945" s="71"/>
      <c r="AJ1945" s="72"/>
      <c r="AK1945" s="73"/>
      <c r="AL1945" s="60" t="s">
        <v>30</v>
      </c>
    </row>
    <row r="1946" spans="1:40" ht="24" x14ac:dyDescent="0.2">
      <c r="A1946" s="1" t="s">
        <v>7985</v>
      </c>
      <c r="B1946" s="1" t="s">
        <v>8055</v>
      </c>
      <c r="C1946" s="1" t="s">
        <v>8062</v>
      </c>
      <c r="D1946" s="1">
        <v>19</v>
      </c>
      <c r="E1946" s="1">
        <v>3</v>
      </c>
      <c r="F1946" s="1" t="s">
        <v>7987</v>
      </c>
      <c r="G1946" s="1" t="s">
        <v>8092</v>
      </c>
      <c r="I1946" s="1" t="s">
        <v>82</v>
      </c>
      <c r="K1946" s="4"/>
      <c r="L1946" s="4"/>
      <c r="M1946" s="1"/>
      <c r="N1946" s="68"/>
      <c r="O1946" s="69"/>
      <c r="P1946" s="70"/>
      <c r="Q1946" s="71"/>
      <c r="R1946" s="72"/>
      <c r="S1946" s="73"/>
      <c r="V1946" s="4" t="s">
        <v>8056</v>
      </c>
      <c r="AF1946" s="68"/>
      <c r="AG1946" s="69"/>
      <c r="AH1946" s="70"/>
      <c r="AI1946" s="71"/>
      <c r="AJ1946" s="72"/>
      <c r="AK1946" s="73"/>
      <c r="AL1946" s="60" t="s">
        <v>30</v>
      </c>
    </row>
    <row r="1947" spans="1:40" ht="36" x14ac:dyDescent="0.2">
      <c r="A1947" s="1" t="s">
        <v>7985</v>
      </c>
      <c r="B1947" s="1" t="s">
        <v>8057</v>
      </c>
      <c r="C1947" s="1" t="s">
        <v>8062</v>
      </c>
      <c r="D1947" s="1">
        <v>20</v>
      </c>
      <c r="E1947" s="1">
        <v>3</v>
      </c>
      <c r="F1947" s="1" t="s">
        <v>7987</v>
      </c>
      <c r="G1947" s="1" t="s">
        <v>8058</v>
      </c>
      <c r="I1947" s="1" t="s">
        <v>82</v>
      </c>
      <c r="K1947" s="4"/>
      <c r="L1947" s="4"/>
      <c r="M1947" s="1"/>
      <c r="N1947" s="68"/>
      <c r="O1947" s="69"/>
      <c r="P1947" s="70"/>
      <c r="Q1947" s="71"/>
      <c r="R1947" s="72"/>
      <c r="S1947" s="73"/>
      <c r="V1947" s="4" t="s">
        <v>8059</v>
      </c>
      <c r="W1947" s="4" t="s">
        <v>8060</v>
      </c>
      <c r="AF1947" s="68"/>
      <c r="AG1947" s="69"/>
      <c r="AH1947" s="70"/>
      <c r="AI1947" s="71"/>
      <c r="AJ1947" s="72"/>
      <c r="AK1947" s="73"/>
      <c r="AL1947" s="60" t="s">
        <v>30</v>
      </c>
    </row>
    <row r="1948" spans="1:40" ht="36" x14ac:dyDescent="0.2">
      <c r="A1948" s="1" t="s">
        <v>7985</v>
      </c>
      <c r="B1948" s="1" t="s">
        <v>8061</v>
      </c>
      <c r="C1948" s="1" t="s">
        <v>8062</v>
      </c>
      <c r="D1948" s="1">
        <v>21</v>
      </c>
      <c r="E1948" s="1">
        <v>1</v>
      </c>
      <c r="F1948" s="1" t="s">
        <v>7987</v>
      </c>
      <c r="G1948" s="1" t="s">
        <v>8088</v>
      </c>
      <c r="I1948" s="1" t="s">
        <v>3482</v>
      </c>
      <c r="K1948" s="4"/>
      <c r="L1948" s="4"/>
      <c r="M1948" s="1"/>
      <c r="N1948" s="54" t="s">
        <v>9529</v>
      </c>
      <c r="O1948" s="69"/>
      <c r="P1948" s="70"/>
      <c r="Q1948" s="71"/>
      <c r="R1948" s="72"/>
      <c r="S1948" s="73"/>
      <c r="V1948" s="4" t="s">
        <v>8089</v>
      </c>
      <c r="Y1948" s="1" t="s">
        <v>8090</v>
      </c>
      <c r="AA1948" s="1" t="s">
        <v>3482</v>
      </c>
      <c r="AF1948" s="54" t="s">
        <v>9530</v>
      </c>
      <c r="AG1948" s="69"/>
      <c r="AH1948" s="70"/>
      <c r="AI1948" s="71"/>
      <c r="AJ1948" s="72"/>
      <c r="AK1948" s="73"/>
      <c r="AL1948" s="60" t="s">
        <v>30</v>
      </c>
      <c r="AN1948" s="4" t="s">
        <v>8091</v>
      </c>
    </row>
  </sheetData>
  <sortState ref="A2:AP1948">
    <sortCondition ref="C2:C1948"/>
    <sortCondition ref="D2:D1948"/>
  </sortState>
  <conditionalFormatting sqref="J1:J856 J885:J1064 J1479:J1934 J1949:J1048576 J1116:J1148 J1155:J1387">
    <cfRule type="cellIs" dxfId="97" priority="106" operator="equal">
      <formula>"Fellowship"</formula>
    </cfRule>
    <cfRule type="cellIs" dxfId="96" priority="107" operator="equal">
      <formula>"Neutral"</formula>
    </cfRule>
    <cfRule type="cellIs" dxfId="95" priority="108" operator="equal">
      <formula>"Baggins"</formula>
    </cfRule>
    <cfRule type="cellIs" dxfId="94" priority="109" operator="equal">
      <formula>"Lore"</formula>
    </cfRule>
    <cfRule type="cellIs" dxfId="93" priority="110" operator="equal">
      <formula>"Spirit"</formula>
    </cfRule>
    <cfRule type="cellIs" dxfId="92" priority="111" operator="equal">
      <formula>"Tactics"</formula>
    </cfRule>
    <cfRule type="cellIs" dxfId="91" priority="112" operator="equal">
      <formula>"Leadership"</formula>
    </cfRule>
  </conditionalFormatting>
  <conditionalFormatting sqref="AB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AB1">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867:J884">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857:J866">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65:J108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90:J109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098:J110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106:J111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114:J111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389:J1478">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388">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935:J194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942:J1948">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2014-10-06T07:11:06Z</dcterms:modified>
</cp:coreProperties>
</file>