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concurrentCalc="0"/>
</workbook>
</file>

<file path=xl/calcChain.xml><?xml version="1.0" encoding="utf-8"?>
<calcChain xmlns="http://schemas.openxmlformats.org/spreadsheetml/2006/main">
  <c r="G30" i="2" l="1"/>
  <c r="H30" i="2"/>
  <c r="I30" i="2"/>
  <c r="K30" i="2"/>
  <c r="J30" i="2"/>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<sst xmlns="http://schemas.openxmlformats.org/spreadsheetml/2006/main" count="25839" uniqueCount="11541">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</sst>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7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4" sqref="A24"/>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6" t="s">
        <v>11094</v>
      </c>
      <c r="B28" s="26" t="s">
        <v>11095</v>
      </c>
      <c r="C28" s="28" t="s">
        <v>8065</v>
      </c>
      <c r="D28" s="26" t="s">
        <v>5595</v>
      </c>
      <c r="E28" s="29" t="s">
        <v>11096</v>
      </c>
      <c r="F28" s="34"/>
      <c r="G28" s="123">
        <f>SUMIF('Card Data'!$A:$A,$A28,'Card Data'!$E:$E)</f>
        <v>60</v>
      </c>
      <c r="H28" s="123">
        <f>COUNTIFS('Card Data'!$I:$I,N$2,'Card Data'!$A:$A,$A28)</f>
        <v>1</v>
      </c>
      <c r="I28" s="123">
        <f>SUMIFS('Card Data'!$E:$E,'Card Data'!$A:$A,$A28,'Card Data'!$J:$J,"&lt;&gt;",'Card Data'!$J:$J,"&lt;&gt;Burden",'Card Data'!$I:$I,"&lt;&gt;Hero")</f>
        <v>27</v>
      </c>
      <c r="J28" s="123">
        <f>SUMIFS('Card Data'!$E:$E,'Card Data'!$A:$A,$A28,'Card Data'!$J:$J,"",'Card Data'!$I:$I,"&lt;&gt;Campaign")+SUMIFS('Card Data'!$E:$E,'Card Data'!$A:$A,$A28,'Card Data'!$J:$J,"Burden")-K28</f>
        <v>24</v>
      </c>
      <c r="K28" s="123">
        <f>SUMIFS('Card Data'!$E:$E,'Card Data'!$I:$I,K$2,'Card Data'!$A:$A,$A28,'Card Data'!$K:$K,"&lt;&gt;*Side Quest.*")</f>
        <v>8</v>
      </c>
      <c r="L28" s="123">
        <f>COUNTIFS('Card Data'!$I:$I,L$2,'Card Data'!$A:$A,$A28,'Card Data'!$K:$K,"&lt;&gt;*Side Quest.*")</f>
        <v>0</v>
      </c>
      <c r="M28" s="129"/>
      <c r="N28" s="123">
        <f>COUNTIFS('Card Data'!$I:$I,N$2,'Card Data'!$A:$A,$A28)</f>
        <v>1</v>
      </c>
      <c r="O28" s="123">
        <f>COUNTIFS('Card Data'!$I:$I,O$2,'Card Data'!$A:$A,$A28)</f>
        <v>3</v>
      </c>
      <c r="P28" s="123">
        <f>COUNTIFS('Card Data'!$I:$I,P$2,'Card Data'!$A:$A,$A28)</f>
        <v>3</v>
      </c>
      <c r="Q28" s="123">
        <f>COUNTIFS('Card Data'!$I:$I,Q$2,'Card Data'!$A:$A,$A28)</f>
        <v>3</v>
      </c>
      <c r="R28" s="123">
        <f>COUNTIFS('Card Data'!$I:$I,R$2,'Card Data'!$A:$A,$A28)</f>
        <v>3</v>
      </c>
      <c r="S28" s="123">
        <f>COUNTIFS('Card Data'!$I:$I,S$2,'Card Data'!$A:$A,$A28)</f>
        <v>4</v>
      </c>
      <c r="T28" s="123">
        <f>COUNTIFS('Card Data'!$I:$I,T$2,'Card Data'!$A:$A,$A28)</f>
        <v>2</v>
      </c>
      <c r="U28" s="129"/>
      <c r="V28" s="123">
        <f>COUNTIFS('Card Data'!$J:$J,V$2,'Card Data'!$A:$A,$A28)</f>
        <v>2</v>
      </c>
      <c r="W28" s="123">
        <f>COUNTIFS('Card Data'!$J:$J,W$2,'Card Data'!$A:$A,$A28)</f>
        <v>3</v>
      </c>
      <c r="X28" s="123">
        <f>COUNTIFS('Card Data'!$J:$J,X$2,'Card Data'!$A:$A,$A28)</f>
        <v>2</v>
      </c>
      <c r="Y28" s="123">
        <f>COUNTIFS('Card Data'!$J:$J,Y$2,'Card Data'!$A:$A,$A28)</f>
        <v>2</v>
      </c>
      <c r="Z28" s="123">
        <f>COUNTIFS('Card Data'!$J:$J,Z$2,'Card Data'!$A:$A,$A28)</f>
        <v>1</v>
      </c>
      <c r="AA28" s="129"/>
      <c r="AB28" s="123">
        <f>IF(COUNTIFS('Card Data'!$K:$K,"*"&amp;AB$2&amp;".*",'Card Data'!$A:$A,$A28)=0,"",IF(COUNTIFS('Card Data'!$K:$K,"*"&amp;AB$2&amp;".*",'Card Data'!$A:$A,$A28,'Card Data'!$I:$I,"Hero")=0,COUNTIFS('Card Data'!$K:$K,"*"&amp;AB$2&amp;".*",'Card Data'!$A:$A,$A28),COUNTIFS('Card Data'!$K:$K,"*"&amp;AB$2&amp;".*",'Card Data'!$A:$A,$A28)&amp;" ("&amp;COUNTIFS('Card Data'!$K:$K,"*"&amp;AB$2&amp;".*",'Card Data'!$A:$A,$A28,'Card Data'!$I:$I,"Hero")&amp;")"))</f>
        <v>1</v>
      </c>
      <c r="AC28" s="123"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3"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3">
        <f>IF(COUNTIFS('Card Data'!$K:$K,"*"&amp;AE$2&amp;".*",'Card Data'!$A:$A,$A28)=0,"",IF(COUNTIFS('Card Data'!$K:$K,"*"&amp;AE$2&amp;".*",'Card Data'!$A:$A,$A28,'Card Data'!$I:$I,"Hero")=0,COUNTIFS('Card Data'!$K:$K,"*"&amp;AE$2&amp;".*",'Card Data'!$A:$A,$A28),COUNTIFS('Card Data'!$K:$K,"*"&amp;AE$2&amp;".*",'Card Data'!$A:$A,$A28)&amp;" ("&amp;COUNTIFS('Card Data'!$K:$K,"*"&amp;AE$2&amp;".*",'Card Data'!$A:$A,$A28,'Card Data'!$I:$I,"Hero")&amp;")"))</f>
        <v>1</v>
      </c>
      <c r="AF28" s="123"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3"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3"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3"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3"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3"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6" t="s">
        <v>11195</v>
      </c>
      <c r="B29" s="26" t="s">
        <v>11194</v>
      </c>
      <c r="C29" s="28" t="s">
        <v>8065</v>
      </c>
      <c r="D29" s="26" t="s">
        <v>5595</v>
      </c>
      <c r="E29" s="29" t="s">
        <v>11193</v>
      </c>
      <c r="F29" s="34"/>
      <c r="G29" s="123">
        <f>SUMIF('Card Data'!$A:$A,$A29,'Card Data'!$E:$E)</f>
        <v>60</v>
      </c>
      <c r="H29" s="123">
        <f>COUNTIFS('Card Data'!$I:$I,N$2,'Card Data'!$A:$A,$A29)</f>
        <v>1</v>
      </c>
      <c r="I29" s="123">
        <f>SUMIFS('Card Data'!$E:$E,'Card Data'!$A:$A,$A29,'Card Data'!$J:$J,"&lt;&gt;",'Card Data'!$J:$J,"&lt;&gt;Burden",'Card Data'!$I:$I,"&lt;&gt;Hero")</f>
        <v>27</v>
      </c>
      <c r="J29" s="123">
        <f>SUMIFS('Card Data'!$E:$E,'Card Data'!$A:$A,$A29,'Card Data'!$J:$J,"",'Card Data'!$I:$I,"&lt;&gt;Campaign")+SUMIFS('Card Data'!$E:$E,'Card Data'!$A:$A,$A29,'Card Data'!$J:$J,"Burden")-K29</f>
        <v>30</v>
      </c>
      <c r="K29" s="123">
        <f>SUMIFS('Card Data'!$E:$E,'Card Data'!$I:$I,K$2,'Card Data'!$A:$A,$A29,'Card Data'!$K:$K,"&lt;&gt;*Side Quest.*")</f>
        <v>2</v>
      </c>
      <c r="L29" s="123">
        <f>COUNTIFS('Card Data'!$I:$I,L$2,'Card Data'!$A:$A,$A29,'Card Data'!$K:$K,"&lt;&gt;*Side Quest.*")</f>
        <v>0</v>
      </c>
      <c r="M29" s="129"/>
      <c r="N29" s="123">
        <f>COUNTIFS('Card Data'!$I:$I,N$2,'Card Data'!$A:$A,$A29)</f>
        <v>1</v>
      </c>
      <c r="O29" s="123">
        <f>COUNTIFS('Card Data'!$I:$I,O$2,'Card Data'!$A:$A,$A29)</f>
        <v>4</v>
      </c>
      <c r="P29" s="123">
        <f>COUNTIFS('Card Data'!$I:$I,P$2,'Card Data'!$A:$A,$A29)</f>
        <v>4</v>
      </c>
      <c r="Q29" s="123">
        <f>COUNTIFS('Card Data'!$I:$I,Q$2,'Card Data'!$A:$A,$A29)</f>
        <v>1</v>
      </c>
      <c r="R29" s="123">
        <f>COUNTIFS('Card Data'!$I:$I,R$2,'Card Data'!$A:$A,$A29)</f>
        <v>3</v>
      </c>
      <c r="S29" s="123">
        <f>COUNTIFS('Card Data'!$I:$I,S$2,'Card Data'!$A:$A,$A29)</f>
        <v>5</v>
      </c>
      <c r="T29" s="123">
        <f>COUNTIFS('Card Data'!$I:$I,T$2,'Card Data'!$A:$A,$A29)</f>
        <v>3</v>
      </c>
      <c r="U29" s="129"/>
      <c r="V29" s="123">
        <f>COUNTIFS('Card Data'!$J:$J,V$2,'Card Data'!$A:$A,$A29)</f>
        <v>2</v>
      </c>
      <c r="W29" s="123">
        <f>COUNTIFS('Card Data'!$J:$J,W$2,'Card Data'!$A:$A,$A29)</f>
        <v>2</v>
      </c>
      <c r="X29" s="123">
        <f>COUNTIFS('Card Data'!$J:$J,X$2,'Card Data'!$A:$A,$A29)</f>
        <v>3</v>
      </c>
      <c r="Y29" s="123">
        <f>COUNTIFS('Card Data'!$J:$J,Y$2,'Card Data'!$A:$A,$A29)</f>
        <v>2</v>
      </c>
      <c r="Z29" s="123">
        <f>COUNTIFS('Card Data'!$J:$J,Z$2,'Card Data'!$A:$A,$A29)</f>
        <v>1</v>
      </c>
      <c r="AA29" s="129"/>
      <c r="AB29" s="123"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3">
        <f>IF(COUNTIFS('Card Data'!$K:$K,"*"&amp;AC$2&amp;".*",'Card Data'!$A:$A,$A29)=0,"",IF(COUNTIFS('Card Data'!$K:$K,"*"&amp;AC$2&amp;".*",'Card Data'!$A:$A,$A29,'Card Data'!$I:$I,"Hero")=0,COUNTIFS('Card Data'!$K:$K,"*"&amp;AC$2&amp;".*",'Card Data'!$A:$A,$A29),COUNTIFS('Card Data'!$K:$K,"*"&amp;AC$2&amp;".*",'Card Data'!$A:$A,$A29)&amp;" ("&amp;COUNTIFS('Card Data'!$K:$K,"*"&amp;AC$2&amp;".*",'Card Data'!$A:$A,$A29,'Card Data'!$I:$I,"Hero")&amp;")"))</f>
        <v>1</v>
      </c>
      <c r="AD29" s="123"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3">
        <f>IF(COUNTIFS('Card Data'!$K:$K,"*"&amp;AE$2&amp;".*",'Card Data'!$A:$A,$A29)=0,"",IF(COUNTIFS('Card Data'!$K:$K,"*"&amp;AE$2&amp;".*",'Card Data'!$A:$A,$A29,'Card Data'!$I:$I,"Hero")=0,COUNTIFS('Card Data'!$K:$K,"*"&amp;AE$2&amp;".*",'Card Data'!$A:$A,$A29),COUNTIFS('Card Data'!$K:$K,"*"&amp;AE$2&amp;".*",'Card Data'!$A:$A,$A29)&amp;" ("&amp;COUNTIFS('Card Data'!$K:$K,"*"&amp;AE$2&amp;".*",'Card Data'!$A:$A,$A29,'Card Data'!$I:$I,"Hero")&amp;")"))</f>
        <v>2</v>
      </c>
      <c r="AF29" s="123"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3"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3"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3"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3">
        <f>IF(COUNTIFS('Card Data'!$K:$K,"*"&amp;AJ$2&amp;".*",'Card Data'!$A:$A,$A29)=0,"",IF(COUNTIFS('Card Data'!$K:$K,"*"&amp;AJ$2&amp;".*",'Card Data'!$A:$A,$A29,'Card Data'!$I:$I,"Hero")=0,COUNTIFS('Card Data'!$K:$K,"*"&amp;AJ$2&amp;".*",'Card Data'!$A:$A,$A29),COUNTIFS('Card Data'!$K:$K,"*"&amp;AJ$2&amp;".*",'Card Data'!$A:$A,$A29)&amp;" ("&amp;COUNTIFS('Card Data'!$K:$K,"*"&amp;AJ$2&amp;".*",'Card Data'!$A:$A,$A29,'Card Data'!$I:$I,"Hero")&amp;")"))</f>
        <v>1</v>
      </c>
      <c r="AK29" s="123"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6" t="s">
        <v>11451</v>
      </c>
      <c r="B30" s="26" t="s">
        <v>9681</v>
      </c>
      <c r="C30" s="28" t="s">
        <v>8065</v>
      </c>
      <c r="D30" s="26" t="s">
        <v>5595</v>
      </c>
      <c r="E30" s="29" t="s">
        <v>11540</v>
      </c>
      <c r="F30" s="34"/>
      <c r="G30" s="123">
        <f>SUMIF('Card Data'!$A:$A,$A30,'Card Data'!$E:$E)</f>
        <v>60</v>
      </c>
      <c r="H30" s="123">
        <f>COUNTIFS('Card Data'!$I:$I,N$2,'Card Data'!$A:$A,$A30)</f>
        <v>1</v>
      </c>
      <c r="I30" s="123">
        <f>SUMIFS('Card Data'!$E:$E,'Card Data'!$A:$A,$A30,'Card Data'!$J:$J,"&lt;&gt;",'Card Data'!$J:$J,"&lt;&gt;Burden",'Card Data'!$I:$I,"&lt;&gt;Hero")</f>
        <v>27</v>
      </c>
      <c r="J30" s="123">
        <f>SUMIFS('Card Data'!$E:$E,'Card Data'!$A:$A,$A30,'Card Data'!$J:$J,"",'Card Data'!$I:$I,"&lt;&gt;Campaign")+SUMIFS('Card Data'!$E:$E,'Card Data'!$A:$A,$A30,'Card Data'!$J:$J,"Burden")-K30</f>
        <v>29</v>
      </c>
      <c r="K30" s="123">
        <f>SUMIFS('Card Data'!$E:$E,'Card Data'!$I:$I,K$2,'Card Data'!$A:$A,$A30,'Card Data'!$K:$K,"&lt;&gt;*Side Quest.*")</f>
        <v>3</v>
      </c>
      <c r="L30" s="123">
        <f>COUNTIFS('Card Data'!$I:$I,L$2,'Card Data'!$A:$A,$A30,'Card Data'!$K:$K,"&lt;&gt;*Side Quest.*")</f>
        <v>0</v>
      </c>
      <c r="M30" s="129"/>
      <c r="N30" s="123">
        <f>COUNTIFS('Card Data'!$I:$I,N$2,'Card Data'!$A:$A,$A30)</f>
        <v>1</v>
      </c>
      <c r="O30" s="123">
        <f>COUNTIFS('Card Data'!$I:$I,O$2,'Card Data'!$A:$A,$A30)</f>
        <v>3</v>
      </c>
      <c r="P30" s="123">
        <f>COUNTIFS('Card Data'!$I:$I,P$2,'Card Data'!$A:$A,$A30)</f>
        <v>2</v>
      </c>
      <c r="Q30" s="123">
        <f>COUNTIFS('Card Data'!$I:$I,Q$2,'Card Data'!$A:$A,$A30)</f>
        <v>4</v>
      </c>
      <c r="R30" s="123">
        <f>COUNTIFS('Card Data'!$I:$I,R$2,'Card Data'!$A:$A,$A30)</f>
        <v>3</v>
      </c>
      <c r="S30" s="123">
        <f>COUNTIFS('Card Data'!$I:$I,S$2,'Card Data'!$A:$A,$A30)</f>
        <v>5</v>
      </c>
      <c r="T30" s="123">
        <f>COUNTIFS('Card Data'!$I:$I,T$2,'Card Data'!$A:$A,$A30)</f>
        <v>3</v>
      </c>
      <c r="U30" s="129"/>
      <c r="V30" s="123">
        <f>COUNTIFS('Card Data'!$J:$J,V$2,'Card Data'!$A:$A,$A30)</f>
        <v>3</v>
      </c>
      <c r="W30" s="123">
        <f>COUNTIFS('Card Data'!$J:$J,W$2,'Card Data'!$A:$A,$A30)</f>
        <v>2</v>
      </c>
      <c r="X30" s="123">
        <f>COUNTIFS('Card Data'!$J:$J,X$2,'Card Data'!$A:$A,$A30)</f>
        <v>2</v>
      </c>
      <c r="Y30" s="123">
        <f>COUNTIFS('Card Data'!$J:$J,Y$2,'Card Data'!$A:$A,$A30)</f>
        <v>2</v>
      </c>
      <c r="Z30" s="123">
        <f>COUNTIFS('Card Data'!$J:$J,Z$2,'Card Data'!$A:$A,$A30)</f>
        <v>1</v>
      </c>
      <c r="AA30" s="129"/>
      <c r="AB30" s="123"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3"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3"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3"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3"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3"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3"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3"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3"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3"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3">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2" customFormat="1" x14ac:dyDescent="0.2">
      <c r="A31" s="89" t="s">
        <v>4783</v>
      </c>
      <c r="B31" s="89" t="s">
        <v>4788</v>
      </c>
      <c r="C31" s="90" t="s">
        <v>5745</v>
      </c>
      <c r="D31" s="89"/>
      <c r="E31" s="91" t="s">
        <v>5864</v>
      </c>
      <c r="F31" s="126"/>
      <c r="G31" s="93">
        <f>SUMIF('Card Data'!$A:$A,$A31,'Card Data'!$E:$E)</f>
        <v>45</v>
      </c>
      <c r="H31" s="93">
        <f>COUNTIFS('Card Data'!$I:$I,N$2,'Card Data'!$A:$A,$A31)</f>
        <v>0</v>
      </c>
      <c r="I31" s="93">
        <f>SUMIFS('Card Data'!$E:$E,'Card Data'!$A:$A,$A31,'Card Data'!$J:$J,"&lt;&gt;",'Card Data'!$J:$J,"&lt;&gt;Burden",'Card Data'!$I:$I,"&lt;&gt;Hero")</f>
        <v>0</v>
      </c>
      <c r="J31" s="93">
        <f>SUMIFS('Card Data'!$E:$E,'Card Data'!$A:$A,$A31,'Card Data'!$J:$J,"",'Card Data'!$I:$I,"&lt;&gt;Campaign")+SUMIFS('Card Data'!$E:$E,'Card Data'!$A:$A,$A31,'Card Data'!$J:$J,"Burden")-K31</f>
        <v>41</v>
      </c>
      <c r="K31" s="93">
        <f>SUMIFS('Card Data'!$E:$E,'Card Data'!$I:$I,K$2,'Card Data'!$A:$A,$A31,'Card Data'!$K:$K,"&lt;&gt;*Side Quest.*")</f>
        <v>4</v>
      </c>
      <c r="L31" s="93">
        <f>COUNTIFS('Card Data'!$I:$I,L$2,'Card Data'!$A:$A,$A31,'Card Data'!$K:$K,"&lt;&gt;*Side Quest.*")</f>
        <v>0</v>
      </c>
      <c r="M31" s="129"/>
      <c r="N31" s="93">
        <f>COUNTIFS('Card Data'!$I:$I,N$2,'Card Data'!$A:$A,$A31)</f>
        <v>0</v>
      </c>
      <c r="O31" s="93">
        <f>COUNTIFS('Card Data'!$I:$I,O$2,'Card Data'!$A:$A,$A31)</f>
        <v>0</v>
      </c>
      <c r="P31" s="93">
        <f>COUNTIFS('Card Data'!$I:$I,P$2,'Card Data'!$A:$A,$A31)</f>
        <v>0</v>
      </c>
      <c r="Q31" s="93">
        <f>COUNTIFS('Card Data'!$I:$I,Q$2,'Card Data'!$A:$A,$A31)</f>
        <v>0</v>
      </c>
      <c r="R31" s="93">
        <f>COUNTIFS('Card Data'!$I:$I,R$2,'Card Data'!$A:$A,$A31)</f>
        <v>6</v>
      </c>
      <c r="S31" s="93">
        <f>COUNTIFS('Card Data'!$I:$I,S$2,'Card Data'!$A:$A,$A31)</f>
        <v>5</v>
      </c>
      <c r="T31" s="93">
        <f>COUNTIFS('Card Data'!$I:$I,T$2,'Card Data'!$A:$A,$A31)</f>
        <v>3</v>
      </c>
      <c r="U31" s="129"/>
      <c r="V31" s="93">
        <f>COUNTIFS('Card Data'!$J:$J,V$2,'Card Data'!$A:$A,$A31)</f>
        <v>0</v>
      </c>
      <c r="W31" s="93">
        <f>COUNTIFS('Card Data'!$J:$J,W$2,'Card Data'!$A:$A,$A31)</f>
        <v>0</v>
      </c>
      <c r="X31" s="93">
        <f>COUNTIFS('Card Data'!$J:$J,X$2,'Card Data'!$A:$A,$A31)</f>
        <v>0</v>
      </c>
      <c r="Y31" s="93">
        <f>COUNTIFS('Card Data'!$J:$J,Y$2,'Card Data'!$A:$A,$A31)</f>
        <v>0</v>
      </c>
      <c r="Z31" s="93">
        <f>COUNTIFS('Card Data'!$J:$J,Z$2,'Card Data'!$A:$A,$A31)</f>
        <v>0</v>
      </c>
      <c r="AA31" s="129"/>
      <c r="AB31" s="93" t="str">
        <f>IF(COUNTIFS('Card Data'!$K:$K,"*"&amp;AB$2&amp;".*",'Card Data'!$A:$A,$A31)=0,"",IF(COUNTIFS('Card Data'!$K:$K,"*"&amp;AB$2&amp;".*",'Card Data'!$A:$A,$A31,'Card Data'!$I:$I,"Hero")=0,COUNTIFS('Card Data'!$K:$K,"*"&amp;AB$2&amp;".*",'Card Data'!$A:$A,$A31),COUNTIFS('Card Data'!$K:$K,"*"&amp;AB$2&amp;".*",'Card Data'!$A:$A,$A31)&amp;" ("&amp;COUNTIFS('Card Data'!$K:$K,"*"&amp;AB$2&amp;".*",'Card Data'!$A:$A,$A31,'Card Data'!$I:$I,"Hero")&amp;")"))</f>
        <v/>
      </c>
      <c r="AC31" s="93">
        <f>IF(COUNTIFS('Card Data'!$K:$K,"*"&amp;AC$2&amp;".*",'Card Data'!$A:$A,$A31)=0,"",IF(COUNTIFS('Card Data'!$K:$K,"*"&amp;AC$2&amp;".*",'Card Data'!$A:$A,$A31,'Card Data'!$I:$I,"Hero")=0,COUNTIFS('Card Data'!$K:$K,"*"&amp;AC$2&amp;".*",'Card Data'!$A:$A,$A31),COUNTIFS('Card Data'!$K:$K,"*"&amp;AC$2&amp;".*",'Card Data'!$A:$A,$A31)&amp;" ("&amp;COUNTIFS('Card Data'!$K:$K,"*"&amp;AC$2&amp;".*",'Card Data'!$A:$A,$A31,'Card Data'!$I:$I,"Hero")&amp;")"))</f>
        <v>1</v>
      </c>
      <c r="AD31" s="93" t="str">
        <f>IF(COUNTIFS('Card Data'!$K:$K,"*"&amp;AD$2&amp;".*",'Card Data'!$A:$A,$A31)=0,"",IF(COUNTIFS('Card Data'!$K:$K,"*"&amp;AD$2&amp;".*",'Card Data'!$A:$A,$A31,'Card Data'!$I:$I,"Hero")=0,COUNTIFS('Card Data'!$K:$K,"*"&amp;AD$2&amp;".*",'Card Data'!$A:$A,$A31),COUNTIFS('Card Data'!$K:$K,"*"&amp;AD$2&amp;".*",'Card Data'!$A:$A,$A31)&amp;" ("&amp;COUNTIFS('Card Data'!$K:$K,"*"&amp;AD$2&amp;".*",'Card Data'!$A:$A,$A31,'Card Data'!$I:$I,"Hero")&amp;")"))</f>
        <v/>
      </c>
      <c r="AE31" s="93" t="str">
        <f>IF(COUNTIFS('Card Data'!$K:$K,"*"&amp;AE$2&amp;".*",'Card Data'!$A:$A,$A31)=0,"",IF(COUNTIFS('Card Data'!$K:$K,"*"&amp;AE$2&amp;".*",'Card Data'!$A:$A,$A31,'Card Data'!$I:$I,"Hero")=0,COUNTIFS('Card Data'!$K:$K,"*"&amp;AE$2&amp;".*",'Card Data'!$A:$A,$A31),COUNTIFS('Card Data'!$K:$K,"*"&amp;AE$2&amp;".*",'Card Data'!$A:$A,$A31)&amp;" ("&amp;COUNTIFS('Card Data'!$K:$K,"*"&amp;AE$2&amp;".*",'Card Data'!$A:$A,$A31,'Card Data'!$I:$I,"Hero")&amp;")"))</f>
        <v/>
      </c>
      <c r="AF31" s="93" t="str">
        <f>IF(COUNTIFS('Card Data'!$K:$K,"*"&amp;AF$2&amp;".*",'Card Data'!$A:$A,$A31)=0,"",IF(COUNTIFS('Card Data'!$K:$K,"*"&amp;AF$2&amp;".*",'Card Data'!$A:$A,$A31,'Card Data'!$I:$I,"Hero")=0,COUNTIFS('Card Data'!$K:$K,"*"&amp;AF$2&amp;".*",'Card Data'!$A:$A,$A31),COUNTIFS('Card Data'!$K:$K,"*"&amp;AF$2&amp;".*",'Card Data'!$A:$A,$A31)&amp;" ("&amp;COUNTIFS('Card Data'!$K:$K,"*"&amp;AF$2&amp;".*",'Card Data'!$A:$A,$A31,'Card Data'!$I:$I,"Hero")&amp;")"))</f>
        <v/>
      </c>
      <c r="AG31" s="93" t="str">
        <f>IF(COUNTIFS('Card Data'!$K:$K,"*"&amp;AG$2&amp;".*",'Card Data'!$A:$A,$A31)=0,"",IF(COUNTIFS('Card Data'!$K:$K,"*"&amp;AG$2&amp;".*",'Card Data'!$A:$A,$A31,'Card Data'!$I:$I,"Hero")=0,COUNTIFS('Card Data'!$K:$K,"*"&amp;AG$2&amp;".*",'Card Data'!$A:$A,$A31),COUNTIFS('Card Data'!$K:$K,"*"&amp;AG$2&amp;".*",'Card Data'!$A:$A,$A31)&amp;" ("&amp;COUNTIFS('Card Data'!$K:$K,"*"&amp;AG$2&amp;".*",'Card Data'!$A:$A,$A31,'Card Data'!$I:$I,"Hero")&amp;")"))</f>
        <v/>
      </c>
      <c r="AH31" s="93" t="str">
        <f>IF(COUNTIFS('Card Data'!$K:$K,"*"&amp;AH$2&amp;".*",'Card Data'!$A:$A,$A31)=0,"",IF(COUNTIFS('Card Data'!$K:$K,"*"&amp;AH$2&amp;".*",'Card Data'!$A:$A,$A31,'Card Data'!$I:$I,"Hero")=0,COUNTIFS('Card Data'!$K:$K,"*"&amp;AH$2&amp;".*",'Card Data'!$A:$A,$A31),COUNTIFS('Card Data'!$K:$K,"*"&amp;AH$2&amp;".*",'Card Data'!$A:$A,$A31)&amp;" ("&amp;COUNTIFS('Card Data'!$K:$K,"*"&amp;AH$2&amp;".*",'Card Data'!$A:$A,$A31,'Card Data'!$I:$I,"Hero")&amp;")"))</f>
        <v/>
      </c>
      <c r="AI31" s="93" t="str">
        <f>IF(COUNTIFS('Card Data'!$K:$K,"*"&amp;AI$2&amp;".*",'Card Data'!$A:$A,$A31)=0,"",IF(COUNTIFS('Card Data'!$K:$K,"*"&amp;AI$2&amp;".*",'Card Data'!$A:$A,$A31,'Card Data'!$I:$I,"Hero")=0,COUNTIFS('Card Data'!$K:$K,"*"&amp;AI$2&amp;".*",'Card Data'!$A:$A,$A31),COUNTIFS('Card Data'!$K:$K,"*"&amp;AI$2&amp;".*",'Card Data'!$A:$A,$A31)&amp;" ("&amp;COUNTIFS('Card Data'!$K:$K,"*"&amp;AI$2&amp;".*",'Card Data'!$A:$A,$A31,'Card Data'!$I:$I,"Hero")&amp;")"))</f>
        <v/>
      </c>
      <c r="AJ31" s="93">
        <f>IF(COUNTIFS('Card Data'!$K:$K,"*"&amp;AJ$2&amp;".*",'Card Data'!$A:$A,$A31)=0,"",IF(COUNTIFS('Card Data'!$K:$K,"*"&amp;AJ$2&amp;".*",'Card Data'!$A:$A,$A31,'Card Data'!$I:$I,"Hero")=0,COUNTIFS('Card Data'!$K:$K,"*"&amp;AJ$2&amp;".*",'Card Data'!$A:$A,$A31),COUNTIFS('Card Data'!$K:$K,"*"&amp;AJ$2&amp;".*",'Card Data'!$A:$A,$A31)&amp;" ("&amp;COUNTIFS('Card Data'!$K:$K,"*"&amp;AJ$2&amp;".*",'Card Data'!$A:$A,$A31,'Card Data'!$I:$I,"Hero")&amp;")"))</f>
        <v>1</v>
      </c>
      <c r="AK31" s="93" t="str">
        <f>IF(COUNTIFS('Card Data'!$K:$K,"*"&amp;AK$2&amp;".*",'Card Data'!$A:$A,$A31)=0,"",IF(COUNTIFS('Card Data'!$K:$K,"*"&amp;AK$2&amp;".*",'Card Data'!$A:$A,$A31,'Card Data'!$I:$I,"Hero")=0,COUNTIFS('Card Data'!$K:$K,"*"&amp;AK$2&amp;".*",'Card Data'!$A:$A,$A31),COUNTIFS('Card Data'!$K:$K,"*"&amp;AK$2&amp;".*",'Card Data'!$A:$A,$A31)&amp;" ("&amp;COUNTIFS('Card Data'!$K:$K,"*"&amp;AK$2&amp;".*",'Card Data'!$A:$A,$A31,'Card Data'!$I:$I,"Hero")&amp;")"))</f>
        <v/>
      </c>
      <c r="AL31" s="93"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2" customFormat="1" x14ac:dyDescent="0.2">
      <c r="A32" s="89" t="s">
        <v>3365</v>
      </c>
      <c r="B32" s="89" t="s">
        <v>3370</v>
      </c>
      <c r="C32" s="90" t="s">
        <v>5745</v>
      </c>
      <c r="D32" s="89"/>
      <c r="E32" s="91" t="s">
        <v>5865</v>
      </c>
      <c r="F32" s="126"/>
      <c r="G32" s="93">
        <f>SUMIF('Card Data'!$A:$A,$A32,'Card Data'!$E:$E)</f>
        <v>49</v>
      </c>
      <c r="H32" s="93">
        <f>COUNTIFS('Card Data'!$I:$I,N$2,'Card Data'!$A:$A,$A32)</f>
        <v>0</v>
      </c>
      <c r="I32" s="93">
        <f>SUMIFS('Card Data'!$E:$E,'Card Data'!$A:$A,$A32,'Card Data'!$J:$J,"&lt;&gt;",'Card Data'!$J:$J,"&lt;&gt;Burden",'Card Data'!$I:$I,"&lt;&gt;Hero")</f>
        <v>0</v>
      </c>
      <c r="J32" s="93">
        <f>SUMIFS('Card Data'!$E:$E,'Card Data'!$A:$A,$A32,'Card Data'!$J:$J,"",'Card Data'!$I:$I,"&lt;&gt;Campaign")+SUMIFS('Card Data'!$E:$E,'Card Data'!$A:$A,$A32,'Card Data'!$J:$J,"Burden")-K32</f>
        <v>46</v>
      </c>
      <c r="K32" s="93">
        <f>SUMIFS('Card Data'!$E:$E,'Card Data'!$I:$I,K$2,'Card Data'!$A:$A,$A32,'Card Data'!$K:$K,"&lt;&gt;*Side Quest.*")</f>
        <v>3</v>
      </c>
      <c r="L32" s="93">
        <f>COUNTIFS('Card Data'!$I:$I,L$2,'Card Data'!$A:$A,$A32,'Card Data'!$K:$K,"&lt;&gt;*Side Quest.*")</f>
        <v>0</v>
      </c>
      <c r="M32" s="129"/>
      <c r="N32" s="93">
        <f>COUNTIFS('Card Data'!$I:$I,N$2,'Card Data'!$A:$A,$A32)</f>
        <v>0</v>
      </c>
      <c r="O32" s="93">
        <f>COUNTIFS('Card Data'!$I:$I,O$2,'Card Data'!$A:$A,$A32)</f>
        <v>0</v>
      </c>
      <c r="P32" s="93">
        <f>COUNTIFS('Card Data'!$I:$I,P$2,'Card Data'!$A:$A,$A32)</f>
        <v>0</v>
      </c>
      <c r="Q32" s="93">
        <f>COUNTIFS('Card Data'!$I:$I,Q$2,'Card Data'!$A:$A,$A32)</f>
        <v>0</v>
      </c>
      <c r="R32" s="93">
        <f>COUNTIFS('Card Data'!$I:$I,R$2,'Card Data'!$A:$A,$A32)</f>
        <v>3</v>
      </c>
      <c r="S32" s="93">
        <f>COUNTIFS('Card Data'!$I:$I,S$2,'Card Data'!$A:$A,$A32)</f>
        <v>10</v>
      </c>
      <c r="T32" s="93">
        <f>COUNTIFS('Card Data'!$I:$I,T$2,'Card Data'!$A:$A,$A32)</f>
        <v>6</v>
      </c>
      <c r="U32" s="129"/>
      <c r="V32" s="93">
        <f>COUNTIFS('Card Data'!$J:$J,V$2,'Card Data'!$A:$A,$A32)</f>
        <v>0</v>
      </c>
      <c r="W32" s="93">
        <f>COUNTIFS('Card Data'!$J:$J,W$2,'Card Data'!$A:$A,$A32)</f>
        <v>0</v>
      </c>
      <c r="X32" s="93">
        <f>COUNTIFS('Card Data'!$J:$J,X$2,'Card Data'!$A:$A,$A32)</f>
        <v>0</v>
      </c>
      <c r="Y32" s="93">
        <f>COUNTIFS('Card Data'!$J:$J,Y$2,'Card Data'!$A:$A,$A32)</f>
        <v>0</v>
      </c>
      <c r="Z32" s="93">
        <f>COUNTIFS('Card Data'!$J:$J,Z$2,'Card Data'!$A:$A,$A32)</f>
        <v>0</v>
      </c>
      <c r="AA32" s="129"/>
      <c r="AB32" s="93" t="str">
        <f>IF(COUNTIFS('Card Data'!$K:$K,"*"&amp;AB$2&amp;".*",'Card Data'!$A:$A,$A32)=0,"",IF(COUNTIFS('Card Data'!$K:$K,"*"&amp;AB$2&amp;".*",'Card Data'!$A:$A,$A32,'Card Data'!$I:$I,"Hero")=0,COUNTIFS('Card Data'!$K:$K,"*"&amp;AB$2&amp;".*",'Card Data'!$A:$A,$A32),COUNTIFS('Card Data'!$K:$K,"*"&amp;AB$2&amp;".*",'Card Data'!$A:$A,$A32)&amp;" ("&amp;COUNTIFS('Card Data'!$K:$K,"*"&amp;AB$2&amp;".*",'Card Data'!$A:$A,$A32,'Card Data'!$I:$I,"Hero")&amp;")"))</f>
        <v/>
      </c>
      <c r="AC32" s="93" t="str">
        <f>IF(COUNTIFS('Card Data'!$K:$K,"*"&amp;AC$2&amp;".*",'Card Data'!$A:$A,$A32)=0,"",IF(COUNTIFS('Card Data'!$K:$K,"*"&amp;AC$2&amp;".*",'Card Data'!$A:$A,$A32,'Card Data'!$I:$I,"Hero")=0,COUNTIFS('Card Data'!$K:$K,"*"&amp;AC$2&amp;".*",'Card Data'!$A:$A,$A32),COUNTIFS('Card Data'!$K:$K,"*"&amp;AC$2&amp;".*",'Card Data'!$A:$A,$A32)&amp;" ("&amp;COUNTIFS('Card Data'!$K:$K,"*"&amp;AC$2&amp;".*",'Card Data'!$A:$A,$A32,'Card Data'!$I:$I,"Hero")&amp;")"))</f>
        <v/>
      </c>
      <c r="AD32" s="93" t="str">
        <f>IF(COUNTIFS('Card Data'!$K:$K,"*"&amp;AD$2&amp;".*",'Card Data'!$A:$A,$A32)=0,"",IF(COUNTIFS('Card Data'!$K:$K,"*"&amp;AD$2&amp;".*",'Card Data'!$A:$A,$A32,'Card Data'!$I:$I,"Hero")=0,COUNTIFS('Card Data'!$K:$K,"*"&amp;AD$2&amp;".*",'Card Data'!$A:$A,$A32),COUNTIFS('Card Data'!$K:$K,"*"&amp;AD$2&amp;".*",'Card Data'!$A:$A,$A32)&amp;" ("&amp;COUNTIFS('Card Data'!$K:$K,"*"&amp;AD$2&amp;".*",'Card Data'!$A:$A,$A32,'Card Data'!$I:$I,"Hero")&amp;")"))</f>
        <v/>
      </c>
      <c r="AE32" s="93" t="str">
        <f>IF(COUNTIFS('Card Data'!$K:$K,"*"&amp;AE$2&amp;".*",'Card Data'!$A:$A,$A32)=0,"",IF(COUNTIFS('Card Data'!$K:$K,"*"&amp;AE$2&amp;".*",'Card Data'!$A:$A,$A32,'Card Data'!$I:$I,"Hero")=0,COUNTIFS('Card Data'!$K:$K,"*"&amp;AE$2&amp;".*",'Card Data'!$A:$A,$A32),COUNTIFS('Card Data'!$K:$K,"*"&amp;AE$2&amp;".*",'Card Data'!$A:$A,$A32)&amp;" ("&amp;COUNTIFS('Card Data'!$K:$K,"*"&amp;AE$2&amp;".*",'Card Data'!$A:$A,$A32,'Card Data'!$I:$I,"Hero")&amp;")"))</f>
        <v/>
      </c>
      <c r="AF32" s="93" t="str">
        <f>IF(COUNTIFS('Card Data'!$K:$K,"*"&amp;AF$2&amp;".*",'Card Data'!$A:$A,$A32)=0,"",IF(COUNTIFS('Card Data'!$K:$K,"*"&amp;AF$2&amp;".*",'Card Data'!$A:$A,$A32,'Card Data'!$I:$I,"Hero")=0,COUNTIFS('Card Data'!$K:$K,"*"&amp;AF$2&amp;".*",'Card Data'!$A:$A,$A32),COUNTIFS('Card Data'!$K:$K,"*"&amp;AF$2&amp;".*",'Card Data'!$A:$A,$A32)&amp;" ("&amp;COUNTIFS('Card Data'!$K:$K,"*"&amp;AF$2&amp;".*",'Card Data'!$A:$A,$A32,'Card Data'!$I:$I,"Hero")&amp;")"))</f>
        <v/>
      </c>
      <c r="AG32" s="93" t="str">
        <f>IF(COUNTIFS('Card Data'!$K:$K,"*"&amp;AG$2&amp;".*",'Card Data'!$A:$A,$A32)=0,"",IF(COUNTIFS('Card Data'!$K:$K,"*"&amp;AG$2&amp;".*",'Card Data'!$A:$A,$A32,'Card Data'!$I:$I,"Hero")=0,COUNTIFS('Card Data'!$K:$K,"*"&amp;AG$2&amp;".*",'Card Data'!$A:$A,$A32),COUNTIFS('Card Data'!$K:$K,"*"&amp;AG$2&amp;".*",'Card Data'!$A:$A,$A32)&amp;" ("&amp;COUNTIFS('Card Data'!$K:$K,"*"&amp;AG$2&amp;".*",'Card Data'!$A:$A,$A32,'Card Data'!$I:$I,"Hero")&amp;")"))</f>
        <v/>
      </c>
      <c r="AH32" s="93" t="str">
        <f>IF(COUNTIFS('Card Data'!$K:$K,"*"&amp;AH$2&amp;".*",'Card Data'!$A:$A,$A32)=0,"",IF(COUNTIFS('Card Data'!$K:$K,"*"&amp;AH$2&amp;".*",'Card Data'!$A:$A,$A32,'Card Data'!$I:$I,"Hero")=0,COUNTIFS('Card Data'!$K:$K,"*"&amp;AH$2&amp;".*",'Card Data'!$A:$A,$A32),COUNTIFS('Card Data'!$K:$K,"*"&amp;AH$2&amp;".*",'Card Data'!$A:$A,$A32)&amp;" ("&amp;COUNTIFS('Card Data'!$K:$K,"*"&amp;AH$2&amp;".*",'Card Data'!$A:$A,$A32,'Card Data'!$I:$I,"Hero")&amp;")"))</f>
        <v/>
      </c>
      <c r="AI32" s="93" t="str">
        <f>IF(COUNTIFS('Card Data'!$K:$K,"*"&amp;AI$2&amp;".*",'Card Data'!$A:$A,$A32)=0,"",IF(COUNTIFS('Card Data'!$K:$K,"*"&amp;AI$2&amp;".*",'Card Data'!$A:$A,$A32,'Card Data'!$I:$I,"Hero")=0,COUNTIFS('Card Data'!$K:$K,"*"&amp;AI$2&amp;".*",'Card Data'!$A:$A,$A32),COUNTIFS('Card Data'!$K:$K,"*"&amp;AI$2&amp;".*",'Card Data'!$A:$A,$A32)&amp;" ("&amp;COUNTIFS('Card Data'!$K:$K,"*"&amp;AI$2&amp;".*",'Card Data'!$A:$A,$A32,'Card Data'!$I:$I,"Hero")&amp;")"))</f>
        <v/>
      </c>
      <c r="AJ32" s="93" t="str">
        <f>IF(COUNTIFS('Card Data'!$K:$K,"*"&amp;AJ$2&amp;".*",'Card Data'!$A:$A,$A32)=0,"",IF(COUNTIFS('Card Data'!$K:$K,"*"&amp;AJ$2&amp;".*",'Card Data'!$A:$A,$A32,'Card Data'!$I:$I,"Hero")=0,COUNTIFS('Card Data'!$K:$K,"*"&amp;AJ$2&amp;".*",'Card Data'!$A:$A,$A32),COUNTIFS('Card Data'!$K:$K,"*"&amp;AJ$2&amp;".*",'Card Data'!$A:$A,$A32)&amp;" ("&amp;COUNTIFS('Card Data'!$K:$K,"*"&amp;AJ$2&amp;".*",'Card Data'!$A:$A,$A32,'Card Data'!$I:$I,"Hero")&amp;")"))</f>
        <v/>
      </c>
      <c r="AK32" s="93" t="str">
        <f>IF(COUNTIFS('Card Data'!$K:$K,"*"&amp;AK$2&amp;".*",'Card Data'!$A:$A,$A32)=0,"",IF(COUNTIFS('Card Data'!$K:$K,"*"&amp;AK$2&amp;".*",'Card Data'!$A:$A,$A32,'Card Data'!$I:$I,"Hero")=0,COUNTIFS('Card Data'!$K:$K,"*"&amp;AK$2&amp;".*",'Card Data'!$A:$A,$A32),COUNTIFS('Card Data'!$K:$K,"*"&amp;AK$2&amp;".*",'Card Data'!$A:$A,$A32)&amp;" ("&amp;COUNTIFS('Card Data'!$K:$K,"*"&amp;AK$2&amp;".*",'Card Data'!$A:$A,$A32,'Card Data'!$I:$I,"Hero")&amp;")"))</f>
        <v/>
      </c>
      <c r="AL32" s="93"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2" customFormat="1" x14ac:dyDescent="0.2">
      <c r="A33" s="89" t="s">
        <v>5144</v>
      </c>
      <c r="B33" s="89" t="s">
        <v>5149</v>
      </c>
      <c r="C33" s="90" t="s">
        <v>5745</v>
      </c>
      <c r="D33" s="89"/>
      <c r="E33" s="91" t="s">
        <v>5866</v>
      </c>
      <c r="F33" s="126"/>
      <c r="G33" s="93">
        <f>SUMIF('Card Data'!$A:$A,$A33,'Card Data'!$E:$E)</f>
        <v>48</v>
      </c>
      <c r="H33" s="93">
        <f>COUNTIFS('Card Data'!$I:$I,N$2,'Card Data'!$A:$A,$A33)</f>
        <v>0</v>
      </c>
      <c r="I33" s="93">
        <f>SUMIFS('Card Data'!$E:$E,'Card Data'!$A:$A,$A33,'Card Data'!$J:$J,"&lt;&gt;",'Card Data'!$J:$J,"&lt;&gt;Burden",'Card Data'!$I:$I,"&lt;&gt;Hero")</f>
        <v>0</v>
      </c>
      <c r="J33" s="93">
        <f>SUMIFS('Card Data'!$E:$E,'Card Data'!$A:$A,$A33,'Card Data'!$J:$J,"",'Card Data'!$I:$I,"&lt;&gt;Campaign")+SUMIFS('Card Data'!$E:$E,'Card Data'!$A:$A,$A33,'Card Data'!$J:$J,"Burden")-K33</f>
        <v>45</v>
      </c>
      <c r="K33" s="93">
        <f>SUMIFS('Card Data'!$E:$E,'Card Data'!$I:$I,K$2,'Card Data'!$A:$A,$A33,'Card Data'!$K:$K,"&lt;&gt;*Side Quest.*")</f>
        <v>3</v>
      </c>
      <c r="L33" s="93">
        <f>COUNTIFS('Card Data'!$I:$I,L$2,'Card Data'!$A:$A,$A33,'Card Data'!$K:$K,"&lt;&gt;*Side Quest.*")</f>
        <v>0</v>
      </c>
      <c r="M33" s="129"/>
      <c r="N33" s="93">
        <f>COUNTIFS('Card Data'!$I:$I,N$2,'Card Data'!$A:$A,$A33)</f>
        <v>0</v>
      </c>
      <c r="O33" s="93">
        <f>COUNTIFS('Card Data'!$I:$I,O$2,'Card Data'!$A:$A,$A33)</f>
        <v>0</v>
      </c>
      <c r="P33" s="93">
        <f>COUNTIFS('Card Data'!$I:$I,P$2,'Card Data'!$A:$A,$A33)</f>
        <v>0</v>
      </c>
      <c r="Q33" s="93">
        <f>COUNTIFS('Card Data'!$I:$I,Q$2,'Card Data'!$A:$A,$A33)</f>
        <v>0</v>
      </c>
      <c r="R33" s="93">
        <f>COUNTIFS('Card Data'!$I:$I,R$2,'Card Data'!$A:$A,$A33)</f>
        <v>6</v>
      </c>
      <c r="S33" s="93">
        <f>COUNTIFS('Card Data'!$I:$I,S$2,'Card Data'!$A:$A,$A33)</f>
        <v>7</v>
      </c>
      <c r="T33" s="93">
        <f>COUNTIFS('Card Data'!$I:$I,T$2,'Card Data'!$A:$A,$A33)</f>
        <v>6</v>
      </c>
      <c r="U33" s="129"/>
      <c r="V33" s="93">
        <f>COUNTIFS('Card Data'!$J:$J,V$2,'Card Data'!$A:$A,$A33)</f>
        <v>0</v>
      </c>
      <c r="W33" s="93">
        <f>COUNTIFS('Card Data'!$J:$J,W$2,'Card Data'!$A:$A,$A33)</f>
        <v>0</v>
      </c>
      <c r="X33" s="93">
        <f>COUNTIFS('Card Data'!$J:$J,X$2,'Card Data'!$A:$A,$A33)</f>
        <v>0</v>
      </c>
      <c r="Y33" s="93">
        <f>COUNTIFS('Card Data'!$J:$J,Y$2,'Card Data'!$A:$A,$A33)</f>
        <v>0</v>
      </c>
      <c r="Z33" s="93">
        <f>COUNTIFS('Card Data'!$J:$J,Z$2,'Card Data'!$A:$A,$A33)</f>
        <v>0</v>
      </c>
      <c r="AA33" s="129"/>
      <c r="AB33" s="93" t="str">
        <f>IF(COUNTIFS('Card Data'!$K:$K,"*"&amp;AB$2&amp;".*",'Card Data'!$A:$A,$A33)=0,"",IF(COUNTIFS('Card Data'!$K:$K,"*"&amp;AB$2&amp;".*",'Card Data'!$A:$A,$A33,'Card Data'!$I:$I,"Hero")=0,COUNTIFS('Card Data'!$K:$K,"*"&amp;AB$2&amp;".*",'Card Data'!$A:$A,$A33),COUNTIFS('Card Data'!$K:$K,"*"&amp;AB$2&amp;".*",'Card Data'!$A:$A,$A33)&amp;" ("&amp;COUNTIFS('Card Data'!$K:$K,"*"&amp;AB$2&amp;".*",'Card Data'!$A:$A,$A33,'Card Data'!$I:$I,"Hero")&amp;")"))</f>
        <v/>
      </c>
      <c r="AC33" s="93">
        <f>IF(COUNTIFS('Card Data'!$K:$K,"*"&amp;AC$2&amp;".*",'Card Data'!$A:$A,$A33)=0,"",IF(COUNTIFS('Card Data'!$K:$K,"*"&amp;AC$2&amp;".*",'Card Data'!$A:$A,$A33,'Card Data'!$I:$I,"Hero")=0,COUNTIFS('Card Data'!$K:$K,"*"&amp;AC$2&amp;".*",'Card Data'!$A:$A,$A33),COUNTIFS('Card Data'!$K:$K,"*"&amp;AC$2&amp;".*",'Card Data'!$A:$A,$A33)&amp;" ("&amp;COUNTIFS('Card Data'!$K:$K,"*"&amp;AC$2&amp;".*",'Card Data'!$A:$A,$A33,'Card Data'!$I:$I,"Hero")&amp;")"))</f>
        <v>1</v>
      </c>
      <c r="AD33" s="93" t="str">
        <f>IF(COUNTIFS('Card Data'!$K:$K,"*"&amp;AD$2&amp;".*",'Card Data'!$A:$A,$A33)=0,"",IF(COUNTIFS('Card Data'!$K:$K,"*"&amp;AD$2&amp;".*",'Card Data'!$A:$A,$A33,'Card Data'!$I:$I,"Hero")=0,COUNTIFS('Card Data'!$K:$K,"*"&amp;AD$2&amp;".*",'Card Data'!$A:$A,$A33),COUNTIFS('Card Data'!$K:$K,"*"&amp;AD$2&amp;".*",'Card Data'!$A:$A,$A33)&amp;" ("&amp;COUNTIFS('Card Data'!$K:$K,"*"&amp;AD$2&amp;".*",'Card Data'!$A:$A,$A33,'Card Data'!$I:$I,"Hero")&amp;")"))</f>
        <v/>
      </c>
      <c r="AE33" s="93" t="str">
        <f>IF(COUNTIFS('Card Data'!$K:$K,"*"&amp;AE$2&amp;".*",'Card Data'!$A:$A,$A33)=0,"",IF(COUNTIFS('Card Data'!$K:$K,"*"&amp;AE$2&amp;".*",'Card Data'!$A:$A,$A33,'Card Data'!$I:$I,"Hero")=0,COUNTIFS('Card Data'!$K:$K,"*"&amp;AE$2&amp;".*",'Card Data'!$A:$A,$A33),COUNTIFS('Card Data'!$K:$K,"*"&amp;AE$2&amp;".*",'Card Data'!$A:$A,$A33)&amp;" ("&amp;COUNTIFS('Card Data'!$K:$K,"*"&amp;AE$2&amp;".*",'Card Data'!$A:$A,$A33,'Card Data'!$I:$I,"Hero")&amp;")"))</f>
        <v/>
      </c>
      <c r="AF33" s="93" t="str">
        <f>IF(COUNTIFS('Card Data'!$K:$K,"*"&amp;AF$2&amp;".*",'Card Data'!$A:$A,$A33)=0,"",IF(COUNTIFS('Card Data'!$K:$K,"*"&amp;AF$2&amp;".*",'Card Data'!$A:$A,$A33,'Card Data'!$I:$I,"Hero")=0,COUNTIFS('Card Data'!$K:$K,"*"&amp;AF$2&amp;".*",'Card Data'!$A:$A,$A33),COUNTIFS('Card Data'!$K:$K,"*"&amp;AF$2&amp;".*",'Card Data'!$A:$A,$A33)&amp;" ("&amp;COUNTIFS('Card Data'!$K:$K,"*"&amp;AF$2&amp;".*",'Card Data'!$A:$A,$A33,'Card Data'!$I:$I,"Hero")&amp;")"))</f>
        <v/>
      </c>
      <c r="AG33" s="93" t="str">
        <f>IF(COUNTIFS('Card Data'!$K:$K,"*"&amp;AG$2&amp;".*",'Card Data'!$A:$A,$A33)=0,"",IF(COUNTIFS('Card Data'!$K:$K,"*"&amp;AG$2&amp;".*",'Card Data'!$A:$A,$A33,'Card Data'!$I:$I,"Hero")=0,COUNTIFS('Card Data'!$K:$K,"*"&amp;AG$2&amp;".*",'Card Data'!$A:$A,$A33),COUNTIFS('Card Data'!$K:$K,"*"&amp;AG$2&amp;".*",'Card Data'!$A:$A,$A33)&amp;" ("&amp;COUNTIFS('Card Data'!$K:$K,"*"&amp;AG$2&amp;".*",'Card Data'!$A:$A,$A33,'Card Data'!$I:$I,"Hero")&amp;")"))</f>
        <v/>
      </c>
      <c r="AH33" s="93" t="str">
        <f>IF(COUNTIFS('Card Data'!$K:$K,"*"&amp;AH$2&amp;".*",'Card Data'!$A:$A,$A33)=0,"",IF(COUNTIFS('Card Data'!$K:$K,"*"&amp;AH$2&amp;".*",'Card Data'!$A:$A,$A33,'Card Data'!$I:$I,"Hero")=0,COUNTIFS('Card Data'!$K:$K,"*"&amp;AH$2&amp;".*",'Card Data'!$A:$A,$A33),COUNTIFS('Card Data'!$K:$K,"*"&amp;AH$2&amp;".*",'Card Data'!$A:$A,$A33)&amp;" ("&amp;COUNTIFS('Card Data'!$K:$K,"*"&amp;AH$2&amp;".*",'Card Data'!$A:$A,$A33,'Card Data'!$I:$I,"Hero")&amp;")"))</f>
        <v/>
      </c>
      <c r="AI33" s="93" t="str">
        <f>IF(COUNTIFS('Card Data'!$K:$K,"*"&amp;AI$2&amp;".*",'Card Data'!$A:$A,$A33)=0,"",IF(COUNTIFS('Card Data'!$K:$K,"*"&amp;AI$2&amp;".*",'Card Data'!$A:$A,$A33,'Card Data'!$I:$I,"Hero")=0,COUNTIFS('Card Data'!$K:$K,"*"&amp;AI$2&amp;".*",'Card Data'!$A:$A,$A33),COUNTIFS('Card Data'!$K:$K,"*"&amp;AI$2&amp;".*",'Card Data'!$A:$A,$A33)&amp;" ("&amp;COUNTIFS('Card Data'!$K:$K,"*"&amp;AI$2&amp;".*",'Card Data'!$A:$A,$A33,'Card Data'!$I:$I,"Hero")&amp;")"))</f>
        <v/>
      </c>
      <c r="AJ33" s="93" t="str">
        <f>IF(COUNTIFS('Card Data'!$K:$K,"*"&amp;AJ$2&amp;".*",'Card Data'!$A:$A,$A33)=0,"",IF(COUNTIFS('Card Data'!$K:$K,"*"&amp;AJ$2&amp;".*",'Card Data'!$A:$A,$A33,'Card Data'!$I:$I,"Hero")=0,COUNTIFS('Card Data'!$K:$K,"*"&amp;AJ$2&amp;".*",'Card Data'!$A:$A,$A33),COUNTIFS('Card Data'!$K:$K,"*"&amp;AJ$2&amp;".*",'Card Data'!$A:$A,$A33)&amp;" ("&amp;COUNTIFS('Card Data'!$K:$K,"*"&amp;AJ$2&amp;".*",'Card Data'!$A:$A,$A33,'Card Data'!$I:$I,"Hero")&amp;")"))</f>
        <v/>
      </c>
      <c r="AK33" s="93" t="str">
        <f>IF(COUNTIFS('Card Data'!$K:$K,"*"&amp;AK$2&amp;".*",'Card Data'!$A:$A,$A33)=0,"",IF(COUNTIFS('Card Data'!$K:$K,"*"&amp;AK$2&amp;".*",'Card Data'!$A:$A,$A33,'Card Data'!$I:$I,"Hero")=0,COUNTIFS('Card Data'!$K:$K,"*"&amp;AK$2&amp;".*",'Card Data'!$A:$A,$A33),COUNTIFS('Card Data'!$K:$K,"*"&amp;AK$2&amp;".*",'Card Data'!$A:$A,$A33)&amp;" ("&amp;COUNTIFS('Card Data'!$K:$K,"*"&amp;AK$2&amp;".*",'Card Data'!$A:$A,$A33,'Card Data'!$I:$I,"Hero")&amp;")"))</f>
        <v/>
      </c>
      <c r="AL33" s="93"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2" customFormat="1" x14ac:dyDescent="0.2">
      <c r="A34" s="89" t="s">
        <v>11288</v>
      </c>
      <c r="B34" s="89" t="s">
        <v>1671</v>
      </c>
      <c r="C34" s="90" t="s">
        <v>8065</v>
      </c>
      <c r="D34" s="89" t="s">
        <v>5595</v>
      </c>
      <c r="E34" s="91" t="s">
        <v>11285</v>
      </c>
      <c r="F34" s="126"/>
      <c r="G34" s="93">
        <f>SUMIF('Card Data'!$A:$A,$A34,'Card Data'!$E:$E)</f>
        <v>48</v>
      </c>
      <c r="H34" s="93">
        <f>COUNTIFS('Card Data'!$I:$I,N$2,'Card Data'!$A:$A,$A34)</f>
        <v>0</v>
      </c>
      <c r="I34" s="93">
        <f>SUMIFS('Card Data'!$E:$E,'Card Data'!$A:$A,$A34,'Card Data'!$J:$J,"&lt;&gt;",'Card Data'!$J:$J,"&lt;&gt;Burden",'Card Data'!$I:$I,"&lt;&gt;Hero")</f>
        <v>1</v>
      </c>
      <c r="J34" s="93">
        <f>SUMIFS('Card Data'!$E:$E,'Card Data'!$A:$A,$A34,'Card Data'!$J:$J,"",'Card Data'!$I:$I,"&lt;&gt;Campaign")+SUMIFS('Card Data'!$E:$E,'Card Data'!$A:$A,$A34,'Card Data'!$J:$J,"Burden")-K34</f>
        <v>40</v>
      </c>
      <c r="K34" s="93">
        <f>SUMIFS('Card Data'!$E:$E,'Card Data'!$I:$I,K$2,'Card Data'!$A:$A,$A34,'Card Data'!$K:$K,"&lt;&gt;*Side Quest.*")</f>
        <v>6</v>
      </c>
      <c r="L34" s="93">
        <f>COUNTIFS('Card Data'!$I:$I,L$2,'Card Data'!$A:$A,$A34,'Card Data'!$K:$K,"&lt;&gt;*Side Quest.*")</f>
        <v>1</v>
      </c>
      <c r="M34" s="129"/>
      <c r="N34" s="93">
        <f>COUNTIFS('Card Data'!$I:$I,N$2,'Card Data'!$A:$A,$A34)</f>
        <v>0</v>
      </c>
      <c r="O34" s="93">
        <f>COUNTIFS('Card Data'!$I:$I,O$2,'Card Data'!$A:$A,$A34)</f>
        <v>0</v>
      </c>
      <c r="P34" s="93">
        <f>COUNTIFS('Card Data'!$I:$I,P$2,'Card Data'!$A:$A,$A34)</f>
        <v>1</v>
      </c>
      <c r="Q34" s="93">
        <f>COUNTIFS('Card Data'!$I:$I,Q$2,'Card Data'!$A:$A,$A34)</f>
        <v>0</v>
      </c>
      <c r="R34" s="93">
        <f>COUNTIFS('Card Data'!$I:$I,R$2,'Card Data'!$A:$A,$A34)</f>
        <v>4</v>
      </c>
      <c r="S34" s="93">
        <f>COUNTIFS('Card Data'!$I:$I,S$2,'Card Data'!$A:$A,$A34)</f>
        <v>6</v>
      </c>
      <c r="T34" s="93">
        <f>COUNTIFS('Card Data'!$I:$I,T$2,'Card Data'!$A:$A,$A34)</f>
        <v>5</v>
      </c>
      <c r="U34" s="129"/>
      <c r="V34" s="93">
        <f>COUNTIFS('Card Data'!$J:$J,V$2,'Card Data'!$A:$A,$A34)</f>
        <v>0</v>
      </c>
      <c r="W34" s="93">
        <f>COUNTIFS('Card Data'!$J:$J,W$2,'Card Data'!$A:$A,$A34)</f>
        <v>0</v>
      </c>
      <c r="X34" s="93">
        <f>COUNTIFS('Card Data'!$J:$J,X$2,'Card Data'!$A:$A,$A34)</f>
        <v>0</v>
      </c>
      <c r="Y34" s="93">
        <f>COUNTIFS('Card Data'!$J:$J,Y$2,'Card Data'!$A:$A,$A34)</f>
        <v>0</v>
      </c>
      <c r="Z34" s="93">
        <f>COUNTIFS('Card Data'!$J:$J,Z$2,'Card Data'!$A:$A,$A34)</f>
        <v>0</v>
      </c>
      <c r="AA34" s="129"/>
      <c r="AB34" s="93" t="str">
        <f>IF(COUNTIFS('Card Data'!$K:$K,"*"&amp;AB$2&amp;".*",'Card Data'!$A:$A,$A34)=0,"",IF(COUNTIFS('Card Data'!$K:$K,"*"&amp;AB$2&amp;".*",'Card Data'!$A:$A,$A34,'Card Data'!$I:$I,"Hero")=0,COUNTIFS('Card Data'!$K:$K,"*"&amp;AB$2&amp;".*",'Card Data'!$A:$A,$A34),COUNTIFS('Card Data'!$K:$K,"*"&amp;AB$2&amp;".*",'Card Data'!$A:$A,$A34)&amp;" ("&amp;COUNTIFS('Card Data'!$K:$K,"*"&amp;AB$2&amp;".*",'Card Data'!$A:$A,$A34,'Card Data'!$I:$I,"Hero")&amp;")"))</f>
        <v/>
      </c>
      <c r="AC34" s="93" t="str">
        <f>IF(COUNTIFS('Card Data'!$K:$K,"*"&amp;AC$2&amp;".*",'Card Data'!$A:$A,$A34)=0,"",IF(COUNTIFS('Card Data'!$K:$K,"*"&amp;AC$2&amp;".*",'Card Data'!$A:$A,$A34,'Card Data'!$I:$I,"Hero")=0,COUNTIFS('Card Data'!$K:$K,"*"&amp;AC$2&amp;".*",'Card Data'!$A:$A,$A34),COUNTIFS('Card Data'!$K:$K,"*"&amp;AC$2&amp;".*",'Card Data'!$A:$A,$A34)&amp;" ("&amp;COUNTIFS('Card Data'!$K:$K,"*"&amp;AC$2&amp;".*",'Card Data'!$A:$A,$A34,'Card Data'!$I:$I,"Hero")&amp;")"))</f>
        <v/>
      </c>
      <c r="AD34" s="93" t="str">
        <f>IF(COUNTIFS('Card Data'!$K:$K,"*"&amp;AD$2&amp;".*",'Card Data'!$A:$A,$A34)=0,"",IF(COUNTIFS('Card Data'!$K:$K,"*"&amp;AD$2&amp;".*",'Card Data'!$A:$A,$A34,'Card Data'!$I:$I,"Hero")=0,COUNTIFS('Card Data'!$K:$K,"*"&amp;AD$2&amp;".*",'Card Data'!$A:$A,$A34),COUNTIFS('Card Data'!$K:$K,"*"&amp;AD$2&amp;".*",'Card Data'!$A:$A,$A34)&amp;" ("&amp;COUNTIFS('Card Data'!$K:$K,"*"&amp;AD$2&amp;".*",'Card Data'!$A:$A,$A34,'Card Data'!$I:$I,"Hero")&amp;")"))</f>
        <v/>
      </c>
      <c r="AE34" s="93" t="str">
        <f>IF(COUNTIFS('Card Data'!$K:$K,"*"&amp;AE$2&amp;".*",'Card Data'!$A:$A,$A34)=0,"",IF(COUNTIFS('Card Data'!$K:$K,"*"&amp;AE$2&amp;".*",'Card Data'!$A:$A,$A34,'Card Data'!$I:$I,"Hero")=0,COUNTIFS('Card Data'!$K:$K,"*"&amp;AE$2&amp;".*",'Card Data'!$A:$A,$A34),COUNTIFS('Card Data'!$K:$K,"*"&amp;AE$2&amp;".*",'Card Data'!$A:$A,$A34)&amp;" ("&amp;COUNTIFS('Card Data'!$K:$K,"*"&amp;AE$2&amp;".*",'Card Data'!$A:$A,$A34,'Card Data'!$I:$I,"Hero")&amp;")"))</f>
        <v/>
      </c>
      <c r="AF34" s="93" t="str">
        <f>IF(COUNTIFS('Card Data'!$K:$K,"*"&amp;AF$2&amp;".*",'Card Data'!$A:$A,$A34)=0,"",IF(COUNTIFS('Card Data'!$K:$K,"*"&amp;AF$2&amp;".*",'Card Data'!$A:$A,$A34,'Card Data'!$I:$I,"Hero")=0,COUNTIFS('Card Data'!$K:$K,"*"&amp;AF$2&amp;".*",'Card Data'!$A:$A,$A34),COUNTIFS('Card Data'!$K:$K,"*"&amp;AF$2&amp;".*",'Card Data'!$A:$A,$A34)&amp;" ("&amp;COUNTIFS('Card Data'!$K:$K,"*"&amp;AF$2&amp;".*",'Card Data'!$A:$A,$A34,'Card Data'!$I:$I,"Hero")&amp;")"))</f>
        <v/>
      </c>
      <c r="AG34" s="93" t="str">
        <f>IF(COUNTIFS('Card Data'!$K:$K,"*"&amp;AG$2&amp;".*",'Card Data'!$A:$A,$A34)=0,"",IF(COUNTIFS('Card Data'!$K:$K,"*"&amp;AG$2&amp;".*",'Card Data'!$A:$A,$A34,'Card Data'!$I:$I,"Hero")=0,COUNTIFS('Card Data'!$K:$K,"*"&amp;AG$2&amp;".*",'Card Data'!$A:$A,$A34),COUNTIFS('Card Data'!$K:$K,"*"&amp;AG$2&amp;".*",'Card Data'!$A:$A,$A34)&amp;" ("&amp;COUNTIFS('Card Data'!$K:$K,"*"&amp;AG$2&amp;".*",'Card Data'!$A:$A,$A34,'Card Data'!$I:$I,"Hero")&amp;")"))</f>
        <v/>
      </c>
      <c r="AH34" s="93" t="str">
        <f>IF(COUNTIFS('Card Data'!$K:$K,"*"&amp;AH$2&amp;".*",'Card Data'!$A:$A,$A34)=0,"",IF(COUNTIFS('Card Data'!$K:$K,"*"&amp;AH$2&amp;".*",'Card Data'!$A:$A,$A34,'Card Data'!$I:$I,"Hero")=0,COUNTIFS('Card Data'!$K:$K,"*"&amp;AH$2&amp;".*",'Card Data'!$A:$A,$A34),COUNTIFS('Card Data'!$K:$K,"*"&amp;AH$2&amp;".*",'Card Data'!$A:$A,$A34)&amp;" ("&amp;COUNTIFS('Card Data'!$K:$K,"*"&amp;AH$2&amp;".*",'Card Data'!$A:$A,$A34,'Card Data'!$I:$I,"Hero")&amp;")"))</f>
        <v/>
      </c>
      <c r="AI34" s="93" t="str">
        <f>IF(COUNTIFS('Card Data'!$K:$K,"*"&amp;AI$2&amp;".*",'Card Data'!$A:$A,$A34)=0,"",IF(COUNTIFS('Card Data'!$K:$K,"*"&amp;AI$2&amp;".*",'Card Data'!$A:$A,$A34,'Card Data'!$I:$I,"Hero")=0,COUNTIFS('Card Data'!$K:$K,"*"&amp;AI$2&amp;".*",'Card Data'!$A:$A,$A34),COUNTIFS('Card Data'!$K:$K,"*"&amp;AI$2&amp;".*",'Card Data'!$A:$A,$A34)&amp;" ("&amp;COUNTIFS('Card Data'!$K:$K,"*"&amp;AI$2&amp;".*",'Card Data'!$A:$A,$A34,'Card Data'!$I:$I,"Hero")&amp;")"))</f>
        <v/>
      </c>
      <c r="AJ34" s="93" t="str">
        <f>IF(COUNTIFS('Card Data'!$K:$K,"*"&amp;AJ$2&amp;".*",'Card Data'!$A:$A,$A34)=0,"",IF(COUNTIFS('Card Data'!$K:$K,"*"&amp;AJ$2&amp;".*",'Card Data'!$A:$A,$A34,'Card Data'!$I:$I,"Hero")=0,COUNTIFS('Card Data'!$K:$K,"*"&amp;AJ$2&amp;".*",'Card Data'!$A:$A,$A34),COUNTIFS('Card Data'!$K:$K,"*"&amp;AJ$2&amp;".*",'Card Data'!$A:$A,$A34)&amp;" ("&amp;COUNTIFS('Card Data'!$K:$K,"*"&amp;AJ$2&amp;".*",'Card Data'!$A:$A,$A34,'Card Data'!$I:$I,"Hero")&amp;")"))</f>
        <v/>
      </c>
      <c r="AK34" s="93" t="str">
        <f>IF(COUNTIFS('Card Data'!$K:$K,"*"&amp;AK$2&amp;".*",'Card Data'!$A:$A,$A34)=0,"",IF(COUNTIFS('Card Data'!$K:$K,"*"&amp;AK$2&amp;".*",'Card Data'!$A:$A,$A34,'Card Data'!$I:$I,"Hero")=0,COUNTIFS('Card Data'!$K:$K,"*"&amp;AK$2&amp;".*",'Card Data'!$A:$A,$A34),COUNTIFS('Card Data'!$K:$K,"*"&amp;AK$2&amp;".*",'Card Data'!$A:$A,$A34)&amp;" ("&amp;COUNTIFS('Card Data'!$K:$K,"*"&amp;AK$2&amp;".*",'Card Data'!$A:$A,$A34,'Card Data'!$I:$I,"Hero")&amp;")"))</f>
        <v/>
      </c>
      <c r="AL34" s="93"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2" customFormat="1" x14ac:dyDescent="0.2">
      <c r="A35" s="89" t="s">
        <v>11448</v>
      </c>
      <c r="B35" s="89" t="s">
        <v>11287</v>
      </c>
      <c r="C35" s="90" t="s">
        <v>8065</v>
      </c>
      <c r="D35" s="89" t="s">
        <v>5595</v>
      </c>
      <c r="E35" s="91" t="s">
        <v>11286</v>
      </c>
      <c r="F35" s="126"/>
      <c r="G35" s="93">
        <f>SUMIF('Card Data'!$A:$A,$A35,'Card Data'!$E:$E)</f>
        <v>50</v>
      </c>
      <c r="H35" s="93">
        <f>COUNTIFS('Card Data'!$I:$I,N$2,'Card Data'!$A:$A,$A35)</f>
        <v>0</v>
      </c>
      <c r="I35" s="93">
        <f>SUMIFS('Card Data'!$E:$E,'Card Data'!$A:$A,$A35,'Card Data'!$J:$J,"&lt;&gt;",'Card Data'!$J:$J,"&lt;&gt;Burden",'Card Data'!$I:$I,"&lt;&gt;Hero")</f>
        <v>1</v>
      </c>
      <c r="J35" s="93">
        <f>SUMIFS('Card Data'!$E:$E,'Card Data'!$A:$A,$A35,'Card Data'!$J:$J,"",'Card Data'!$I:$I,"&lt;&gt;Campaign")+SUMIFS('Card Data'!$E:$E,'Card Data'!$A:$A,$A35,'Card Data'!$J:$J,"Burden")-K35</f>
        <v>41</v>
      </c>
      <c r="K35" s="93">
        <f>SUMIFS('Card Data'!$E:$E,'Card Data'!$I:$I,K$2,'Card Data'!$A:$A,$A35,'Card Data'!$K:$K,"&lt;&gt;*Side Quest.*")</f>
        <v>7</v>
      </c>
      <c r="L35" s="93">
        <f>COUNTIFS('Card Data'!$I:$I,L$2,'Card Data'!$A:$A,$A35,'Card Data'!$K:$K,"&lt;&gt;*Side Quest.*")</f>
        <v>1</v>
      </c>
      <c r="M35" s="129"/>
      <c r="N35" s="93">
        <f>COUNTIFS('Card Data'!$I:$I,N$2,'Card Data'!$A:$A,$A35)</f>
        <v>0</v>
      </c>
      <c r="O35" s="93">
        <f>COUNTIFS('Card Data'!$I:$I,O$2,'Card Data'!$A:$A,$A35)</f>
        <v>0</v>
      </c>
      <c r="P35" s="93">
        <f>COUNTIFS('Card Data'!$I:$I,P$2,'Card Data'!$A:$A,$A35)</f>
        <v>0</v>
      </c>
      <c r="Q35" s="93">
        <f>COUNTIFS('Card Data'!$I:$I,Q$2,'Card Data'!$A:$A,$A35)</f>
        <v>1</v>
      </c>
      <c r="R35" s="93">
        <f>COUNTIFS('Card Data'!$I:$I,R$2,'Card Data'!$A:$A,$A35)</f>
        <v>3</v>
      </c>
      <c r="S35" s="93">
        <f>COUNTIFS('Card Data'!$I:$I,S$2,'Card Data'!$A:$A,$A35)</f>
        <v>6</v>
      </c>
      <c r="T35" s="93">
        <f>COUNTIFS('Card Data'!$I:$I,T$2,'Card Data'!$A:$A,$A35)</f>
        <v>5</v>
      </c>
      <c r="U35" s="129"/>
      <c r="V35" s="93">
        <f>COUNTIFS('Card Data'!$J:$J,V$2,'Card Data'!$A:$A,$A35)</f>
        <v>0</v>
      </c>
      <c r="W35" s="93">
        <f>COUNTIFS('Card Data'!$J:$J,W$2,'Card Data'!$A:$A,$A35)</f>
        <v>0</v>
      </c>
      <c r="X35" s="93">
        <f>COUNTIFS('Card Data'!$J:$J,X$2,'Card Data'!$A:$A,$A35)</f>
        <v>0</v>
      </c>
      <c r="Y35" s="93">
        <f>COUNTIFS('Card Data'!$J:$J,Y$2,'Card Data'!$A:$A,$A35)</f>
        <v>0</v>
      </c>
      <c r="Z35" s="93">
        <f>COUNTIFS('Card Data'!$J:$J,Z$2,'Card Data'!$A:$A,$A35)</f>
        <v>0</v>
      </c>
      <c r="AA35" s="129"/>
      <c r="AB35" s="93" t="str">
        <f>IF(COUNTIFS('Card Data'!$K:$K,"*"&amp;AB$2&amp;".*",'Card Data'!$A:$A,$A35)=0,"",IF(COUNTIFS('Card Data'!$K:$K,"*"&amp;AB$2&amp;".*",'Card Data'!$A:$A,$A35,'Card Data'!$I:$I,"Hero")=0,COUNTIFS('Card Data'!$K:$K,"*"&amp;AB$2&amp;".*",'Card Data'!$A:$A,$A35),COUNTIFS('Card Data'!$K:$K,"*"&amp;AB$2&amp;".*",'Card Data'!$A:$A,$A35)&amp;" ("&amp;COUNTIFS('Card Data'!$K:$K,"*"&amp;AB$2&amp;".*",'Card Data'!$A:$A,$A35,'Card Data'!$I:$I,"Hero")&amp;")"))</f>
        <v/>
      </c>
      <c r="AC35" s="93" t="str">
        <f>IF(COUNTIFS('Card Data'!$K:$K,"*"&amp;AC$2&amp;".*",'Card Data'!$A:$A,$A35)=0,"",IF(COUNTIFS('Card Data'!$K:$K,"*"&amp;AC$2&amp;".*",'Card Data'!$A:$A,$A35,'Card Data'!$I:$I,"Hero")=0,COUNTIFS('Card Data'!$K:$K,"*"&amp;AC$2&amp;".*",'Card Data'!$A:$A,$A35),COUNTIFS('Card Data'!$K:$K,"*"&amp;AC$2&amp;".*",'Card Data'!$A:$A,$A35)&amp;" ("&amp;COUNTIFS('Card Data'!$K:$K,"*"&amp;AC$2&amp;".*",'Card Data'!$A:$A,$A35,'Card Data'!$I:$I,"Hero")&amp;")"))</f>
        <v/>
      </c>
      <c r="AD35" s="93" t="str">
        <f>IF(COUNTIFS('Card Data'!$K:$K,"*"&amp;AD$2&amp;".*",'Card Data'!$A:$A,$A35)=0,"",IF(COUNTIFS('Card Data'!$K:$K,"*"&amp;AD$2&amp;".*",'Card Data'!$A:$A,$A35,'Card Data'!$I:$I,"Hero")=0,COUNTIFS('Card Data'!$K:$K,"*"&amp;AD$2&amp;".*",'Card Data'!$A:$A,$A35),COUNTIFS('Card Data'!$K:$K,"*"&amp;AD$2&amp;".*",'Card Data'!$A:$A,$A35)&amp;" ("&amp;COUNTIFS('Card Data'!$K:$K,"*"&amp;AD$2&amp;".*",'Card Data'!$A:$A,$A35,'Card Data'!$I:$I,"Hero")&amp;")"))</f>
        <v/>
      </c>
      <c r="AE35" s="93" t="str">
        <f>IF(COUNTIFS('Card Data'!$K:$K,"*"&amp;AE$2&amp;".*",'Card Data'!$A:$A,$A35)=0,"",IF(COUNTIFS('Card Data'!$K:$K,"*"&amp;AE$2&amp;".*",'Card Data'!$A:$A,$A35,'Card Data'!$I:$I,"Hero")=0,COUNTIFS('Card Data'!$K:$K,"*"&amp;AE$2&amp;".*",'Card Data'!$A:$A,$A35),COUNTIFS('Card Data'!$K:$K,"*"&amp;AE$2&amp;".*",'Card Data'!$A:$A,$A35)&amp;" ("&amp;COUNTIFS('Card Data'!$K:$K,"*"&amp;AE$2&amp;".*",'Card Data'!$A:$A,$A35,'Card Data'!$I:$I,"Hero")&amp;")"))</f>
        <v/>
      </c>
      <c r="AF35" s="93" t="str">
        <f>IF(COUNTIFS('Card Data'!$K:$K,"*"&amp;AF$2&amp;".*",'Card Data'!$A:$A,$A35)=0,"",IF(COUNTIFS('Card Data'!$K:$K,"*"&amp;AF$2&amp;".*",'Card Data'!$A:$A,$A35,'Card Data'!$I:$I,"Hero")=0,COUNTIFS('Card Data'!$K:$K,"*"&amp;AF$2&amp;".*",'Card Data'!$A:$A,$A35),COUNTIFS('Card Data'!$K:$K,"*"&amp;AF$2&amp;".*",'Card Data'!$A:$A,$A35)&amp;" ("&amp;COUNTIFS('Card Data'!$K:$K,"*"&amp;AF$2&amp;".*",'Card Data'!$A:$A,$A35,'Card Data'!$I:$I,"Hero")&amp;")"))</f>
        <v/>
      </c>
      <c r="AG35" s="93" t="str">
        <f>IF(COUNTIFS('Card Data'!$K:$K,"*"&amp;AG$2&amp;".*",'Card Data'!$A:$A,$A35)=0,"",IF(COUNTIFS('Card Data'!$K:$K,"*"&amp;AG$2&amp;".*",'Card Data'!$A:$A,$A35,'Card Data'!$I:$I,"Hero")=0,COUNTIFS('Card Data'!$K:$K,"*"&amp;AG$2&amp;".*",'Card Data'!$A:$A,$A35),COUNTIFS('Card Data'!$K:$K,"*"&amp;AG$2&amp;".*",'Card Data'!$A:$A,$A35)&amp;" ("&amp;COUNTIFS('Card Data'!$K:$K,"*"&amp;AG$2&amp;".*",'Card Data'!$A:$A,$A35,'Card Data'!$I:$I,"Hero")&amp;")"))</f>
        <v/>
      </c>
      <c r="AH35" s="93" t="str">
        <f>IF(COUNTIFS('Card Data'!$K:$K,"*"&amp;AH$2&amp;".*",'Card Data'!$A:$A,$A35)=0,"",IF(COUNTIFS('Card Data'!$K:$K,"*"&amp;AH$2&amp;".*",'Card Data'!$A:$A,$A35,'Card Data'!$I:$I,"Hero")=0,COUNTIFS('Card Data'!$K:$K,"*"&amp;AH$2&amp;".*",'Card Data'!$A:$A,$A35),COUNTIFS('Card Data'!$K:$K,"*"&amp;AH$2&amp;".*",'Card Data'!$A:$A,$A35)&amp;" ("&amp;COUNTIFS('Card Data'!$K:$K,"*"&amp;AH$2&amp;".*",'Card Data'!$A:$A,$A35,'Card Data'!$I:$I,"Hero")&amp;")"))</f>
        <v/>
      </c>
      <c r="AI35" s="93" t="str">
        <f>IF(COUNTIFS('Card Data'!$K:$K,"*"&amp;AI$2&amp;".*",'Card Data'!$A:$A,$A35)=0,"",IF(COUNTIFS('Card Data'!$K:$K,"*"&amp;AI$2&amp;".*",'Card Data'!$A:$A,$A35,'Card Data'!$I:$I,"Hero")=0,COUNTIFS('Card Data'!$K:$K,"*"&amp;AI$2&amp;".*",'Card Data'!$A:$A,$A35),COUNTIFS('Card Data'!$K:$K,"*"&amp;AI$2&amp;".*",'Card Data'!$A:$A,$A35)&amp;" ("&amp;COUNTIFS('Card Data'!$K:$K,"*"&amp;AI$2&amp;".*",'Card Data'!$A:$A,$A35,'Card Data'!$I:$I,"Hero")&amp;")"))</f>
        <v/>
      </c>
      <c r="AJ35" s="93" t="str">
        <f>IF(COUNTIFS('Card Data'!$K:$K,"*"&amp;AJ$2&amp;".*",'Card Data'!$A:$A,$A35)=0,"",IF(COUNTIFS('Card Data'!$K:$K,"*"&amp;AJ$2&amp;".*",'Card Data'!$A:$A,$A35,'Card Data'!$I:$I,"Hero")=0,COUNTIFS('Card Data'!$K:$K,"*"&amp;AJ$2&amp;".*",'Card Data'!$A:$A,$A35),COUNTIFS('Card Data'!$K:$K,"*"&amp;AJ$2&amp;".*",'Card Data'!$A:$A,$A35)&amp;" ("&amp;COUNTIFS('Card Data'!$K:$K,"*"&amp;AJ$2&amp;".*",'Card Data'!$A:$A,$A35,'Card Data'!$I:$I,"Hero")&amp;")"))</f>
        <v/>
      </c>
      <c r="AK35" s="93" t="str">
        <f>IF(COUNTIFS('Card Data'!$K:$K,"*"&amp;AK$2&amp;".*",'Card Data'!$A:$A,$A35)=0,"",IF(COUNTIFS('Card Data'!$K:$K,"*"&amp;AK$2&amp;".*",'Card Data'!$A:$A,$A35,'Card Data'!$I:$I,"Hero")=0,COUNTIFS('Card Data'!$K:$K,"*"&amp;AK$2&amp;".*",'Card Data'!$A:$A,$A35),COUNTIFS('Card Data'!$K:$K,"*"&amp;AK$2&amp;".*",'Card Data'!$A:$A,$A35)&amp;" ("&amp;COUNTIFS('Card Data'!$K:$K,"*"&amp;AK$2&amp;".*",'Card Data'!$A:$A,$A35,'Card Data'!$I:$I,"Hero")&amp;")"))</f>
        <v/>
      </c>
      <c r="AL35" s="93">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7" customFormat="1" x14ac:dyDescent="0.2">
      <c r="A36" s="74" t="s">
        <v>766</v>
      </c>
      <c r="B36" s="74" t="s">
        <v>5330</v>
      </c>
      <c r="C36" s="75" t="s">
        <v>5745</v>
      </c>
      <c r="D36" s="74"/>
      <c r="E36" s="76" t="s">
        <v>5867</v>
      </c>
      <c r="F36" s="127"/>
      <c r="G36" s="78">
        <f>SUMIF('Card Data'!$A:$A,$A36,'Card Data'!$E:$E)</f>
        <v>60</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60</v>
      </c>
      <c r="K36" s="78">
        <f>SUMIFS('Card Data'!$E:$E,'Card Data'!$I:$I,K$2,'Card Data'!$A:$A,$A36,'Card Data'!$K:$K,"&lt;&gt;*Side Quest.*")</f>
        <v>0</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10</v>
      </c>
      <c r="S36" s="78">
        <f>COUNTIFS('Card Data'!$I:$I,S$2,'Card Data'!$A:$A,$A36)</f>
        <v>6</v>
      </c>
      <c r="T36" s="78">
        <f>COUNTIFS('Card Data'!$I:$I,T$2,'Card Data'!$A:$A,$A36)</f>
        <v>8</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7" customFormat="1" x14ac:dyDescent="0.2">
      <c r="A37" s="74" t="s">
        <v>3165</v>
      </c>
      <c r="B37" s="74" t="s">
        <v>5331</v>
      </c>
      <c r="C37" s="75" t="s">
        <v>5745</v>
      </c>
      <c r="D37" s="74"/>
      <c r="E37" s="79" t="s">
        <v>5868</v>
      </c>
      <c r="F37" s="127"/>
      <c r="G37" s="78">
        <f>SUMIF('Card Data'!$A:$A,$A37,'Card Data'!$E:$E)</f>
        <v>120</v>
      </c>
      <c r="H37" s="78">
        <f>COUNTIFS('Card Data'!$I:$I,N$2,'Card Data'!$A:$A,$A37)</f>
        <v>0</v>
      </c>
      <c r="I37" s="78">
        <f>SUMIFS('Card Data'!$E:$E,'Card Data'!$A:$A,$A37,'Card Data'!$J:$J,"&lt;&gt;",'Card Data'!$J:$J,"&lt;&gt;Burden",'Card Data'!$I:$I,"&lt;&gt;Hero")</f>
        <v>0</v>
      </c>
      <c r="J37" s="78">
        <f>SUMIFS('Card Data'!$E:$E,'Card Data'!$A:$A,$A37,'Card Data'!$J:$J,"",'Card Data'!$I:$I,"&lt;&gt;Campaign")+SUMIFS('Card Data'!$E:$E,'Card Data'!$A:$A,$A37,'Card Data'!$J:$J,"Burden")-K37</f>
        <v>119</v>
      </c>
      <c r="K37" s="78">
        <f>SUMIFS('Card Data'!$E:$E,'Card Data'!$I:$I,K$2,'Card Data'!$A:$A,$A37,'Card Data'!$K:$K,"&lt;&gt;*Side Quest.*")</f>
        <v>1</v>
      </c>
      <c r="L37" s="78">
        <f>COUNTIFS('Card Data'!$I:$I,L$2,'Card Data'!$A:$A,$A37,'Card Data'!$K:$K,"&lt;&gt;*Side Quest.*")</f>
        <v>0</v>
      </c>
      <c r="M37" s="130"/>
      <c r="N37" s="78">
        <f>COUNTIFS('Card Data'!$I:$I,N$2,'Card Data'!$A:$A,$A37)</f>
        <v>0</v>
      </c>
      <c r="O37" s="78">
        <f>COUNTIFS('Card Data'!$I:$I,O$2,'Card Data'!$A:$A,$A37)</f>
        <v>0</v>
      </c>
      <c r="P37" s="78">
        <f>COUNTIFS('Card Data'!$I:$I,P$2,'Card Data'!$A:$A,$A37)</f>
        <v>0</v>
      </c>
      <c r="Q37" s="78">
        <f>COUNTIFS('Card Data'!$I:$I,Q$2,'Card Data'!$A:$A,$A37)</f>
        <v>0</v>
      </c>
      <c r="R37" s="78">
        <f>COUNTIFS('Card Data'!$I:$I,R$2,'Card Data'!$A:$A,$A37)</f>
        <v>19</v>
      </c>
      <c r="S37" s="78">
        <f>COUNTIFS('Card Data'!$I:$I,S$2,'Card Data'!$A:$A,$A37)</f>
        <v>14</v>
      </c>
      <c r="T37" s="78">
        <f>COUNTIFS('Card Data'!$I:$I,T$2,'Card Data'!$A:$A,$A37)</f>
        <v>16</v>
      </c>
      <c r="U37" s="130"/>
      <c r="V37" s="78">
        <f>COUNTIFS('Card Data'!$J:$J,V$2,'Card Data'!$A:$A,$A37)</f>
        <v>0</v>
      </c>
      <c r="W37" s="78">
        <f>COUNTIFS('Card Data'!$J:$J,W$2,'Card Data'!$A:$A,$A37)</f>
        <v>0</v>
      </c>
      <c r="X37" s="78">
        <f>COUNTIFS('Card Data'!$J:$J,X$2,'Card Data'!$A:$A,$A37)</f>
        <v>0</v>
      </c>
      <c r="Y37" s="78">
        <f>COUNTIFS('Card Data'!$J:$J,Y$2,'Card Data'!$A:$A,$A37)</f>
        <v>0</v>
      </c>
      <c r="Z37" s="78">
        <f>COUNTIFS('Card Data'!$J:$J,Z$2,'Card Data'!$A:$A,$A37)</f>
        <v>0</v>
      </c>
      <c r="AA37" s="130"/>
      <c r="AB37" s="78" t="str">
        <f>IF(COUNTIFS('Card Data'!$K:$K,"*"&amp;AB$2&amp;".*",'Card Data'!$A:$A,$A37)=0,"",IF(COUNTIFS('Card Data'!$K:$K,"*"&amp;AB$2&amp;".*",'Card Data'!$A:$A,$A37,'Card Data'!$I:$I,"Hero")=0,COUNTIFS('Card Data'!$K:$K,"*"&amp;AB$2&amp;".*",'Card Data'!$A:$A,$A37),COUNTIFS('Card Data'!$K:$K,"*"&amp;AB$2&amp;".*",'Card Data'!$A:$A,$A37)&amp;" ("&amp;COUNTIFS('Card Data'!$K:$K,"*"&amp;AB$2&amp;".*",'Card Data'!$A:$A,$A37,'Card Data'!$I:$I,"Hero")&amp;")"))</f>
        <v/>
      </c>
      <c r="AC37" s="78" t="str">
        <f>IF(COUNTIFS('Card Data'!$K:$K,"*"&amp;AC$2&amp;".*",'Card Data'!$A:$A,$A37)=0,"",IF(COUNTIFS('Card Data'!$K:$K,"*"&amp;AC$2&amp;".*",'Card Data'!$A:$A,$A37,'Card Data'!$I:$I,"Hero")=0,COUNTIFS('Card Data'!$K:$K,"*"&amp;AC$2&amp;".*",'Card Data'!$A:$A,$A37),COUNTIFS('Card Data'!$K:$K,"*"&amp;AC$2&amp;".*",'Card Data'!$A:$A,$A37)&amp;" ("&amp;COUNTIFS('Card Data'!$K:$K,"*"&amp;AC$2&amp;".*",'Card Data'!$A:$A,$A37,'Card Data'!$I:$I,"Hero")&amp;")"))</f>
        <v/>
      </c>
      <c r="AD37" s="78" t="str">
        <f>IF(COUNTIFS('Card Data'!$K:$K,"*"&amp;AD$2&amp;".*",'Card Data'!$A:$A,$A37)=0,"",IF(COUNTIFS('Card Data'!$K:$K,"*"&amp;AD$2&amp;".*",'Card Data'!$A:$A,$A37,'Card Data'!$I:$I,"Hero")=0,COUNTIFS('Card Data'!$K:$K,"*"&amp;AD$2&amp;".*",'Card Data'!$A:$A,$A37),COUNTIFS('Card Data'!$K:$K,"*"&amp;AD$2&amp;".*",'Card Data'!$A:$A,$A37)&amp;" ("&amp;COUNTIFS('Card Data'!$K:$K,"*"&amp;AD$2&amp;".*",'Card Data'!$A:$A,$A37,'Card Data'!$I:$I,"Hero")&amp;")"))</f>
        <v/>
      </c>
      <c r="AE37" s="78" t="str">
        <f>IF(COUNTIFS('Card Data'!$K:$K,"*"&amp;AE$2&amp;".*",'Card Data'!$A:$A,$A37)=0,"",IF(COUNTIFS('Card Data'!$K:$K,"*"&amp;AE$2&amp;".*",'Card Data'!$A:$A,$A37,'Card Data'!$I:$I,"Hero")=0,COUNTIFS('Card Data'!$K:$K,"*"&amp;AE$2&amp;".*",'Card Data'!$A:$A,$A37),COUNTIFS('Card Data'!$K:$K,"*"&amp;AE$2&amp;".*",'Card Data'!$A:$A,$A37)&amp;" ("&amp;COUNTIFS('Card Data'!$K:$K,"*"&amp;AE$2&amp;".*",'Card Data'!$A:$A,$A37,'Card Data'!$I:$I,"Hero")&amp;")"))</f>
        <v/>
      </c>
      <c r="AF37" s="78" t="str">
        <f>IF(COUNTIFS('Card Data'!$K:$K,"*"&amp;AF$2&amp;".*",'Card Data'!$A:$A,$A37)=0,"",IF(COUNTIFS('Card Data'!$K:$K,"*"&amp;AF$2&amp;".*",'Card Data'!$A:$A,$A37,'Card Data'!$I:$I,"Hero")=0,COUNTIFS('Card Data'!$K:$K,"*"&amp;AF$2&amp;".*",'Card Data'!$A:$A,$A37),COUNTIFS('Card Data'!$K:$K,"*"&amp;AF$2&amp;".*",'Card Data'!$A:$A,$A37)&amp;" ("&amp;COUNTIFS('Card Data'!$K:$K,"*"&amp;AF$2&amp;".*",'Card Data'!$A:$A,$A37,'Card Data'!$I:$I,"Hero")&amp;")"))</f>
        <v/>
      </c>
      <c r="AG37" s="78" t="str">
        <f>IF(COUNTIFS('Card Data'!$K:$K,"*"&amp;AG$2&amp;".*",'Card Data'!$A:$A,$A37)=0,"",IF(COUNTIFS('Card Data'!$K:$K,"*"&amp;AG$2&amp;".*",'Card Data'!$A:$A,$A37,'Card Data'!$I:$I,"Hero")=0,COUNTIFS('Card Data'!$K:$K,"*"&amp;AG$2&amp;".*",'Card Data'!$A:$A,$A37),COUNTIFS('Card Data'!$K:$K,"*"&amp;AG$2&amp;".*",'Card Data'!$A:$A,$A37)&amp;" ("&amp;COUNTIFS('Card Data'!$K:$K,"*"&amp;AG$2&amp;".*",'Card Data'!$A:$A,$A37,'Card Data'!$I:$I,"Hero")&amp;")"))</f>
        <v/>
      </c>
      <c r="AH37" s="78" t="str">
        <f>IF(COUNTIFS('Card Data'!$K:$K,"*"&amp;AH$2&amp;".*",'Card Data'!$A:$A,$A37)=0,"",IF(COUNTIFS('Card Data'!$K:$K,"*"&amp;AH$2&amp;".*",'Card Data'!$A:$A,$A37,'Card Data'!$I:$I,"Hero")=0,COUNTIFS('Card Data'!$K:$K,"*"&amp;AH$2&amp;".*",'Card Data'!$A:$A,$A37),COUNTIFS('Card Data'!$K:$K,"*"&amp;AH$2&amp;".*",'Card Data'!$A:$A,$A37)&amp;" ("&amp;COUNTIFS('Card Data'!$K:$K,"*"&amp;AH$2&amp;".*",'Card Data'!$A:$A,$A37,'Card Data'!$I:$I,"Hero")&amp;")"))</f>
        <v/>
      </c>
      <c r="AI37" s="78" t="str">
        <f>IF(COUNTIFS('Card Data'!$K:$K,"*"&amp;AI$2&amp;".*",'Card Data'!$A:$A,$A37)=0,"",IF(COUNTIFS('Card Data'!$K:$K,"*"&amp;AI$2&amp;".*",'Card Data'!$A:$A,$A37,'Card Data'!$I:$I,"Hero")=0,COUNTIFS('Card Data'!$K:$K,"*"&amp;AI$2&amp;".*",'Card Data'!$A:$A,$A37),COUNTIFS('Card Data'!$K:$K,"*"&amp;AI$2&amp;".*",'Card Data'!$A:$A,$A37)&amp;" ("&amp;COUNTIFS('Card Data'!$K:$K,"*"&amp;AI$2&amp;".*",'Card Data'!$A:$A,$A37,'Card Data'!$I:$I,"Hero")&amp;")"))</f>
        <v/>
      </c>
      <c r="AJ37" s="78" t="str">
        <f>IF(COUNTIFS('Card Data'!$K:$K,"*"&amp;AJ$2&amp;".*",'Card Data'!$A:$A,$A37)=0,"",IF(COUNTIFS('Card Data'!$K:$K,"*"&amp;AJ$2&amp;".*",'Card Data'!$A:$A,$A37,'Card Data'!$I:$I,"Hero")=0,COUNTIFS('Card Data'!$K:$K,"*"&amp;AJ$2&amp;".*",'Card Data'!$A:$A,$A37),COUNTIFS('Card Data'!$K:$K,"*"&amp;AJ$2&amp;".*",'Card Data'!$A:$A,$A37)&amp;" ("&amp;COUNTIFS('Card Data'!$K:$K,"*"&amp;AJ$2&amp;".*",'Card Data'!$A:$A,$A37,'Card Data'!$I:$I,"Hero")&amp;")"))</f>
        <v/>
      </c>
      <c r="AK37" s="78" t="str">
        <f>IF(COUNTIFS('Card Data'!$K:$K,"*"&amp;AK$2&amp;".*",'Card Data'!$A:$A,$A37)=0,"",IF(COUNTIFS('Card Data'!$K:$K,"*"&amp;AK$2&amp;".*",'Card Data'!$A:$A,$A37,'Card Data'!$I:$I,"Hero")=0,COUNTIFS('Card Data'!$K:$K,"*"&amp;AK$2&amp;".*",'Card Data'!$A:$A,$A37),COUNTIFS('Card Data'!$K:$K,"*"&amp;AK$2&amp;".*",'Card Data'!$A:$A,$A37)&amp;" ("&amp;COUNTIFS('Card Data'!$K:$K,"*"&amp;AK$2&amp;".*",'Card Data'!$A:$A,$A37,'Card Data'!$I:$I,"Hero")&amp;")"))</f>
        <v/>
      </c>
      <c r="AL37" s="78"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7" customFormat="1" x14ac:dyDescent="0.2">
      <c r="A38" s="74" t="s">
        <v>5801</v>
      </c>
      <c r="B38" s="74" t="s">
        <v>5829</v>
      </c>
      <c r="C38" s="75" t="s">
        <v>5745</v>
      </c>
      <c r="D38" s="74"/>
      <c r="E38" s="79" t="s">
        <v>5869</v>
      </c>
      <c r="F38" s="127"/>
      <c r="G38" s="78">
        <f>SUMIF('Card Data'!$A:$A,$A38,'Card Data'!$E:$E)</f>
        <v>60</v>
      </c>
      <c r="H38" s="78">
        <f>COUNTIFS('Card Data'!$I:$I,N$2,'Card Data'!$A:$A,$A38)</f>
        <v>0</v>
      </c>
      <c r="I38" s="78">
        <f>SUMIFS('Card Data'!$E:$E,'Card Data'!$A:$A,$A38,'Card Data'!$J:$J,"&lt;&gt;",'Card Data'!$J:$J,"&lt;&gt;Burden",'Card Data'!$I:$I,"&lt;&gt;Hero")</f>
        <v>0</v>
      </c>
      <c r="J38" s="78">
        <f>SUMIFS('Card Data'!$E:$E,'Card Data'!$A:$A,$A38,'Card Data'!$J:$J,"",'Card Data'!$I:$I,"&lt;&gt;Campaign")+SUMIFS('Card Data'!$E:$E,'Card Data'!$A:$A,$A38,'Card Data'!$J:$J,"Burden")-K38</f>
        <v>56</v>
      </c>
      <c r="K38" s="78">
        <f>SUMIFS('Card Data'!$E:$E,'Card Data'!$I:$I,K$2,'Card Data'!$A:$A,$A38,'Card Data'!$K:$K,"&lt;&gt;*Side Quest.*")</f>
        <v>4</v>
      </c>
      <c r="L38" s="78">
        <f>COUNTIFS('Card Data'!$I:$I,L$2,'Card Data'!$A:$A,$A38,'Card Data'!$K:$K,"&lt;&gt;*Side Quest.*")</f>
        <v>0</v>
      </c>
      <c r="M38" s="130"/>
      <c r="N38" s="78">
        <f>COUNTIFS('Card Data'!$I:$I,N$2,'Card Data'!$A:$A,$A38)</f>
        <v>0</v>
      </c>
      <c r="O38" s="78">
        <f>COUNTIFS('Card Data'!$I:$I,O$2,'Card Data'!$A:$A,$A38)</f>
        <v>0</v>
      </c>
      <c r="P38" s="78">
        <f>COUNTIFS('Card Data'!$I:$I,P$2,'Card Data'!$A:$A,$A38)</f>
        <v>0</v>
      </c>
      <c r="Q38" s="78">
        <f>COUNTIFS('Card Data'!$I:$I,Q$2,'Card Data'!$A:$A,$A38)</f>
        <v>0</v>
      </c>
      <c r="R38" s="78">
        <f>COUNTIFS('Card Data'!$I:$I,R$2,'Card Data'!$A:$A,$A38)</f>
        <v>9</v>
      </c>
      <c r="S38" s="78">
        <f>COUNTIFS('Card Data'!$I:$I,S$2,'Card Data'!$A:$A,$A38)</f>
        <v>6</v>
      </c>
      <c r="T38" s="78">
        <f>COUNTIFS('Card Data'!$I:$I,T$2,'Card Data'!$A:$A,$A38)</f>
        <v>5</v>
      </c>
      <c r="U38" s="130"/>
      <c r="V38" s="78">
        <f>COUNTIFS('Card Data'!$J:$J,V$2,'Card Data'!$A:$A,$A38)</f>
        <v>0</v>
      </c>
      <c r="W38" s="78">
        <f>COUNTIFS('Card Data'!$J:$J,W$2,'Card Data'!$A:$A,$A38)</f>
        <v>0</v>
      </c>
      <c r="X38" s="78">
        <f>COUNTIFS('Card Data'!$J:$J,X$2,'Card Data'!$A:$A,$A38)</f>
        <v>0</v>
      </c>
      <c r="Y38" s="78">
        <f>COUNTIFS('Card Data'!$J:$J,Y$2,'Card Data'!$A:$A,$A38)</f>
        <v>0</v>
      </c>
      <c r="Z38" s="78">
        <f>COUNTIFS('Card Data'!$J:$J,Z$2,'Card Data'!$A:$A,$A38)</f>
        <v>0</v>
      </c>
      <c r="AA38" s="130"/>
      <c r="AB38" s="78" t="str">
        <f>IF(COUNTIFS('Card Data'!$K:$K,"*"&amp;AB$2&amp;".*",'Card Data'!$A:$A,$A38)=0,"",IF(COUNTIFS('Card Data'!$K:$K,"*"&amp;AB$2&amp;".*",'Card Data'!$A:$A,$A38,'Card Data'!$I:$I,"Hero")=0,COUNTIFS('Card Data'!$K:$K,"*"&amp;AB$2&amp;".*",'Card Data'!$A:$A,$A38),COUNTIFS('Card Data'!$K:$K,"*"&amp;AB$2&amp;".*",'Card Data'!$A:$A,$A38)&amp;" ("&amp;COUNTIFS('Card Data'!$K:$K,"*"&amp;AB$2&amp;".*",'Card Data'!$A:$A,$A38,'Card Data'!$I:$I,"Hero")&amp;")"))</f>
        <v/>
      </c>
      <c r="AC38" s="78" t="str">
        <f>IF(COUNTIFS('Card Data'!$K:$K,"*"&amp;AC$2&amp;".*",'Card Data'!$A:$A,$A38)=0,"",IF(COUNTIFS('Card Data'!$K:$K,"*"&amp;AC$2&amp;".*",'Card Data'!$A:$A,$A38,'Card Data'!$I:$I,"Hero")=0,COUNTIFS('Card Data'!$K:$K,"*"&amp;AC$2&amp;".*",'Card Data'!$A:$A,$A38),COUNTIFS('Card Data'!$K:$K,"*"&amp;AC$2&amp;".*",'Card Data'!$A:$A,$A38)&amp;" ("&amp;COUNTIFS('Card Data'!$K:$K,"*"&amp;AC$2&amp;".*",'Card Data'!$A:$A,$A38,'Card Data'!$I:$I,"Hero")&amp;")"))</f>
        <v/>
      </c>
      <c r="AD38" s="78" t="str">
        <f>IF(COUNTIFS('Card Data'!$K:$K,"*"&amp;AD$2&amp;".*",'Card Data'!$A:$A,$A38)=0,"",IF(COUNTIFS('Card Data'!$K:$K,"*"&amp;AD$2&amp;".*",'Card Data'!$A:$A,$A38,'Card Data'!$I:$I,"Hero")=0,COUNTIFS('Card Data'!$K:$K,"*"&amp;AD$2&amp;".*",'Card Data'!$A:$A,$A38),COUNTIFS('Card Data'!$K:$K,"*"&amp;AD$2&amp;".*",'Card Data'!$A:$A,$A38)&amp;" ("&amp;COUNTIFS('Card Data'!$K:$K,"*"&amp;AD$2&amp;".*",'Card Data'!$A:$A,$A38,'Card Data'!$I:$I,"Hero")&amp;")"))</f>
        <v/>
      </c>
      <c r="AE38" s="78" t="str">
        <f>IF(COUNTIFS('Card Data'!$K:$K,"*"&amp;AE$2&amp;".*",'Card Data'!$A:$A,$A38)=0,"",IF(COUNTIFS('Card Data'!$K:$K,"*"&amp;AE$2&amp;".*",'Card Data'!$A:$A,$A38,'Card Data'!$I:$I,"Hero")=0,COUNTIFS('Card Data'!$K:$K,"*"&amp;AE$2&amp;".*",'Card Data'!$A:$A,$A38),COUNTIFS('Card Data'!$K:$K,"*"&amp;AE$2&amp;".*",'Card Data'!$A:$A,$A38)&amp;" ("&amp;COUNTIFS('Card Data'!$K:$K,"*"&amp;AE$2&amp;".*",'Card Data'!$A:$A,$A38,'Card Data'!$I:$I,"Hero")&amp;")"))</f>
        <v/>
      </c>
      <c r="AF38" s="78" t="str">
        <f>IF(COUNTIFS('Card Data'!$K:$K,"*"&amp;AF$2&amp;".*",'Card Data'!$A:$A,$A38)=0,"",IF(COUNTIFS('Card Data'!$K:$K,"*"&amp;AF$2&amp;".*",'Card Data'!$A:$A,$A38,'Card Data'!$I:$I,"Hero")=0,COUNTIFS('Card Data'!$K:$K,"*"&amp;AF$2&amp;".*",'Card Data'!$A:$A,$A38),COUNTIFS('Card Data'!$K:$K,"*"&amp;AF$2&amp;".*",'Card Data'!$A:$A,$A38)&amp;" ("&amp;COUNTIFS('Card Data'!$K:$K,"*"&amp;AF$2&amp;".*",'Card Data'!$A:$A,$A38,'Card Data'!$I:$I,"Hero")&amp;")"))</f>
        <v/>
      </c>
      <c r="AG38" s="78" t="str">
        <f>IF(COUNTIFS('Card Data'!$K:$K,"*"&amp;AG$2&amp;".*",'Card Data'!$A:$A,$A38)=0,"",IF(COUNTIFS('Card Data'!$K:$K,"*"&amp;AG$2&amp;".*",'Card Data'!$A:$A,$A38,'Card Data'!$I:$I,"Hero")=0,COUNTIFS('Card Data'!$K:$K,"*"&amp;AG$2&amp;".*",'Card Data'!$A:$A,$A38),COUNTIFS('Card Data'!$K:$K,"*"&amp;AG$2&amp;".*",'Card Data'!$A:$A,$A38)&amp;" ("&amp;COUNTIFS('Card Data'!$K:$K,"*"&amp;AG$2&amp;".*",'Card Data'!$A:$A,$A38,'Card Data'!$I:$I,"Hero")&amp;")"))</f>
        <v/>
      </c>
      <c r="AH38" s="78" t="str">
        <f>IF(COUNTIFS('Card Data'!$K:$K,"*"&amp;AH$2&amp;".*",'Card Data'!$A:$A,$A38)=0,"",IF(COUNTIFS('Card Data'!$K:$K,"*"&amp;AH$2&amp;".*",'Card Data'!$A:$A,$A38,'Card Data'!$I:$I,"Hero")=0,COUNTIFS('Card Data'!$K:$K,"*"&amp;AH$2&amp;".*",'Card Data'!$A:$A,$A38),COUNTIFS('Card Data'!$K:$K,"*"&amp;AH$2&amp;".*",'Card Data'!$A:$A,$A38)&amp;" ("&amp;COUNTIFS('Card Data'!$K:$K,"*"&amp;AH$2&amp;".*",'Card Data'!$A:$A,$A38,'Card Data'!$I:$I,"Hero")&amp;")"))</f>
        <v/>
      </c>
      <c r="AI38" s="78" t="str">
        <f>IF(COUNTIFS('Card Data'!$K:$K,"*"&amp;AI$2&amp;".*",'Card Data'!$A:$A,$A38)=0,"",IF(COUNTIFS('Card Data'!$K:$K,"*"&amp;AI$2&amp;".*",'Card Data'!$A:$A,$A38,'Card Data'!$I:$I,"Hero")=0,COUNTIFS('Card Data'!$K:$K,"*"&amp;AI$2&amp;".*",'Card Data'!$A:$A,$A38),COUNTIFS('Card Data'!$K:$K,"*"&amp;AI$2&amp;".*",'Card Data'!$A:$A,$A38)&amp;" ("&amp;COUNTIFS('Card Data'!$K:$K,"*"&amp;AI$2&amp;".*",'Card Data'!$A:$A,$A38,'Card Data'!$I:$I,"Hero")&amp;")"))</f>
        <v/>
      </c>
      <c r="AJ38" s="78" t="str">
        <f>IF(COUNTIFS('Card Data'!$K:$K,"*"&amp;AJ$2&amp;".*",'Card Data'!$A:$A,$A38)=0,"",IF(COUNTIFS('Card Data'!$K:$K,"*"&amp;AJ$2&amp;".*",'Card Data'!$A:$A,$A38,'Card Data'!$I:$I,"Hero")=0,COUNTIFS('Card Data'!$K:$K,"*"&amp;AJ$2&amp;".*",'Card Data'!$A:$A,$A38),COUNTIFS('Card Data'!$K:$K,"*"&amp;AJ$2&amp;".*",'Card Data'!$A:$A,$A38)&amp;" ("&amp;COUNTIFS('Card Data'!$K:$K,"*"&amp;AJ$2&amp;".*",'Card Data'!$A:$A,$A38,'Card Data'!$I:$I,"Hero")&amp;")"))</f>
        <v/>
      </c>
      <c r="AK38" s="78" t="str">
        <f>IF(COUNTIFS('Card Data'!$K:$K,"*"&amp;AK$2&amp;".*",'Card Data'!$A:$A,$A38)=0,"",IF(COUNTIFS('Card Data'!$K:$K,"*"&amp;AK$2&amp;".*",'Card Data'!$A:$A,$A38,'Card Data'!$I:$I,"Hero")=0,COUNTIFS('Card Data'!$K:$K,"*"&amp;AK$2&amp;".*",'Card Data'!$A:$A,$A38),COUNTIFS('Card Data'!$K:$K,"*"&amp;AK$2&amp;".*",'Card Data'!$A:$A,$A38)&amp;" ("&amp;COUNTIFS('Card Data'!$K:$K,"*"&amp;AK$2&amp;".*",'Card Data'!$A:$A,$A38,'Card Data'!$I:$I,"Hero")&amp;")"))</f>
        <v/>
      </c>
      <c r="AL38" s="78"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7" customFormat="1" x14ac:dyDescent="0.2">
      <c r="A39" s="74" t="s">
        <v>10413</v>
      </c>
      <c r="B39" s="74" t="s">
        <v>10414</v>
      </c>
      <c r="C39" s="75" t="s">
        <v>5745</v>
      </c>
      <c r="D39" s="74"/>
      <c r="E39" s="79" t="s">
        <v>5869</v>
      </c>
      <c r="F39" s="127"/>
      <c r="G39" s="78">
        <f>SUMIF('Card Data'!$A:$A,$A39,'Card Data'!$E:$E)</f>
        <v>121</v>
      </c>
      <c r="H39" s="78">
        <f>COUNTIFS('Card Data'!$I:$I,N$2,'Card Data'!$A:$A,$A39)</f>
        <v>0</v>
      </c>
      <c r="I39" s="78">
        <f>SUMIFS('Card Data'!$E:$E,'Card Data'!$A:$A,$A39,'Card Data'!$J:$J,"&lt;&gt;",'Card Data'!$J:$J,"&lt;&gt;Burden",'Card Data'!$I:$I,"&lt;&gt;Hero")</f>
        <v>0</v>
      </c>
      <c r="J39" s="78">
        <f>SUMIFS('Card Data'!$E:$E,'Card Data'!$A:$A,$A39,'Card Data'!$J:$J,"",'Card Data'!$I:$I,"&lt;&gt;Campaign")+SUMIFS('Card Data'!$E:$E,'Card Data'!$A:$A,$A39,'Card Data'!$J:$J,"Burden")-K39</f>
        <v>120</v>
      </c>
      <c r="K39" s="78">
        <f>SUMIFS('Card Data'!$E:$E,'Card Data'!$I:$I,K$2,'Card Data'!$A:$A,$A39,'Card Data'!$K:$K,"&lt;&gt;*Side Quest.*")</f>
        <v>1</v>
      </c>
      <c r="L39" s="78">
        <f>COUNTIFS('Card Data'!$I:$I,L$2,'Card Data'!$A:$A,$A39,'Card Data'!$K:$K,"&lt;&gt;*Side Quest.*")</f>
        <v>0</v>
      </c>
      <c r="M39" s="130"/>
      <c r="N39" s="78">
        <f>COUNTIFS('Card Data'!$I:$I,N$2,'Card Data'!$A:$A,$A39)</f>
        <v>0</v>
      </c>
      <c r="O39" s="78">
        <f>COUNTIFS('Card Data'!$I:$I,O$2,'Card Data'!$A:$A,$A39)</f>
        <v>0</v>
      </c>
      <c r="P39" s="78">
        <f>COUNTIFS('Card Data'!$I:$I,P$2,'Card Data'!$A:$A,$A39)</f>
        <v>0</v>
      </c>
      <c r="Q39" s="78">
        <f>COUNTIFS('Card Data'!$I:$I,Q$2,'Card Data'!$A:$A,$A39)</f>
        <v>0</v>
      </c>
      <c r="R39" s="78">
        <f>COUNTIFS('Card Data'!$I:$I,R$2,'Card Data'!$A:$A,$A39)</f>
        <v>19</v>
      </c>
      <c r="S39" s="78">
        <f>COUNTIFS('Card Data'!$I:$I,S$2,'Card Data'!$A:$A,$A39)</f>
        <v>12</v>
      </c>
      <c r="T39" s="78">
        <f>COUNTIFS('Card Data'!$I:$I,T$2,'Card Data'!$A:$A,$A39)</f>
        <v>13</v>
      </c>
      <c r="U39" s="130"/>
      <c r="V39" s="78">
        <f>COUNTIFS('Card Data'!$J:$J,V$2,'Card Data'!$A:$A,$A39)</f>
        <v>0</v>
      </c>
      <c r="W39" s="78">
        <f>COUNTIFS('Card Data'!$J:$J,W$2,'Card Data'!$A:$A,$A39)</f>
        <v>0</v>
      </c>
      <c r="X39" s="78">
        <f>COUNTIFS('Card Data'!$J:$J,X$2,'Card Data'!$A:$A,$A39)</f>
        <v>0</v>
      </c>
      <c r="Y39" s="78">
        <f>COUNTIFS('Card Data'!$J:$J,Y$2,'Card Data'!$A:$A,$A39)</f>
        <v>0</v>
      </c>
      <c r="Z39" s="78">
        <f>COUNTIFS('Card Data'!$J:$J,Z$2,'Card Data'!$A:$A,$A39)</f>
        <v>0</v>
      </c>
      <c r="AA39" s="130"/>
      <c r="AB39" s="78" t="str">
        <f>IF(COUNTIFS('Card Data'!$K:$K,"*"&amp;AB$2&amp;".*",'Card Data'!$A:$A,$A39)=0,"",IF(COUNTIFS('Card Data'!$K:$K,"*"&amp;AB$2&amp;".*",'Card Data'!$A:$A,$A39,'Card Data'!$I:$I,"Hero")=0,COUNTIFS('Card Data'!$K:$K,"*"&amp;AB$2&amp;".*",'Card Data'!$A:$A,$A39),COUNTIFS('Card Data'!$K:$K,"*"&amp;AB$2&amp;".*",'Card Data'!$A:$A,$A39)&amp;" ("&amp;COUNTIFS('Card Data'!$K:$K,"*"&amp;AB$2&amp;".*",'Card Data'!$A:$A,$A39,'Card Data'!$I:$I,"Hero")&amp;")"))</f>
        <v/>
      </c>
      <c r="AC39" s="78" t="str">
        <f>IF(COUNTIFS('Card Data'!$K:$K,"*"&amp;AC$2&amp;".*",'Card Data'!$A:$A,$A39)=0,"",IF(COUNTIFS('Card Data'!$K:$K,"*"&amp;AC$2&amp;".*",'Card Data'!$A:$A,$A39,'Card Data'!$I:$I,"Hero")=0,COUNTIFS('Card Data'!$K:$K,"*"&amp;AC$2&amp;".*",'Card Data'!$A:$A,$A39),COUNTIFS('Card Data'!$K:$K,"*"&amp;AC$2&amp;".*",'Card Data'!$A:$A,$A39)&amp;" ("&amp;COUNTIFS('Card Data'!$K:$K,"*"&amp;AC$2&amp;".*",'Card Data'!$A:$A,$A39,'Card Data'!$I:$I,"Hero")&amp;")"))</f>
        <v/>
      </c>
      <c r="AD39" s="78" t="str">
        <f>IF(COUNTIFS('Card Data'!$K:$K,"*"&amp;AD$2&amp;".*",'Card Data'!$A:$A,$A39)=0,"",IF(COUNTIFS('Card Data'!$K:$K,"*"&amp;AD$2&amp;".*",'Card Data'!$A:$A,$A39,'Card Data'!$I:$I,"Hero")=0,COUNTIFS('Card Data'!$K:$K,"*"&amp;AD$2&amp;".*",'Card Data'!$A:$A,$A39),COUNTIFS('Card Data'!$K:$K,"*"&amp;AD$2&amp;".*",'Card Data'!$A:$A,$A39)&amp;" ("&amp;COUNTIFS('Card Data'!$K:$K,"*"&amp;AD$2&amp;".*",'Card Data'!$A:$A,$A39,'Card Data'!$I:$I,"Hero")&amp;")"))</f>
        <v/>
      </c>
      <c r="AE39" s="78" t="str">
        <f>IF(COUNTIFS('Card Data'!$K:$K,"*"&amp;AE$2&amp;".*",'Card Data'!$A:$A,$A39)=0,"",IF(COUNTIFS('Card Data'!$K:$K,"*"&amp;AE$2&amp;".*",'Card Data'!$A:$A,$A39,'Card Data'!$I:$I,"Hero")=0,COUNTIFS('Card Data'!$K:$K,"*"&amp;AE$2&amp;".*",'Card Data'!$A:$A,$A39),COUNTIFS('Card Data'!$K:$K,"*"&amp;AE$2&amp;".*",'Card Data'!$A:$A,$A39)&amp;" ("&amp;COUNTIFS('Card Data'!$K:$K,"*"&amp;AE$2&amp;".*",'Card Data'!$A:$A,$A39,'Card Data'!$I:$I,"Hero")&amp;")"))</f>
        <v/>
      </c>
      <c r="AF39" s="78" t="str">
        <f>IF(COUNTIFS('Card Data'!$K:$K,"*"&amp;AF$2&amp;".*",'Card Data'!$A:$A,$A39)=0,"",IF(COUNTIFS('Card Data'!$K:$K,"*"&amp;AF$2&amp;".*",'Card Data'!$A:$A,$A39,'Card Data'!$I:$I,"Hero")=0,COUNTIFS('Card Data'!$K:$K,"*"&amp;AF$2&amp;".*",'Card Data'!$A:$A,$A39),COUNTIFS('Card Data'!$K:$K,"*"&amp;AF$2&amp;".*",'Card Data'!$A:$A,$A39)&amp;" ("&amp;COUNTIFS('Card Data'!$K:$K,"*"&amp;AF$2&amp;".*",'Card Data'!$A:$A,$A39,'Card Data'!$I:$I,"Hero")&amp;")"))</f>
        <v/>
      </c>
      <c r="AG39" s="78" t="str">
        <f>IF(COUNTIFS('Card Data'!$K:$K,"*"&amp;AG$2&amp;".*",'Card Data'!$A:$A,$A39)=0,"",IF(COUNTIFS('Card Data'!$K:$K,"*"&amp;AG$2&amp;".*",'Card Data'!$A:$A,$A39,'Card Data'!$I:$I,"Hero")=0,COUNTIFS('Card Data'!$K:$K,"*"&amp;AG$2&amp;".*",'Card Data'!$A:$A,$A39),COUNTIFS('Card Data'!$K:$K,"*"&amp;AG$2&amp;".*",'Card Data'!$A:$A,$A39)&amp;" ("&amp;COUNTIFS('Card Data'!$K:$K,"*"&amp;AG$2&amp;".*",'Card Data'!$A:$A,$A39,'Card Data'!$I:$I,"Hero")&amp;")"))</f>
        <v/>
      </c>
      <c r="AH39" s="78" t="str">
        <f>IF(COUNTIFS('Card Data'!$K:$K,"*"&amp;AH$2&amp;".*",'Card Data'!$A:$A,$A39)=0,"",IF(COUNTIFS('Card Data'!$K:$K,"*"&amp;AH$2&amp;".*",'Card Data'!$A:$A,$A39,'Card Data'!$I:$I,"Hero")=0,COUNTIFS('Card Data'!$K:$K,"*"&amp;AH$2&amp;".*",'Card Data'!$A:$A,$A39),COUNTIFS('Card Data'!$K:$K,"*"&amp;AH$2&amp;".*",'Card Data'!$A:$A,$A39)&amp;" ("&amp;COUNTIFS('Card Data'!$K:$K,"*"&amp;AH$2&amp;".*",'Card Data'!$A:$A,$A39,'Card Data'!$I:$I,"Hero")&amp;")"))</f>
        <v/>
      </c>
      <c r="AI39" s="78" t="str">
        <f>IF(COUNTIFS('Card Data'!$K:$K,"*"&amp;AI$2&amp;".*",'Card Data'!$A:$A,$A39)=0,"",IF(COUNTIFS('Card Data'!$K:$K,"*"&amp;AI$2&amp;".*",'Card Data'!$A:$A,$A39,'Card Data'!$I:$I,"Hero")=0,COUNTIFS('Card Data'!$K:$K,"*"&amp;AI$2&amp;".*",'Card Data'!$A:$A,$A39),COUNTIFS('Card Data'!$K:$K,"*"&amp;AI$2&amp;".*",'Card Data'!$A:$A,$A39)&amp;" ("&amp;COUNTIFS('Card Data'!$K:$K,"*"&amp;AI$2&amp;".*",'Card Data'!$A:$A,$A39,'Card Data'!$I:$I,"Hero")&amp;")"))</f>
        <v/>
      </c>
      <c r="AJ39" s="78" t="str">
        <f>IF(COUNTIFS('Card Data'!$K:$K,"*"&amp;AJ$2&amp;".*",'Card Data'!$A:$A,$A39)=0,"",IF(COUNTIFS('Card Data'!$K:$K,"*"&amp;AJ$2&amp;".*",'Card Data'!$A:$A,$A39,'Card Data'!$I:$I,"Hero")=0,COUNTIFS('Card Data'!$K:$K,"*"&amp;AJ$2&amp;".*",'Card Data'!$A:$A,$A39),COUNTIFS('Card Data'!$K:$K,"*"&amp;AJ$2&amp;".*",'Card Data'!$A:$A,$A39)&amp;" ("&amp;COUNTIFS('Card Data'!$K:$K,"*"&amp;AJ$2&amp;".*",'Card Data'!$A:$A,$A39,'Card Data'!$I:$I,"Hero")&amp;")"))</f>
        <v/>
      </c>
      <c r="AK39" s="78" t="str">
        <f>IF(COUNTIFS('Card Data'!$K:$K,"*"&amp;AK$2&amp;".*",'Card Data'!$A:$A,$A39)=0,"",IF(COUNTIFS('Card Data'!$K:$K,"*"&amp;AK$2&amp;".*",'Card Data'!$A:$A,$A39,'Card Data'!$I:$I,"Hero")=0,COUNTIFS('Card Data'!$K:$K,"*"&amp;AK$2&amp;".*",'Card Data'!$A:$A,$A39),COUNTIFS('Card Data'!$K:$K,"*"&amp;AK$2&amp;".*",'Card Data'!$A:$A,$A39)&amp;" ("&amp;COUNTIFS('Card Data'!$K:$K,"*"&amp;AK$2&amp;".*",'Card Data'!$A:$A,$A39,'Card Data'!$I:$I,"Hero")&amp;")"))</f>
        <v/>
      </c>
      <c r="AL39" s="78"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7" customFormat="1" x14ac:dyDescent="0.2">
      <c r="A40" s="74" t="s">
        <v>4566</v>
      </c>
      <c r="B40" s="74" t="s">
        <v>5662</v>
      </c>
      <c r="C40" s="75" t="s">
        <v>5745</v>
      </c>
      <c r="D40" s="74"/>
      <c r="E40" s="79" t="s">
        <v>5870</v>
      </c>
      <c r="F40" s="127"/>
      <c r="G40" s="78">
        <f>SUMIF('Card Data'!$A:$A,$A40,'Card Data'!$E:$E)</f>
        <v>58</v>
      </c>
      <c r="H40" s="78">
        <f>COUNTIFS('Card Data'!$I:$I,N$2,'Card Data'!$A:$A,$A40)</f>
        <v>0</v>
      </c>
      <c r="I40" s="78">
        <f>SUMIFS('Card Data'!$E:$E,'Card Data'!$A:$A,$A40,'Card Data'!$J:$J,"&lt;&gt;",'Card Data'!$J:$J,"&lt;&gt;Burden",'Card Data'!$I:$I,"&lt;&gt;Hero")</f>
        <v>0</v>
      </c>
      <c r="J40" s="78">
        <f>SUMIFS('Card Data'!$E:$E,'Card Data'!$A:$A,$A40,'Card Data'!$J:$J,"",'Card Data'!$I:$I,"&lt;&gt;Campaign")+SUMIFS('Card Data'!$E:$E,'Card Data'!$A:$A,$A40,'Card Data'!$J:$J,"Burden")-K40</f>
        <v>58</v>
      </c>
      <c r="K40" s="78">
        <f>SUMIFS('Card Data'!$E:$E,'Card Data'!$I:$I,K$2,'Card Data'!$A:$A,$A40,'Card Data'!$K:$K,"&lt;&gt;*Side Quest.*")</f>
        <v>0</v>
      </c>
      <c r="L40" s="78">
        <f>COUNTIFS('Card Data'!$I:$I,L$2,'Card Data'!$A:$A,$A40,'Card Data'!$K:$K,"&lt;&gt;*Side Quest.*")</f>
        <v>0</v>
      </c>
      <c r="M40" s="130"/>
      <c r="N40" s="78">
        <f>COUNTIFS('Card Data'!$I:$I,N$2,'Card Data'!$A:$A,$A40)</f>
        <v>0</v>
      </c>
      <c r="O40" s="78">
        <f>COUNTIFS('Card Data'!$I:$I,O$2,'Card Data'!$A:$A,$A40)</f>
        <v>0</v>
      </c>
      <c r="P40" s="78">
        <f>COUNTIFS('Card Data'!$I:$I,P$2,'Card Data'!$A:$A,$A40)</f>
        <v>0</v>
      </c>
      <c r="Q40" s="78">
        <f>COUNTIFS('Card Data'!$I:$I,Q$2,'Card Data'!$A:$A,$A40)</f>
        <v>0</v>
      </c>
      <c r="R40" s="78">
        <f>COUNTIFS('Card Data'!$I:$I,R$2,'Card Data'!$A:$A,$A40)</f>
        <v>5</v>
      </c>
      <c r="S40" s="78">
        <f>COUNTIFS('Card Data'!$I:$I,S$2,'Card Data'!$A:$A,$A40)</f>
        <v>9</v>
      </c>
      <c r="T40" s="78">
        <f>COUNTIFS('Card Data'!$I:$I,T$2,'Card Data'!$A:$A,$A40)</f>
        <v>7</v>
      </c>
      <c r="U40" s="130"/>
      <c r="V40" s="78">
        <f>COUNTIFS('Card Data'!$J:$J,V$2,'Card Data'!$A:$A,$A40)</f>
        <v>0</v>
      </c>
      <c r="W40" s="78">
        <f>COUNTIFS('Card Data'!$J:$J,W$2,'Card Data'!$A:$A,$A40)</f>
        <v>0</v>
      </c>
      <c r="X40" s="78">
        <f>COUNTIFS('Card Data'!$J:$J,X$2,'Card Data'!$A:$A,$A40)</f>
        <v>0</v>
      </c>
      <c r="Y40" s="78">
        <f>COUNTIFS('Card Data'!$J:$J,Y$2,'Card Data'!$A:$A,$A40)</f>
        <v>0</v>
      </c>
      <c r="Z40" s="78">
        <f>COUNTIFS('Card Data'!$J:$J,Z$2,'Card Data'!$A:$A,$A40)</f>
        <v>0</v>
      </c>
      <c r="AA40" s="130"/>
      <c r="AB40" s="78" t="str">
        <f>IF(COUNTIFS('Card Data'!$K:$K,"*"&amp;AB$2&amp;".*",'Card Data'!$A:$A,$A40)=0,"",IF(COUNTIFS('Card Data'!$K:$K,"*"&amp;AB$2&amp;".*",'Card Data'!$A:$A,$A40,'Card Data'!$I:$I,"Hero")=0,COUNTIFS('Card Data'!$K:$K,"*"&amp;AB$2&amp;".*",'Card Data'!$A:$A,$A40),COUNTIFS('Card Data'!$K:$K,"*"&amp;AB$2&amp;".*",'Card Data'!$A:$A,$A40)&amp;" ("&amp;COUNTIFS('Card Data'!$K:$K,"*"&amp;AB$2&amp;".*",'Card Data'!$A:$A,$A40,'Card Data'!$I:$I,"Hero")&amp;")"))</f>
        <v/>
      </c>
      <c r="AC40" s="78" t="str">
        <f>IF(COUNTIFS('Card Data'!$K:$K,"*"&amp;AC$2&amp;".*",'Card Data'!$A:$A,$A40)=0,"",IF(COUNTIFS('Card Data'!$K:$K,"*"&amp;AC$2&amp;".*",'Card Data'!$A:$A,$A40,'Card Data'!$I:$I,"Hero")=0,COUNTIFS('Card Data'!$K:$K,"*"&amp;AC$2&amp;".*",'Card Data'!$A:$A,$A40),COUNTIFS('Card Data'!$K:$K,"*"&amp;AC$2&amp;".*",'Card Data'!$A:$A,$A40)&amp;" ("&amp;COUNTIFS('Card Data'!$K:$K,"*"&amp;AC$2&amp;".*",'Card Data'!$A:$A,$A40,'Card Data'!$I:$I,"Hero")&amp;")"))</f>
        <v/>
      </c>
      <c r="AD40" s="78" t="str">
        <f>IF(COUNTIFS('Card Data'!$K:$K,"*"&amp;AD$2&amp;".*",'Card Data'!$A:$A,$A40)=0,"",IF(COUNTIFS('Card Data'!$K:$K,"*"&amp;AD$2&amp;".*",'Card Data'!$A:$A,$A40,'Card Data'!$I:$I,"Hero")=0,COUNTIFS('Card Data'!$K:$K,"*"&amp;AD$2&amp;".*",'Card Data'!$A:$A,$A40),COUNTIFS('Card Data'!$K:$K,"*"&amp;AD$2&amp;".*",'Card Data'!$A:$A,$A40)&amp;" ("&amp;COUNTIFS('Card Data'!$K:$K,"*"&amp;AD$2&amp;".*",'Card Data'!$A:$A,$A40,'Card Data'!$I:$I,"Hero")&amp;")"))</f>
        <v/>
      </c>
      <c r="AE40" s="78" t="str">
        <f>IF(COUNTIFS('Card Data'!$K:$K,"*"&amp;AE$2&amp;".*",'Card Data'!$A:$A,$A40)=0,"",IF(COUNTIFS('Card Data'!$K:$K,"*"&amp;AE$2&amp;".*",'Card Data'!$A:$A,$A40,'Card Data'!$I:$I,"Hero")=0,COUNTIFS('Card Data'!$K:$K,"*"&amp;AE$2&amp;".*",'Card Data'!$A:$A,$A40),COUNTIFS('Card Data'!$K:$K,"*"&amp;AE$2&amp;".*",'Card Data'!$A:$A,$A40)&amp;" ("&amp;COUNTIFS('Card Data'!$K:$K,"*"&amp;AE$2&amp;".*",'Card Data'!$A:$A,$A40,'Card Data'!$I:$I,"Hero")&amp;")"))</f>
        <v/>
      </c>
      <c r="AF40" s="78" t="str">
        <f>IF(COUNTIFS('Card Data'!$K:$K,"*"&amp;AF$2&amp;".*",'Card Data'!$A:$A,$A40)=0,"",IF(COUNTIFS('Card Data'!$K:$K,"*"&amp;AF$2&amp;".*",'Card Data'!$A:$A,$A40,'Card Data'!$I:$I,"Hero")=0,COUNTIFS('Card Data'!$K:$K,"*"&amp;AF$2&amp;".*",'Card Data'!$A:$A,$A40),COUNTIFS('Card Data'!$K:$K,"*"&amp;AF$2&amp;".*",'Card Data'!$A:$A,$A40)&amp;" ("&amp;COUNTIFS('Card Data'!$K:$K,"*"&amp;AF$2&amp;".*",'Card Data'!$A:$A,$A40,'Card Data'!$I:$I,"Hero")&amp;")"))</f>
        <v/>
      </c>
      <c r="AG40" s="78" t="str">
        <f>IF(COUNTIFS('Card Data'!$K:$K,"*"&amp;AG$2&amp;".*",'Card Data'!$A:$A,$A40)=0,"",IF(COUNTIFS('Card Data'!$K:$K,"*"&amp;AG$2&amp;".*",'Card Data'!$A:$A,$A40,'Card Data'!$I:$I,"Hero")=0,COUNTIFS('Card Data'!$K:$K,"*"&amp;AG$2&amp;".*",'Card Data'!$A:$A,$A40),COUNTIFS('Card Data'!$K:$K,"*"&amp;AG$2&amp;".*",'Card Data'!$A:$A,$A40)&amp;" ("&amp;COUNTIFS('Card Data'!$K:$K,"*"&amp;AG$2&amp;".*",'Card Data'!$A:$A,$A40,'Card Data'!$I:$I,"Hero")&amp;")"))</f>
        <v/>
      </c>
      <c r="AH40" s="78" t="str">
        <f>IF(COUNTIFS('Card Data'!$K:$K,"*"&amp;AH$2&amp;".*",'Card Data'!$A:$A,$A40)=0,"",IF(COUNTIFS('Card Data'!$K:$K,"*"&amp;AH$2&amp;".*",'Card Data'!$A:$A,$A40,'Card Data'!$I:$I,"Hero")=0,COUNTIFS('Card Data'!$K:$K,"*"&amp;AH$2&amp;".*",'Card Data'!$A:$A,$A40),COUNTIFS('Card Data'!$K:$K,"*"&amp;AH$2&amp;".*",'Card Data'!$A:$A,$A40)&amp;" ("&amp;COUNTIFS('Card Data'!$K:$K,"*"&amp;AH$2&amp;".*",'Card Data'!$A:$A,$A40,'Card Data'!$I:$I,"Hero")&amp;")"))</f>
        <v/>
      </c>
      <c r="AI40" s="78" t="str">
        <f>IF(COUNTIFS('Card Data'!$K:$K,"*"&amp;AI$2&amp;".*",'Card Data'!$A:$A,$A40)=0,"",IF(COUNTIFS('Card Data'!$K:$K,"*"&amp;AI$2&amp;".*",'Card Data'!$A:$A,$A40,'Card Data'!$I:$I,"Hero")=0,COUNTIFS('Card Data'!$K:$K,"*"&amp;AI$2&amp;".*",'Card Data'!$A:$A,$A40),COUNTIFS('Card Data'!$K:$K,"*"&amp;AI$2&amp;".*",'Card Data'!$A:$A,$A40)&amp;" ("&amp;COUNTIFS('Card Data'!$K:$K,"*"&amp;AI$2&amp;".*",'Card Data'!$A:$A,$A40,'Card Data'!$I:$I,"Hero")&amp;")"))</f>
        <v/>
      </c>
      <c r="AJ40" s="78" t="str">
        <f>IF(COUNTIFS('Card Data'!$K:$K,"*"&amp;AJ$2&amp;".*",'Card Data'!$A:$A,$A40)=0,"",IF(COUNTIFS('Card Data'!$K:$K,"*"&amp;AJ$2&amp;".*",'Card Data'!$A:$A,$A40,'Card Data'!$I:$I,"Hero")=0,COUNTIFS('Card Data'!$K:$K,"*"&amp;AJ$2&amp;".*",'Card Data'!$A:$A,$A40),COUNTIFS('Card Data'!$K:$K,"*"&amp;AJ$2&amp;".*",'Card Data'!$A:$A,$A40)&amp;" ("&amp;COUNTIFS('Card Data'!$K:$K,"*"&amp;AJ$2&amp;".*",'Card Data'!$A:$A,$A40,'Card Data'!$I:$I,"Hero")&amp;")"))</f>
        <v/>
      </c>
      <c r="AK40" s="78" t="str">
        <f>IF(COUNTIFS('Card Data'!$K:$K,"*"&amp;AK$2&amp;".*",'Card Data'!$A:$A,$A40)=0,"",IF(COUNTIFS('Card Data'!$K:$K,"*"&amp;AK$2&amp;".*",'Card Data'!$A:$A,$A40,'Card Data'!$I:$I,"Hero")=0,COUNTIFS('Card Data'!$K:$K,"*"&amp;AK$2&amp;".*",'Card Data'!$A:$A,$A40),COUNTIFS('Card Data'!$K:$K,"*"&amp;AK$2&amp;".*",'Card Data'!$A:$A,$A40)&amp;" ("&amp;COUNTIFS('Card Data'!$K:$K,"*"&amp;AK$2&amp;".*",'Card Data'!$A:$A,$A40,'Card Data'!$I:$I,"Hero")&amp;")"))</f>
        <v/>
      </c>
      <c r="AL40" s="78"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7" customFormat="1" x14ac:dyDescent="0.2">
      <c r="A41" s="74" t="s">
        <v>11042</v>
      </c>
      <c r="B41" s="74" t="s">
        <v>11012</v>
      </c>
      <c r="C41" s="75" t="s">
        <v>8065</v>
      </c>
      <c r="D41" s="74" t="s">
        <v>5595</v>
      </c>
      <c r="E41" s="79" t="s">
        <v>11013</v>
      </c>
      <c r="F41" s="127"/>
      <c r="G41" s="78">
        <f>SUMIF('Card Data'!$A:$A,$A41,'Card Data'!$E:$E)</f>
        <v>60</v>
      </c>
      <c r="H41" s="78">
        <f>COUNTIFS('Card Data'!$I:$I,N$2,'Card Data'!$A:$A,$A41)</f>
        <v>0</v>
      </c>
      <c r="I41" s="78">
        <f>SUMIFS('Card Data'!$E:$E,'Card Data'!$A:$A,$A41,'Card Data'!$J:$J,"&lt;&gt;",'Card Data'!$J:$J,"&lt;&gt;Burden",'Card Data'!$I:$I,"&lt;&gt;Hero")</f>
        <v>0</v>
      </c>
      <c r="J41" s="78">
        <f>SUMIFS('Card Data'!$E:$E,'Card Data'!$A:$A,$A41,'Card Data'!$J:$J,"",'Card Data'!$I:$I,"&lt;&gt;Campaign")+SUMIFS('Card Data'!$E:$E,'Card Data'!$A:$A,$A41,'Card Data'!$J:$J,"Burden")-K41</f>
        <v>60</v>
      </c>
      <c r="K41" s="78">
        <f>SUMIFS('Card Data'!$E:$E,'Card Data'!$I:$I,K$2,'Card Data'!$A:$A,$A41,'Card Data'!$K:$K,"&lt;&gt;*Side Quest.*")</f>
        <v>0</v>
      </c>
      <c r="L41" s="78">
        <f>COUNTIFS('Card Data'!$I:$I,L$2,'Card Data'!$A:$A,$A41,'Card Data'!$K:$K,"&lt;&gt;*Side Quest.*")</f>
        <v>0</v>
      </c>
      <c r="M41" s="130"/>
      <c r="N41" s="78">
        <f>COUNTIFS('Card Data'!$I:$I,N$2,'Card Data'!$A:$A,$A41)</f>
        <v>0</v>
      </c>
      <c r="O41" s="78">
        <f>COUNTIFS('Card Data'!$I:$I,O$2,'Card Data'!$A:$A,$A41)</f>
        <v>0</v>
      </c>
      <c r="P41" s="78">
        <f>COUNTIFS('Card Data'!$I:$I,P$2,'Card Data'!$A:$A,$A41)</f>
        <v>0</v>
      </c>
      <c r="Q41" s="78">
        <f>COUNTIFS('Card Data'!$I:$I,Q$2,'Card Data'!$A:$A,$A41)</f>
        <v>0</v>
      </c>
      <c r="R41" s="78">
        <f>COUNTIFS('Card Data'!$I:$I,R$2,'Card Data'!$A:$A,$A41)</f>
        <v>6</v>
      </c>
      <c r="S41" s="78">
        <f>COUNTIFS('Card Data'!$I:$I,S$2,'Card Data'!$A:$A,$A41)</f>
        <v>8</v>
      </c>
      <c r="T41" s="78">
        <f>COUNTIFS('Card Data'!$I:$I,T$2,'Card Data'!$A:$A,$A41)</f>
        <v>5</v>
      </c>
      <c r="U41" s="130"/>
      <c r="V41" s="78">
        <f>COUNTIFS('Card Data'!$J:$J,V$2,'Card Data'!$A:$A,$A41)</f>
        <v>0</v>
      </c>
      <c r="W41" s="78">
        <f>COUNTIFS('Card Data'!$J:$J,W$2,'Card Data'!$A:$A,$A41)</f>
        <v>0</v>
      </c>
      <c r="X41" s="78">
        <f>COUNTIFS('Card Data'!$J:$J,X$2,'Card Data'!$A:$A,$A41)</f>
        <v>0</v>
      </c>
      <c r="Y41" s="78">
        <f>COUNTIFS('Card Data'!$J:$J,Y$2,'Card Data'!$A:$A,$A41)</f>
        <v>0</v>
      </c>
      <c r="Z41" s="78">
        <f>COUNTIFS('Card Data'!$J:$J,Z$2,'Card Data'!$A:$A,$A41)</f>
        <v>0</v>
      </c>
      <c r="AA41" s="130"/>
      <c r="AB41" s="78" t="str">
        <f>IF(COUNTIFS('Card Data'!$K:$K,"*"&amp;AB$2&amp;".*",'Card Data'!$A:$A,$A41)=0,"",IF(COUNTIFS('Card Data'!$K:$K,"*"&amp;AB$2&amp;".*",'Card Data'!$A:$A,$A41,'Card Data'!$I:$I,"Hero")=0,COUNTIFS('Card Data'!$K:$K,"*"&amp;AB$2&amp;".*",'Card Data'!$A:$A,$A41),COUNTIFS('Card Data'!$K:$K,"*"&amp;AB$2&amp;".*",'Card Data'!$A:$A,$A41)&amp;" ("&amp;COUNTIFS('Card Data'!$K:$K,"*"&amp;AB$2&amp;".*",'Card Data'!$A:$A,$A41,'Card Data'!$I:$I,"Hero")&amp;")"))</f>
        <v/>
      </c>
      <c r="AC41" s="78" t="str">
        <f>IF(COUNTIFS('Card Data'!$K:$K,"*"&amp;AC$2&amp;".*",'Card Data'!$A:$A,$A41)=0,"",IF(COUNTIFS('Card Data'!$K:$K,"*"&amp;AC$2&amp;".*",'Card Data'!$A:$A,$A41,'Card Data'!$I:$I,"Hero")=0,COUNTIFS('Card Data'!$K:$K,"*"&amp;AC$2&amp;".*",'Card Data'!$A:$A,$A41),COUNTIFS('Card Data'!$K:$K,"*"&amp;AC$2&amp;".*",'Card Data'!$A:$A,$A41)&amp;" ("&amp;COUNTIFS('Card Data'!$K:$K,"*"&amp;AC$2&amp;".*",'Card Data'!$A:$A,$A41,'Card Data'!$I:$I,"Hero")&amp;")"))</f>
        <v/>
      </c>
      <c r="AD41" s="78" t="str">
        <f>IF(COUNTIFS('Card Data'!$K:$K,"*"&amp;AD$2&amp;".*",'Card Data'!$A:$A,$A41)=0,"",IF(COUNTIFS('Card Data'!$K:$K,"*"&amp;AD$2&amp;".*",'Card Data'!$A:$A,$A41,'Card Data'!$I:$I,"Hero")=0,COUNTIFS('Card Data'!$K:$K,"*"&amp;AD$2&amp;".*",'Card Data'!$A:$A,$A41),COUNTIFS('Card Data'!$K:$K,"*"&amp;AD$2&amp;".*",'Card Data'!$A:$A,$A41)&amp;" ("&amp;COUNTIFS('Card Data'!$K:$K,"*"&amp;AD$2&amp;".*",'Card Data'!$A:$A,$A41,'Card Data'!$I:$I,"Hero")&amp;")"))</f>
        <v/>
      </c>
      <c r="AE41" s="78" t="str">
        <f>IF(COUNTIFS('Card Data'!$K:$K,"*"&amp;AE$2&amp;".*",'Card Data'!$A:$A,$A41)=0,"",IF(COUNTIFS('Card Data'!$K:$K,"*"&amp;AE$2&amp;".*",'Card Data'!$A:$A,$A41,'Card Data'!$I:$I,"Hero")=0,COUNTIFS('Card Data'!$K:$K,"*"&amp;AE$2&amp;".*",'Card Data'!$A:$A,$A41),COUNTIFS('Card Data'!$K:$K,"*"&amp;AE$2&amp;".*",'Card Data'!$A:$A,$A41)&amp;" ("&amp;COUNTIFS('Card Data'!$K:$K,"*"&amp;AE$2&amp;".*",'Card Data'!$A:$A,$A41,'Card Data'!$I:$I,"Hero")&amp;")"))</f>
        <v/>
      </c>
      <c r="AF41" s="78" t="str">
        <f>IF(COUNTIFS('Card Data'!$K:$K,"*"&amp;AF$2&amp;".*",'Card Data'!$A:$A,$A41)=0,"",IF(COUNTIFS('Card Data'!$K:$K,"*"&amp;AF$2&amp;".*",'Card Data'!$A:$A,$A41,'Card Data'!$I:$I,"Hero")=0,COUNTIFS('Card Data'!$K:$K,"*"&amp;AF$2&amp;".*",'Card Data'!$A:$A,$A41),COUNTIFS('Card Data'!$K:$K,"*"&amp;AF$2&amp;".*",'Card Data'!$A:$A,$A41)&amp;" ("&amp;COUNTIFS('Card Data'!$K:$K,"*"&amp;AF$2&amp;".*",'Card Data'!$A:$A,$A41,'Card Data'!$I:$I,"Hero")&amp;")"))</f>
        <v/>
      </c>
      <c r="AG41" s="78" t="str">
        <f>IF(COUNTIFS('Card Data'!$K:$K,"*"&amp;AG$2&amp;".*",'Card Data'!$A:$A,$A41)=0,"",IF(COUNTIFS('Card Data'!$K:$K,"*"&amp;AG$2&amp;".*",'Card Data'!$A:$A,$A41,'Card Data'!$I:$I,"Hero")=0,COUNTIFS('Card Data'!$K:$K,"*"&amp;AG$2&amp;".*",'Card Data'!$A:$A,$A41),COUNTIFS('Card Data'!$K:$K,"*"&amp;AG$2&amp;".*",'Card Data'!$A:$A,$A41)&amp;" ("&amp;COUNTIFS('Card Data'!$K:$K,"*"&amp;AG$2&amp;".*",'Card Data'!$A:$A,$A41,'Card Data'!$I:$I,"Hero")&amp;")"))</f>
        <v/>
      </c>
      <c r="AH41" s="78" t="str">
        <f>IF(COUNTIFS('Card Data'!$K:$K,"*"&amp;AH$2&amp;".*",'Card Data'!$A:$A,$A41)=0,"",IF(COUNTIFS('Card Data'!$K:$K,"*"&amp;AH$2&amp;".*",'Card Data'!$A:$A,$A41,'Card Data'!$I:$I,"Hero")=0,COUNTIFS('Card Data'!$K:$K,"*"&amp;AH$2&amp;".*",'Card Data'!$A:$A,$A41),COUNTIFS('Card Data'!$K:$K,"*"&amp;AH$2&amp;".*",'Card Data'!$A:$A,$A41)&amp;" ("&amp;COUNTIFS('Card Data'!$K:$K,"*"&amp;AH$2&amp;".*",'Card Data'!$A:$A,$A41,'Card Data'!$I:$I,"Hero")&amp;")"))</f>
        <v/>
      </c>
      <c r="AI41" s="78" t="str">
        <f>IF(COUNTIFS('Card Data'!$K:$K,"*"&amp;AI$2&amp;".*",'Card Data'!$A:$A,$A41)=0,"",IF(COUNTIFS('Card Data'!$K:$K,"*"&amp;AI$2&amp;".*",'Card Data'!$A:$A,$A41,'Card Data'!$I:$I,"Hero")=0,COUNTIFS('Card Data'!$K:$K,"*"&amp;AI$2&amp;".*",'Card Data'!$A:$A,$A41),COUNTIFS('Card Data'!$K:$K,"*"&amp;AI$2&amp;".*",'Card Data'!$A:$A,$A41)&amp;" ("&amp;COUNTIFS('Card Data'!$K:$K,"*"&amp;AI$2&amp;".*",'Card Data'!$A:$A,$A41,'Card Data'!$I:$I,"Hero")&amp;")"))</f>
        <v/>
      </c>
      <c r="AJ41" s="78" t="str">
        <f>IF(COUNTIFS('Card Data'!$K:$K,"*"&amp;AJ$2&amp;".*",'Card Data'!$A:$A,$A41)=0,"",IF(COUNTIFS('Card Data'!$K:$K,"*"&amp;AJ$2&amp;".*",'Card Data'!$A:$A,$A41,'Card Data'!$I:$I,"Hero")=0,COUNTIFS('Card Data'!$K:$K,"*"&amp;AJ$2&amp;".*",'Card Data'!$A:$A,$A41),COUNTIFS('Card Data'!$K:$K,"*"&amp;AJ$2&amp;".*",'Card Data'!$A:$A,$A41)&amp;" ("&amp;COUNTIFS('Card Data'!$K:$K,"*"&amp;AJ$2&amp;".*",'Card Data'!$A:$A,$A41,'Card Data'!$I:$I,"Hero")&amp;")"))</f>
        <v/>
      </c>
      <c r="AK41" s="78" t="str">
        <f>IF(COUNTIFS('Card Data'!$K:$K,"*"&amp;AK$2&amp;".*",'Card Data'!$A:$A,$A41)=0,"",IF(COUNTIFS('Card Data'!$K:$K,"*"&amp;AK$2&amp;".*",'Card Data'!$A:$A,$A41,'Card Data'!$I:$I,"Hero")=0,COUNTIFS('Card Data'!$K:$K,"*"&amp;AK$2&amp;".*",'Card Data'!$A:$A,$A41),COUNTIFS('Card Data'!$K:$K,"*"&amp;AK$2&amp;".*",'Card Data'!$A:$A,$A41)&amp;" ("&amp;COUNTIFS('Card Data'!$K:$K,"*"&amp;AK$2&amp;".*",'Card Data'!$A:$A,$A41,'Card Data'!$I:$I,"Hero")&amp;")"))</f>
        <v/>
      </c>
      <c r="AL41" s="78"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3" customFormat="1" x14ac:dyDescent="0.2">
      <c r="A42" s="80" t="s">
        <v>4293</v>
      </c>
      <c r="B42" s="80" t="s">
        <v>5661</v>
      </c>
      <c r="C42" s="81" t="s">
        <v>5745</v>
      </c>
      <c r="D42" s="80"/>
      <c r="E42" s="82" t="s">
        <v>5872</v>
      </c>
      <c r="F42" s="126"/>
      <c r="G42" s="84">
        <f>SUMIF('Card Data'!$A:$A,$A42,'Card Data'!$E:$E)</f>
        <v>165</v>
      </c>
      <c r="H42" s="84">
        <f>COUNTIFS('Card Data'!$I:$I,N$2,'Card Data'!$A:$A,$A42)</f>
        <v>5</v>
      </c>
      <c r="I42" s="84">
        <f>SUMIFS('Card Data'!$E:$E,'Card Data'!$A:$A,$A42,'Card Data'!$J:$J,"&lt;&gt;",'Card Data'!$J:$J,"&lt;&gt;Burden",'Card Data'!$I:$I,"&lt;&gt;Hero")</f>
        <v>52</v>
      </c>
      <c r="J42" s="84">
        <f>SUMIFS('Card Data'!$E:$E,'Card Data'!$A:$A,$A42,'Card Data'!$J:$J,"",'Card Data'!$I:$I,"&lt;&gt;Campaign")+SUMIFS('Card Data'!$E:$E,'Card Data'!$A:$A,$A42,'Card Data'!$J:$J,"Burden")-K42</f>
        <v>99</v>
      </c>
      <c r="K42" s="84">
        <f>SUMIFS('Card Data'!$E:$E,'Card Data'!$I:$I,K$2,'Card Data'!$A:$A,$A42,'Card Data'!$K:$K,"&lt;&gt;*Side Quest.*")</f>
        <v>9</v>
      </c>
      <c r="L42" s="84">
        <f>COUNTIFS('Card Data'!$I:$I,L$2,'Card Data'!$A:$A,$A42,'Card Data'!$K:$K,"&lt;&gt;*Side Quest.*")</f>
        <v>0</v>
      </c>
      <c r="M42" s="129"/>
      <c r="N42" s="84">
        <f>COUNTIFS('Card Data'!$I:$I,N$2,'Card Data'!$A:$A,$A42)</f>
        <v>5</v>
      </c>
      <c r="O42" s="84">
        <f>COUNTIFS('Card Data'!$I:$I,O$2,'Card Data'!$A:$A,$A42)</f>
        <v>5</v>
      </c>
      <c r="P42" s="84">
        <f>COUNTIFS('Card Data'!$I:$I,P$2,'Card Data'!$A:$A,$A42)</f>
        <v>3</v>
      </c>
      <c r="Q42" s="84">
        <f>COUNTIFS('Card Data'!$I:$I,Q$2,'Card Data'!$A:$A,$A42)</f>
        <v>6</v>
      </c>
      <c r="R42" s="84">
        <f>COUNTIFS('Card Data'!$I:$I,R$2,'Card Data'!$A:$A,$A42)</f>
        <v>14</v>
      </c>
      <c r="S42" s="84">
        <f>COUNTIFS('Card Data'!$I:$I,S$2,'Card Data'!$A:$A,$A42)</f>
        <v>13</v>
      </c>
      <c r="T42" s="84">
        <f>COUNTIFS('Card Data'!$I:$I,T$2,'Card Data'!$A:$A,$A42)</f>
        <v>16</v>
      </c>
      <c r="U42" s="129"/>
      <c r="V42" s="84">
        <f>COUNTIFS('Card Data'!$J:$J,V$2,'Card Data'!$A:$A,$A42)</f>
        <v>4</v>
      </c>
      <c r="W42" s="84">
        <f>COUNTIFS('Card Data'!$J:$J,W$2,'Card Data'!$A:$A,$A42)</f>
        <v>4</v>
      </c>
      <c r="X42" s="84">
        <f>COUNTIFS('Card Data'!$J:$J,X$2,'Card Data'!$A:$A,$A42)</f>
        <v>4</v>
      </c>
      <c r="Y42" s="84">
        <f>COUNTIFS('Card Data'!$J:$J,Y$2,'Card Data'!$A:$A,$A42)</f>
        <v>4</v>
      </c>
      <c r="Z42" s="84">
        <f>COUNTIFS('Card Data'!$J:$J,Z$2,'Card Data'!$A:$A,$A42)</f>
        <v>4</v>
      </c>
      <c r="AA42" s="129"/>
      <c r="AB42" s="84"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4" t="str">
        <f>IF(COUNTIFS('Card Data'!$K:$K,"*"&amp;AC$2&amp;".*",'Card Data'!$A:$A,$A42)=0,"",IF(COUNTIFS('Card Data'!$K:$K,"*"&amp;AC$2&amp;".*",'Card Data'!$A:$A,$A42,'Card Data'!$I:$I,"Hero")=0,COUNTIFS('Card Data'!$K:$K,"*"&amp;AC$2&amp;".*",'Card Data'!$A:$A,$A42),COUNTIFS('Card Data'!$K:$K,"*"&amp;AC$2&amp;".*",'Card Data'!$A:$A,$A42)&amp;" ("&amp;COUNTIFS('Card Data'!$K:$K,"*"&amp;AC$2&amp;".*",'Card Data'!$A:$A,$A42,'Card Data'!$I:$I,"Hero")&amp;")"))</f>
        <v/>
      </c>
      <c r="AD42" s="84" t="str">
        <f>IF(COUNTIFS('Card Data'!$K:$K,"*"&amp;AD$2&amp;".*",'Card Data'!$A:$A,$A42)=0,"",IF(COUNTIFS('Card Data'!$K:$K,"*"&amp;AD$2&amp;".*",'Card Data'!$A:$A,$A42,'Card Data'!$I:$I,"Hero")=0,COUNTIFS('Card Data'!$K:$K,"*"&amp;AD$2&amp;".*",'Card Data'!$A:$A,$A42),COUNTIFS('Card Data'!$K:$K,"*"&amp;AD$2&amp;".*",'Card Data'!$A:$A,$A42)&amp;" ("&amp;COUNTIFS('Card Data'!$K:$K,"*"&amp;AD$2&amp;".*",'Card Data'!$A:$A,$A42,'Card Data'!$I:$I,"Hero")&amp;")"))</f>
        <v/>
      </c>
      <c r="AE42" s="84" t="str">
        <f>IF(COUNTIFS('Card Data'!$K:$K,"*"&amp;AE$2&amp;".*",'Card Data'!$A:$A,$A42)=0,"",IF(COUNTIFS('Card Data'!$K:$K,"*"&amp;AE$2&amp;".*",'Card Data'!$A:$A,$A42,'Card Data'!$I:$I,"Hero")=0,COUNTIFS('Card Data'!$K:$K,"*"&amp;AE$2&amp;".*",'Card Data'!$A:$A,$A42),COUNTIFS('Card Data'!$K:$K,"*"&amp;AE$2&amp;".*",'Card Data'!$A:$A,$A42)&amp;" ("&amp;COUNTIFS('Card Data'!$K:$K,"*"&amp;AE$2&amp;".*",'Card Data'!$A:$A,$A42,'Card Data'!$I:$I,"Hero")&amp;")"))</f>
        <v/>
      </c>
      <c r="AF42" s="84"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4" t="str">
        <f>IF(COUNTIFS('Card Data'!$K:$K,"*"&amp;AG$2&amp;".*",'Card Data'!$A:$A,$A42)=0,"",IF(COUNTIFS('Card Data'!$K:$K,"*"&amp;AG$2&amp;".*",'Card Data'!$A:$A,$A42,'Card Data'!$I:$I,"Hero")=0,COUNTIFS('Card Data'!$K:$K,"*"&amp;AG$2&amp;".*",'Card Data'!$A:$A,$A42),COUNTIFS('Card Data'!$K:$K,"*"&amp;AG$2&amp;".*",'Card Data'!$A:$A,$A42)&amp;" ("&amp;COUNTIFS('Card Data'!$K:$K,"*"&amp;AG$2&amp;".*",'Card Data'!$A:$A,$A42,'Card Data'!$I:$I,"Hero")&amp;")"))</f>
        <v/>
      </c>
      <c r="AH42" s="84" t="str">
        <f>IF(COUNTIFS('Card Data'!$K:$K,"*"&amp;AH$2&amp;".*",'Card Data'!$A:$A,$A42)=0,"",IF(COUNTIFS('Card Data'!$K:$K,"*"&amp;AH$2&amp;".*",'Card Data'!$A:$A,$A42,'Card Data'!$I:$I,"Hero")=0,COUNTIFS('Card Data'!$K:$K,"*"&amp;AH$2&amp;".*",'Card Data'!$A:$A,$A42),COUNTIFS('Card Data'!$K:$K,"*"&amp;AH$2&amp;".*",'Card Data'!$A:$A,$A42)&amp;" ("&amp;COUNTIFS('Card Data'!$K:$K,"*"&amp;AH$2&amp;".*",'Card Data'!$A:$A,$A42,'Card Data'!$I:$I,"Hero")&amp;")"))</f>
        <v/>
      </c>
      <c r="AI42" s="84" t="str">
        <f>IF(COUNTIFS('Card Data'!$K:$K,"*"&amp;AI$2&amp;".*",'Card Data'!$A:$A,$A42)=0,"",IF(COUNTIFS('Card Data'!$K:$K,"*"&amp;AI$2&amp;".*",'Card Data'!$A:$A,$A42,'Card Data'!$I:$I,"Hero")=0,COUNTIFS('Card Data'!$K:$K,"*"&amp;AI$2&amp;".*",'Card Data'!$A:$A,$A42),COUNTIFS('Card Data'!$K:$K,"*"&amp;AI$2&amp;".*",'Card Data'!$A:$A,$A42)&amp;" ("&amp;COUNTIFS('Card Data'!$K:$K,"*"&amp;AI$2&amp;".*",'Card Data'!$A:$A,$A42,'Card Data'!$I:$I,"Hero")&amp;")"))</f>
        <v/>
      </c>
      <c r="AJ42" s="84" t="str">
        <f>IF(COUNTIFS('Card Data'!$K:$K,"*"&amp;AJ$2&amp;".*",'Card Data'!$A:$A,$A42)=0,"",IF(COUNTIFS('Card Data'!$K:$K,"*"&amp;AJ$2&amp;".*",'Card Data'!$A:$A,$A42,'Card Data'!$I:$I,"Hero")=0,COUNTIFS('Card Data'!$K:$K,"*"&amp;AJ$2&amp;".*",'Card Data'!$A:$A,$A42),COUNTIFS('Card Data'!$K:$K,"*"&amp;AJ$2&amp;".*",'Card Data'!$A:$A,$A42)&amp;" ("&amp;COUNTIFS('Card Data'!$K:$K,"*"&amp;AJ$2&amp;".*",'Card Data'!$A:$A,$A42,'Card Data'!$I:$I,"Hero")&amp;")"))</f>
        <v/>
      </c>
      <c r="AK42" s="84"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3" customFormat="1" x14ac:dyDescent="0.2">
      <c r="A43" s="80" t="s">
        <v>4034</v>
      </c>
      <c r="B43" s="80" t="s">
        <v>5660</v>
      </c>
      <c r="C43" s="81" t="s">
        <v>5745</v>
      </c>
      <c r="D43" s="80"/>
      <c r="E43" s="82" t="s">
        <v>5873</v>
      </c>
      <c r="F43" s="126"/>
      <c r="G43" s="84">
        <f>SUMIF('Card Data'!$A:$A,$A43,'Card Data'!$E:$E)</f>
        <v>165</v>
      </c>
      <c r="H43" s="84">
        <f>COUNTIFS('Card Data'!$I:$I,N$2,'Card Data'!$A:$A,$A43)</f>
        <v>5</v>
      </c>
      <c r="I43" s="84">
        <f>SUMIFS('Card Data'!$E:$E,'Card Data'!$A:$A,$A43,'Card Data'!$J:$J,"&lt;&gt;",'Card Data'!$J:$J,"&lt;&gt;Burden",'Card Data'!$I:$I,"&lt;&gt;Hero")</f>
        <v>45</v>
      </c>
      <c r="J43" s="84">
        <f>SUMIFS('Card Data'!$E:$E,'Card Data'!$A:$A,$A43,'Card Data'!$J:$J,"",'Card Data'!$I:$I,"&lt;&gt;Campaign")+SUMIFS('Card Data'!$E:$E,'Card Data'!$A:$A,$A43,'Card Data'!$J:$J,"Burden")-K43</f>
        <v>102</v>
      </c>
      <c r="K43" s="84">
        <f>SUMIFS('Card Data'!$E:$E,'Card Data'!$I:$I,K$2,'Card Data'!$A:$A,$A43,'Card Data'!$K:$K,"&lt;&gt;*Side Quest.*")</f>
        <v>13</v>
      </c>
      <c r="L43" s="84">
        <f>COUNTIFS('Card Data'!$I:$I,L$2,'Card Data'!$A:$A,$A43,'Card Data'!$K:$K,"&lt;&gt;*Side Quest.*")</f>
        <v>0</v>
      </c>
      <c r="M43" s="129"/>
      <c r="N43" s="84">
        <f>COUNTIFS('Card Data'!$I:$I,N$2,'Card Data'!$A:$A,$A43)</f>
        <v>5</v>
      </c>
      <c r="O43" s="84">
        <f>COUNTIFS('Card Data'!$I:$I,O$2,'Card Data'!$A:$A,$A43)</f>
        <v>3</v>
      </c>
      <c r="P43" s="84">
        <f>COUNTIFS('Card Data'!$I:$I,P$2,'Card Data'!$A:$A,$A43)</f>
        <v>5</v>
      </c>
      <c r="Q43" s="84">
        <f>COUNTIFS('Card Data'!$I:$I,Q$2,'Card Data'!$A:$A,$A43)</f>
        <v>5</v>
      </c>
      <c r="R43" s="84">
        <f>COUNTIFS('Card Data'!$I:$I,R$2,'Card Data'!$A:$A,$A43)</f>
        <v>16</v>
      </c>
      <c r="S43" s="84">
        <f>COUNTIFS('Card Data'!$I:$I,S$2,'Card Data'!$A:$A,$A43)</f>
        <v>13</v>
      </c>
      <c r="T43" s="84">
        <f>COUNTIFS('Card Data'!$I:$I,T$2,'Card Data'!$A:$A,$A43)</f>
        <v>11</v>
      </c>
      <c r="U43" s="129"/>
      <c r="V43" s="84">
        <f>COUNTIFS('Card Data'!$J:$J,V$2,'Card Data'!$A:$A,$A43)</f>
        <v>4</v>
      </c>
      <c r="W43" s="84">
        <f>COUNTIFS('Card Data'!$J:$J,W$2,'Card Data'!$A:$A,$A43)</f>
        <v>4</v>
      </c>
      <c r="X43" s="84">
        <f>COUNTIFS('Card Data'!$J:$J,X$2,'Card Data'!$A:$A,$A43)</f>
        <v>4</v>
      </c>
      <c r="Y43" s="84">
        <f>COUNTIFS('Card Data'!$J:$J,Y$2,'Card Data'!$A:$A,$A43)</f>
        <v>4</v>
      </c>
      <c r="Z43" s="84">
        <f>COUNTIFS('Card Data'!$J:$J,Z$2,'Card Data'!$A:$A,$A43)</f>
        <v>6</v>
      </c>
      <c r="AA43" s="129"/>
      <c r="AB43" s="84"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4" t="str">
        <f>IF(COUNTIFS('Card Data'!$K:$K,"*"&amp;AC$2&amp;".*",'Card Data'!$A:$A,$A43)=0,"",IF(COUNTIFS('Card Data'!$K:$K,"*"&amp;AC$2&amp;".*",'Card Data'!$A:$A,$A43,'Card Data'!$I:$I,"Hero")=0,COUNTIFS('Card Data'!$K:$K,"*"&amp;AC$2&amp;".*",'Card Data'!$A:$A,$A43),COUNTIFS('Card Data'!$K:$K,"*"&amp;AC$2&amp;".*",'Card Data'!$A:$A,$A43)&amp;" ("&amp;COUNTIFS('Card Data'!$K:$K,"*"&amp;AC$2&amp;".*",'Card Data'!$A:$A,$A43,'Card Data'!$I:$I,"Hero")&amp;")"))</f>
        <v/>
      </c>
      <c r="AD43" s="84" t="str">
        <f>IF(COUNTIFS('Card Data'!$K:$K,"*"&amp;AD$2&amp;".*",'Card Data'!$A:$A,$A43)=0,"",IF(COUNTIFS('Card Data'!$K:$K,"*"&amp;AD$2&amp;".*",'Card Data'!$A:$A,$A43,'Card Data'!$I:$I,"Hero")=0,COUNTIFS('Card Data'!$K:$K,"*"&amp;AD$2&amp;".*",'Card Data'!$A:$A,$A43),COUNTIFS('Card Data'!$K:$K,"*"&amp;AD$2&amp;".*",'Card Data'!$A:$A,$A43)&amp;" ("&amp;COUNTIFS('Card Data'!$K:$K,"*"&amp;AD$2&amp;".*",'Card Data'!$A:$A,$A43,'Card Data'!$I:$I,"Hero")&amp;")"))</f>
        <v/>
      </c>
      <c r="AE43" s="84" t="str">
        <f>IF(COUNTIFS('Card Data'!$K:$K,"*"&amp;AE$2&amp;".*",'Card Data'!$A:$A,$A43)=0,"",IF(COUNTIFS('Card Data'!$K:$K,"*"&amp;AE$2&amp;".*",'Card Data'!$A:$A,$A43,'Card Data'!$I:$I,"Hero")=0,COUNTIFS('Card Data'!$K:$K,"*"&amp;AE$2&amp;".*",'Card Data'!$A:$A,$A43),COUNTIFS('Card Data'!$K:$K,"*"&amp;AE$2&amp;".*",'Card Data'!$A:$A,$A43)&amp;" ("&amp;COUNTIFS('Card Data'!$K:$K,"*"&amp;AE$2&amp;".*",'Card Data'!$A:$A,$A43,'Card Data'!$I:$I,"Hero")&amp;")"))</f>
        <v/>
      </c>
      <c r="AF43" s="84"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4" t="str">
        <f>IF(COUNTIFS('Card Data'!$K:$K,"*"&amp;AG$2&amp;".*",'Card Data'!$A:$A,$A43)=0,"",IF(COUNTIFS('Card Data'!$K:$K,"*"&amp;AG$2&amp;".*",'Card Data'!$A:$A,$A43,'Card Data'!$I:$I,"Hero")=0,COUNTIFS('Card Data'!$K:$K,"*"&amp;AG$2&amp;".*",'Card Data'!$A:$A,$A43),COUNTIFS('Card Data'!$K:$K,"*"&amp;AG$2&amp;".*",'Card Data'!$A:$A,$A43)&amp;" ("&amp;COUNTIFS('Card Data'!$K:$K,"*"&amp;AG$2&amp;".*",'Card Data'!$A:$A,$A43,'Card Data'!$I:$I,"Hero")&amp;")"))</f>
        <v/>
      </c>
      <c r="AH43" s="84" t="str">
        <f>IF(COUNTIFS('Card Data'!$K:$K,"*"&amp;AH$2&amp;".*",'Card Data'!$A:$A,$A43)=0,"",IF(COUNTIFS('Card Data'!$K:$K,"*"&amp;AH$2&amp;".*",'Card Data'!$A:$A,$A43,'Card Data'!$I:$I,"Hero")=0,COUNTIFS('Card Data'!$K:$K,"*"&amp;AH$2&amp;".*",'Card Data'!$A:$A,$A43),COUNTIFS('Card Data'!$K:$K,"*"&amp;AH$2&amp;".*",'Card Data'!$A:$A,$A43)&amp;" ("&amp;COUNTIFS('Card Data'!$K:$K,"*"&amp;AH$2&amp;".*",'Card Data'!$A:$A,$A43,'Card Data'!$I:$I,"Hero")&amp;")"))</f>
        <v/>
      </c>
      <c r="AI43" s="84">
        <f>IF(COUNTIFS('Card Data'!$K:$K,"*"&amp;AI$2&amp;".*",'Card Data'!$A:$A,$A43)=0,"",IF(COUNTIFS('Card Data'!$K:$K,"*"&amp;AI$2&amp;".*",'Card Data'!$A:$A,$A43,'Card Data'!$I:$I,"Hero")=0,COUNTIFS('Card Data'!$K:$K,"*"&amp;AI$2&amp;".*",'Card Data'!$A:$A,$A43),COUNTIFS('Card Data'!$K:$K,"*"&amp;AI$2&amp;".*",'Card Data'!$A:$A,$A43)&amp;" ("&amp;COUNTIFS('Card Data'!$K:$K,"*"&amp;AI$2&amp;".*",'Card Data'!$A:$A,$A43,'Card Data'!$I:$I,"Hero")&amp;")"))</f>
        <v>1</v>
      </c>
      <c r="AJ43" s="84" t="str">
        <f>IF(COUNTIFS('Card Data'!$K:$K,"*"&amp;AJ$2&amp;".*",'Card Data'!$A:$A,$A43)=0,"",IF(COUNTIFS('Card Data'!$K:$K,"*"&amp;AJ$2&amp;".*",'Card Data'!$A:$A,$A43,'Card Data'!$I:$I,"Hero")=0,COUNTIFS('Card Data'!$K:$K,"*"&amp;AJ$2&amp;".*",'Card Data'!$A:$A,$A43),COUNTIFS('Card Data'!$K:$K,"*"&amp;AJ$2&amp;".*",'Card Data'!$A:$A,$A43)&amp;" ("&amp;COUNTIFS('Card Data'!$K:$K,"*"&amp;AJ$2&amp;".*",'Card Data'!$A:$A,$A43,'Card Data'!$I:$I,"Hero")&amp;")"))</f>
        <v/>
      </c>
      <c r="AK43" s="84" t="str">
        <f>IF(COUNTIFS('Card Data'!$K:$K,"*"&amp;AK$2&amp;".*",'Card Data'!$A:$A,$A43)=0,"",IF(COUNTIFS('Card Data'!$K:$K,"*"&amp;AK$2&amp;".*",'Card Data'!$A:$A,$A43,'Card Data'!$I:$I,"Hero")=0,COUNTIFS('Card Data'!$K:$K,"*"&amp;AK$2&amp;".*",'Card Data'!$A:$A,$A43),COUNTIFS('Card Data'!$K:$K,"*"&amp;AK$2&amp;".*",'Card Data'!$A:$A,$A43)&amp;" ("&amp;COUNTIFS('Card Data'!$K:$K,"*"&amp;AK$2&amp;".*",'Card Data'!$A:$A,$A43,'Card Data'!$I:$I,"Hero")&amp;")"))</f>
        <v/>
      </c>
      <c r="AL43" s="8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3" customFormat="1" x14ac:dyDescent="0.2">
      <c r="A44" s="80" t="s">
        <v>3452</v>
      </c>
      <c r="B44" s="80" t="s">
        <v>3465</v>
      </c>
      <c r="C44" s="81" t="s">
        <v>5745</v>
      </c>
      <c r="D44" s="80"/>
      <c r="E44" s="82" t="s">
        <v>5874</v>
      </c>
      <c r="F44" s="126"/>
      <c r="G44" s="84">
        <f>SUMIF('Card Data'!$A:$A,$A44,'Card Data'!$E:$E)</f>
        <v>165</v>
      </c>
      <c r="H44" s="84">
        <f>COUNTIFS('Card Data'!$I:$I,N$2,'Card Data'!$A:$A,$A44)</f>
        <v>5</v>
      </c>
      <c r="I44" s="84">
        <f>SUMIFS('Card Data'!$E:$E,'Card Data'!$A:$A,$A44,'Card Data'!$J:$J,"&lt;&gt;",'Card Data'!$J:$J,"&lt;&gt;Burden",'Card Data'!$I:$I,"&lt;&gt;Hero")</f>
        <v>39</v>
      </c>
      <c r="J44" s="84">
        <f>SUMIFS('Card Data'!$E:$E,'Card Data'!$A:$A,$A44,'Card Data'!$J:$J,"",'Card Data'!$I:$I,"&lt;&gt;Campaign")+SUMIFS('Card Data'!$E:$E,'Card Data'!$A:$A,$A44,'Card Data'!$J:$J,"Burden")-K44</f>
        <v>110</v>
      </c>
      <c r="K44" s="84">
        <f>SUMIFS('Card Data'!$E:$E,'Card Data'!$I:$I,K$2,'Card Data'!$A:$A,$A44,'Card Data'!$K:$K,"&lt;&gt;*Side Quest.*")</f>
        <v>8</v>
      </c>
      <c r="L44" s="84">
        <f>COUNTIFS('Card Data'!$I:$I,L$2,'Card Data'!$A:$A,$A44,'Card Data'!$K:$K,"&lt;&gt;*Side Quest.*")</f>
        <v>3</v>
      </c>
      <c r="M44" s="129"/>
      <c r="N44" s="84">
        <f>COUNTIFS('Card Data'!$I:$I,N$2,'Card Data'!$A:$A,$A44)</f>
        <v>5</v>
      </c>
      <c r="O44" s="84">
        <f>COUNTIFS('Card Data'!$I:$I,O$2,'Card Data'!$A:$A,$A44)</f>
        <v>3</v>
      </c>
      <c r="P44" s="84">
        <f>COUNTIFS('Card Data'!$I:$I,P$2,'Card Data'!$A:$A,$A44)</f>
        <v>9</v>
      </c>
      <c r="Q44" s="84">
        <f>COUNTIFS('Card Data'!$I:$I,Q$2,'Card Data'!$A:$A,$A44)</f>
        <v>4</v>
      </c>
      <c r="R44" s="84">
        <f>COUNTIFS('Card Data'!$I:$I,R$2,'Card Data'!$A:$A,$A44)</f>
        <v>9</v>
      </c>
      <c r="S44" s="84">
        <f>COUNTIFS('Card Data'!$I:$I,S$2,'Card Data'!$A:$A,$A44)</f>
        <v>19</v>
      </c>
      <c r="T44" s="84">
        <f>COUNTIFS('Card Data'!$I:$I,T$2,'Card Data'!$A:$A,$A44)</f>
        <v>21</v>
      </c>
      <c r="U44" s="129"/>
      <c r="V44" s="84">
        <f>COUNTIFS('Card Data'!$J:$J,V$2,'Card Data'!$A:$A,$A44)</f>
        <v>3</v>
      </c>
      <c r="W44" s="84">
        <f>COUNTIFS('Card Data'!$J:$J,W$2,'Card Data'!$A:$A,$A44)</f>
        <v>4</v>
      </c>
      <c r="X44" s="84">
        <f>COUNTIFS('Card Data'!$J:$J,X$2,'Card Data'!$A:$A,$A44)</f>
        <v>3</v>
      </c>
      <c r="Y44" s="84">
        <f>COUNTIFS('Card Data'!$J:$J,Y$2,'Card Data'!$A:$A,$A44)</f>
        <v>4</v>
      </c>
      <c r="Z44" s="84">
        <f>COUNTIFS('Card Data'!$J:$J,Z$2,'Card Data'!$A:$A,$A44)</f>
        <v>0</v>
      </c>
      <c r="AA44" s="129"/>
      <c r="AB44" s="84" t="str">
        <f>IF(COUNTIFS('Card Data'!$K:$K,"*"&amp;AB$2&amp;".*",'Card Data'!$A:$A,$A44)=0,"",IF(COUNTIFS('Card Data'!$K:$K,"*"&amp;AB$2&amp;".*",'Card Data'!$A:$A,$A44,'Card Data'!$I:$I,"Hero")=0,COUNTIFS('Card Data'!$K:$K,"*"&amp;AB$2&amp;".*",'Card Data'!$A:$A,$A44),COUNTIFS('Card Data'!$K:$K,"*"&amp;AB$2&amp;".*",'Card Data'!$A:$A,$A44)&amp;" ("&amp;COUNTIFS('Card Data'!$K:$K,"*"&amp;AB$2&amp;".*",'Card Data'!$A:$A,$A44,'Card Data'!$I:$I,"Hero")&amp;")"))</f>
        <v/>
      </c>
      <c r="AC44" s="84" t="str">
        <f>IF(COUNTIFS('Card Data'!$K:$K,"*"&amp;AC$2&amp;".*",'Card Data'!$A:$A,$A44)=0,"",IF(COUNTIFS('Card Data'!$K:$K,"*"&amp;AC$2&amp;".*",'Card Data'!$A:$A,$A44,'Card Data'!$I:$I,"Hero")=0,COUNTIFS('Card Data'!$K:$K,"*"&amp;AC$2&amp;".*",'Card Data'!$A:$A,$A44),COUNTIFS('Card Data'!$K:$K,"*"&amp;AC$2&amp;".*",'Card Data'!$A:$A,$A44)&amp;" ("&amp;COUNTIFS('Card Data'!$K:$K,"*"&amp;AC$2&amp;".*",'Card Data'!$A:$A,$A44,'Card Data'!$I:$I,"Hero")&amp;")"))</f>
        <v/>
      </c>
      <c r="AD44" s="84" t="str">
        <f>IF(COUNTIFS('Card Data'!$K:$K,"*"&amp;AD$2&amp;".*",'Card Data'!$A:$A,$A44)=0,"",IF(COUNTIFS('Card Data'!$K:$K,"*"&amp;AD$2&amp;".*",'Card Data'!$A:$A,$A44,'Card Data'!$I:$I,"Hero")=0,COUNTIFS('Card Data'!$K:$K,"*"&amp;AD$2&amp;".*",'Card Data'!$A:$A,$A44),COUNTIFS('Card Data'!$K:$K,"*"&amp;AD$2&amp;".*",'Card Data'!$A:$A,$A44)&amp;" ("&amp;COUNTIFS('Card Data'!$K:$K,"*"&amp;AD$2&amp;".*",'Card Data'!$A:$A,$A44,'Card Data'!$I:$I,"Hero")&amp;")"))</f>
        <v/>
      </c>
      <c r="AE44" s="84" t="str">
        <f>IF(COUNTIFS('Card Data'!$K:$K,"*"&amp;AE$2&amp;".*",'Card Data'!$A:$A,$A44)=0,"",IF(COUNTIFS('Card Data'!$K:$K,"*"&amp;AE$2&amp;".*",'Card Data'!$A:$A,$A44,'Card Data'!$I:$I,"Hero")=0,COUNTIFS('Card Data'!$K:$K,"*"&amp;AE$2&amp;".*",'Card Data'!$A:$A,$A44),COUNTIFS('Card Data'!$K:$K,"*"&amp;AE$2&amp;".*",'Card Data'!$A:$A,$A44)&amp;" ("&amp;COUNTIFS('Card Data'!$K:$K,"*"&amp;AE$2&amp;".*",'Card Data'!$A:$A,$A44,'Card Data'!$I:$I,"Hero")&amp;")"))</f>
        <v/>
      </c>
      <c r="AF44" s="84"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4" t="str">
        <f>IF(COUNTIFS('Card Data'!$K:$K,"*"&amp;AG$2&amp;".*",'Card Data'!$A:$A,$A44)=0,"",IF(COUNTIFS('Card Data'!$K:$K,"*"&amp;AG$2&amp;".*",'Card Data'!$A:$A,$A44,'Card Data'!$I:$I,"Hero")=0,COUNTIFS('Card Data'!$K:$K,"*"&amp;AG$2&amp;".*",'Card Data'!$A:$A,$A44),COUNTIFS('Card Data'!$K:$K,"*"&amp;AG$2&amp;".*",'Card Data'!$A:$A,$A44)&amp;" ("&amp;COUNTIFS('Card Data'!$K:$K,"*"&amp;AG$2&amp;".*",'Card Data'!$A:$A,$A44,'Card Data'!$I:$I,"Hero")&amp;")"))</f>
        <v/>
      </c>
      <c r="AH44" s="84">
        <f>IF(COUNTIFS('Card Data'!$K:$K,"*"&amp;AH$2&amp;".*",'Card Data'!$A:$A,$A44)=0,"",IF(COUNTIFS('Card Data'!$K:$K,"*"&amp;AH$2&amp;".*",'Card Data'!$A:$A,$A44,'Card Data'!$I:$I,"Hero")=0,COUNTIFS('Card Data'!$K:$K,"*"&amp;AH$2&amp;".*",'Card Data'!$A:$A,$A44),COUNTIFS('Card Data'!$K:$K,"*"&amp;AH$2&amp;".*",'Card Data'!$A:$A,$A44)&amp;" ("&amp;COUNTIFS('Card Data'!$K:$K,"*"&amp;AH$2&amp;".*",'Card Data'!$A:$A,$A44,'Card Data'!$I:$I,"Hero")&amp;")"))</f>
        <v>1</v>
      </c>
      <c r="AI44" s="84" t="str">
        <f>IF(COUNTIFS('Card Data'!$K:$K,"*"&amp;AI$2&amp;".*",'Card Data'!$A:$A,$A44)=0,"",IF(COUNTIFS('Card Data'!$K:$K,"*"&amp;AI$2&amp;".*",'Card Data'!$A:$A,$A44,'Card Data'!$I:$I,"Hero")=0,COUNTIFS('Card Data'!$K:$K,"*"&amp;AI$2&amp;".*",'Card Data'!$A:$A,$A44),COUNTIFS('Card Data'!$K:$K,"*"&amp;AI$2&amp;".*",'Card Data'!$A:$A,$A44)&amp;" ("&amp;COUNTIFS('Card Data'!$K:$K,"*"&amp;AI$2&amp;".*",'Card Data'!$A:$A,$A44,'Card Data'!$I:$I,"Hero")&amp;")"))</f>
        <v/>
      </c>
      <c r="AJ44" s="84" t="str">
        <f>IF(COUNTIFS('Card Data'!$K:$K,"*"&amp;AJ$2&amp;".*",'Card Data'!$A:$A,$A44)=0,"",IF(COUNTIFS('Card Data'!$K:$K,"*"&amp;AJ$2&amp;".*",'Card Data'!$A:$A,$A44,'Card Data'!$I:$I,"Hero")=0,COUNTIFS('Card Data'!$K:$K,"*"&amp;AJ$2&amp;".*",'Card Data'!$A:$A,$A44),COUNTIFS('Card Data'!$K:$K,"*"&amp;AJ$2&amp;".*",'Card Data'!$A:$A,$A44)&amp;" ("&amp;COUNTIFS('Card Data'!$K:$K,"*"&amp;AJ$2&amp;".*",'Card Data'!$A:$A,$A44,'Card Data'!$I:$I,"Hero")&amp;")"))</f>
        <v/>
      </c>
      <c r="AK44" s="84" t="str">
        <f>IF(COUNTIFS('Card Data'!$K:$K,"*"&amp;AK$2&amp;".*",'Card Data'!$A:$A,$A44)=0,"",IF(COUNTIFS('Card Data'!$K:$K,"*"&amp;AK$2&amp;".*",'Card Data'!$A:$A,$A44,'Card Data'!$I:$I,"Hero")=0,COUNTIFS('Card Data'!$K:$K,"*"&amp;AK$2&amp;".*",'Card Data'!$A:$A,$A44),COUNTIFS('Card Data'!$K:$K,"*"&amp;AK$2&amp;".*",'Card Data'!$A:$A,$A44)&amp;" ("&amp;COUNTIFS('Card Data'!$K:$K,"*"&amp;AK$2&amp;".*",'Card Data'!$A:$A,$A44,'Card Data'!$I:$I,"Hero")&amp;")"))</f>
        <v/>
      </c>
      <c r="AL44" s="8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3" customFormat="1" x14ac:dyDescent="0.2">
      <c r="A45" s="80" t="s">
        <v>10683</v>
      </c>
      <c r="B45" s="80" t="s">
        <v>11010</v>
      </c>
      <c r="C45" s="81" t="s">
        <v>8065</v>
      </c>
      <c r="D45" s="80" t="s">
        <v>5595</v>
      </c>
      <c r="E45" s="82" t="s">
        <v>11011</v>
      </c>
      <c r="F45" s="126"/>
      <c r="G45" s="84">
        <f>SUMIF('Card Data'!$A:$A,$A45,'Card Data'!$E:$E)</f>
        <v>165</v>
      </c>
      <c r="H45" s="84">
        <f>COUNTIFS('Card Data'!$I:$I,N$2,'Card Data'!$A:$A,$A45)</f>
        <v>2</v>
      </c>
      <c r="I45" s="84">
        <f>SUMIFS('Card Data'!$E:$E,'Card Data'!$A:$A,$A45,'Card Data'!$J:$J,"&lt;&gt;",'Card Data'!$J:$J,"&lt;&gt;Burden",'Card Data'!$I:$I,"&lt;&gt;Hero")</f>
        <v>32</v>
      </c>
      <c r="J45" s="84">
        <f>SUMIFS('Card Data'!$E:$E,'Card Data'!$A:$A,$A45,'Card Data'!$J:$J,"",'Card Data'!$I:$I,"&lt;&gt;Campaign")+SUMIFS('Card Data'!$E:$E,'Card Data'!$A:$A,$A45,'Card Data'!$J:$J,"Burden")-K45</f>
        <v>114</v>
      </c>
      <c r="K45" s="84">
        <f>SUMIFS('Card Data'!$E:$E,'Card Data'!$I:$I,K$2,'Card Data'!$A:$A,$A45,'Card Data'!$K:$K,"&lt;&gt;*Side Quest.*")</f>
        <v>14</v>
      </c>
      <c r="L45" s="84">
        <f>COUNTIFS('Card Data'!$I:$I,L$2,'Card Data'!$A:$A,$A45,'Card Data'!$K:$K,"&lt;&gt;*Side Quest.*")</f>
        <v>3</v>
      </c>
      <c r="M45" s="129"/>
      <c r="N45" s="84">
        <f>COUNTIFS('Card Data'!$I:$I,N$2,'Card Data'!$A:$A,$A45)</f>
        <v>2</v>
      </c>
      <c r="O45" s="84">
        <f>COUNTIFS('Card Data'!$I:$I,O$2,'Card Data'!$A:$A,$A45)</f>
        <v>4</v>
      </c>
      <c r="P45" s="84">
        <f>COUNTIFS('Card Data'!$I:$I,P$2,'Card Data'!$A:$A,$A45)</f>
        <v>11</v>
      </c>
      <c r="Q45" s="84">
        <f>COUNTIFS('Card Data'!$I:$I,Q$2,'Card Data'!$A:$A,$A45)</f>
        <v>1</v>
      </c>
      <c r="R45" s="84">
        <f>COUNTIFS('Card Data'!$I:$I,R$2,'Card Data'!$A:$A,$A45)</f>
        <v>15</v>
      </c>
      <c r="S45" s="84">
        <f>COUNTIFS('Card Data'!$I:$I,S$2,'Card Data'!$A:$A,$A45)</f>
        <v>19</v>
      </c>
      <c r="T45" s="84">
        <f>COUNTIFS('Card Data'!$I:$I,T$2,'Card Data'!$A:$A,$A45)</f>
        <v>17</v>
      </c>
      <c r="U45" s="129"/>
      <c r="V45" s="84">
        <f>COUNTIFS('Card Data'!$J:$J,V$2,'Card Data'!$A:$A,$A45)</f>
        <v>1</v>
      </c>
      <c r="W45" s="84">
        <f>COUNTIFS('Card Data'!$J:$J,W$2,'Card Data'!$A:$A,$A45)</f>
        <v>1</v>
      </c>
      <c r="X45" s="84">
        <f>COUNTIFS('Card Data'!$J:$J,X$2,'Card Data'!$A:$A,$A45)</f>
        <v>1</v>
      </c>
      <c r="Y45" s="84">
        <f>COUNTIFS('Card Data'!$J:$J,Y$2,'Card Data'!$A:$A,$A45)</f>
        <v>1</v>
      </c>
      <c r="Z45" s="84">
        <f>COUNTIFS('Card Data'!$J:$J,Z$2,'Card Data'!$A:$A,$A45)</f>
        <v>4</v>
      </c>
      <c r="AA45" s="129"/>
      <c r="AB45" s="84" t="str">
        <f>IF(COUNTIFS('Card Data'!$K:$K,"*"&amp;AB$2&amp;".*",'Card Data'!$A:$A,$A45)=0,"",IF(COUNTIFS('Card Data'!$K:$K,"*"&amp;AB$2&amp;".*",'Card Data'!$A:$A,$A45,'Card Data'!$I:$I,"Hero")=0,COUNTIFS('Card Data'!$K:$K,"*"&amp;AB$2&amp;".*",'Card Data'!$A:$A,$A45),COUNTIFS('Card Data'!$K:$K,"*"&amp;AB$2&amp;".*",'Card Data'!$A:$A,$A45)&amp;" ("&amp;COUNTIFS('Card Data'!$K:$K,"*"&amp;AB$2&amp;".*",'Card Data'!$A:$A,$A45,'Card Data'!$I:$I,"Hero")&amp;")"))</f>
        <v/>
      </c>
      <c r="AC45" s="84">
        <f>IF(COUNTIFS('Card Data'!$K:$K,"*"&amp;AC$2&amp;".*",'Card Data'!$A:$A,$A45)=0,"",IF(COUNTIFS('Card Data'!$K:$K,"*"&amp;AC$2&amp;".*",'Card Data'!$A:$A,$A45,'Card Data'!$I:$I,"Hero")=0,COUNTIFS('Card Data'!$K:$K,"*"&amp;AC$2&amp;".*",'Card Data'!$A:$A,$A45),COUNTIFS('Card Data'!$K:$K,"*"&amp;AC$2&amp;".*",'Card Data'!$A:$A,$A45)&amp;" ("&amp;COUNTIFS('Card Data'!$K:$K,"*"&amp;AC$2&amp;".*",'Card Data'!$A:$A,$A45,'Card Data'!$I:$I,"Hero")&amp;")"))</f>
        <v>1</v>
      </c>
      <c r="AD45" s="84" t="str">
        <f>IF(COUNTIFS('Card Data'!$K:$K,"*"&amp;AD$2&amp;".*",'Card Data'!$A:$A,$A45)=0,"",IF(COUNTIFS('Card Data'!$K:$K,"*"&amp;AD$2&amp;".*",'Card Data'!$A:$A,$A45,'Card Data'!$I:$I,"Hero")=0,COUNTIFS('Card Data'!$K:$K,"*"&amp;AD$2&amp;".*",'Card Data'!$A:$A,$A45),COUNTIFS('Card Data'!$K:$K,"*"&amp;AD$2&amp;".*",'Card Data'!$A:$A,$A45)&amp;" ("&amp;COUNTIFS('Card Data'!$K:$K,"*"&amp;AD$2&amp;".*",'Card Data'!$A:$A,$A45,'Card Data'!$I:$I,"Hero")&amp;")"))</f>
        <v/>
      </c>
      <c r="AE45" s="84" t="str">
        <f>IF(COUNTIFS('Card Data'!$K:$K,"*"&amp;AE$2&amp;".*",'Card Data'!$A:$A,$A45)=0,"",IF(COUNTIFS('Card Data'!$K:$K,"*"&amp;AE$2&amp;".*",'Card Data'!$A:$A,$A45,'Card Data'!$I:$I,"Hero")=0,COUNTIFS('Card Data'!$K:$K,"*"&amp;AE$2&amp;".*",'Card Data'!$A:$A,$A45),COUNTIFS('Card Data'!$K:$K,"*"&amp;AE$2&amp;".*",'Card Data'!$A:$A,$A45)&amp;" ("&amp;COUNTIFS('Card Data'!$K:$K,"*"&amp;AE$2&amp;".*",'Card Data'!$A:$A,$A45,'Card Data'!$I:$I,"Hero")&amp;")"))</f>
        <v/>
      </c>
      <c r="AF45" s="84"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4" t="str">
        <f>IF(COUNTIFS('Card Data'!$K:$K,"*"&amp;AG$2&amp;".*",'Card Data'!$A:$A,$A45)=0,"",IF(COUNTIFS('Card Data'!$K:$K,"*"&amp;AG$2&amp;".*",'Card Data'!$A:$A,$A45,'Card Data'!$I:$I,"Hero")=0,COUNTIFS('Card Data'!$K:$K,"*"&amp;AG$2&amp;".*",'Card Data'!$A:$A,$A45),COUNTIFS('Card Data'!$K:$K,"*"&amp;AG$2&amp;".*",'Card Data'!$A:$A,$A45)&amp;" ("&amp;COUNTIFS('Card Data'!$K:$K,"*"&amp;AG$2&amp;".*",'Card Data'!$A:$A,$A45,'Card Data'!$I:$I,"Hero")&amp;")"))</f>
        <v/>
      </c>
      <c r="AH45" s="84">
        <f>IF(COUNTIFS('Card Data'!$K:$K,"*"&amp;AH$2&amp;".*",'Card Data'!$A:$A,$A45)=0,"",IF(COUNTIFS('Card Data'!$K:$K,"*"&amp;AH$2&amp;".*",'Card Data'!$A:$A,$A45,'Card Data'!$I:$I,"Hero")=0,COUNTIFS('Card Data'!$K:$K,"*"&amp;AH$2&amp;".*",'Card Data'!$A:$A,$A45),COUNTIFS('Card Data'!$K:$K,"*"&amp;AH$2&amp;".*",'Card Data'!$A:$A,$A45)&amp;" ("&amp;COUNTIFS('Card Data'!$K:$K,"*"&amp;AH$2&amp;".*",'Card Data'!$A:$A,$A45,'Card Data'!$I:$I,"Hero")&amp;")"))</f>
        <v>2</v>
      </c>
      <c r="AI45" s="84" t="str">
        <f>IF(COUNTIFS('Card Data'!$K:$K,"*"&amp;AI$2&amp;".*",'Card Data'!$A:$A,$A45)=0,"",IF(COUNTIFS('Card Data'!$K:$K,"*"&amp;AI$2&amp;".*",'Card Data'!$A:$A,$A45,'Card Data'!$I:$I,"Hero")=0,COUNTIFS('Card Data'!$K:$K,"*"&amp;AI$2&amp;".*",'Card Data'!$A:$A,$A45),COUNTIFS('Card Data'!$K:$K,"*"&amp;AI$2&amp;".*",'Card Data'!$A:$A,$A45)&amp;" ("&amp;COUNTIFS('Card Data'!$K:$K,"*"&amp;AI$2&amp;".*",'Card Data'!$A:$A,$A45,'Card Data'!$I:$I,"Hero")&amp;")"))</f>
        <v/>
      </c>
      <c r="AJ45" s="84" t="str">
        <f>IF(COUNTIFS('Card Data'!$K:$K,"*"&amp;AJ$2&amp;".*",'Card Data'!$A:$A,$A45)=0,"",IF(COUNTIFS('Card Data'!$K:$K,"*"&amp;AJ$2&amp;".*",'Card Data'!$A:$A,$A45,'Card Data'!$I:$I,"Hero")=0,COUNTIFS('Card Data'!$K:$K,"*"&amp;AJ$2&amp;".*",'Card Data'!$A:$A,$A45),COUNTIFS('Card Data'!$K:$K,"*"&amp;AJ$2&amp;".*",'Card Data'!$A:$A,$A45)&amp;" ("&amp;COUNTIFS('Card Data'!$K:$K,"*"&amp;AJ$2&amp;".*",'Card Data'!$A:$A,$A45,'Card Data'!$I:$I,"Hero")&amp;")"))</f>
        <v/>
      </c>
      <c r="AK45" s="84">
        <f>IF(COUNTIFS('Card Data'!$K:$K,"*"&amp;AK$2&amp;".*",'Card Data'!$A:$A,$A45)=0,"",IF(COUNTIFS('Card Data'!$K:$K,"*"&amp;AK$2&amp;".*",'Card Data'!$A:$A,$A45,'Card Data'!$I:$I,"Hero")=0,COUNTIFS('Card Data'!$K:$K,"*"&amp;AK$2&amp;".*",'Card Data'!$A:$A,$A45),COUNTIFS('Card Data'!$K:$K,"*"&amp;AK$2&amp;".*",'Card Data'!$A:$A,$A45)&amp;" ("&amp;COUNTIFS('Card Data'!$K:$K,"*"&amp;AK$2&amp;".*",'Card Data'!$A:$A,$A45,'Card Data'!$I:$I,"Hero")&amp;")"))</f>
        <v>2</v>
      </c>
      <c r="AL45" s="8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2100</v>
      </c>
      <c r="B46" s="85" t="s">
        <v>5322</v>
      </c>
      <c r="C46" s="86" t="s">
        <v>5745</v>
      </c>
      <c r="D46" s="85"/>
      <c r="E46" s="87" t="s">
        <v>5875</v>
      </c>
      <c r="F46" s="126"/>
      <c r="G46" s="124">
        <f>SUMIF('Card Data'!$A:$A,$A46,'Card Data'!$E:$E)</f>
        <v>37</v>
      </c>
      <c r="H46" s="124">
        <f>COUNTIFS('Card Data'!$I:$I,N$2,'Card Data'!$A:$A,$A46)</f>
        <v>2</v>
      </c>
      <c r="I46" s="124">
        <f>SUMIFS('Card Data'!$E:$E,'Card Data'!$A:$A,$A46,'Card Data'!$J:$J,"&lt;&gt;",'Card Data'!$J:$J,"&lt;&gt;Burden",'Card Data'!$I:$I,"&lt;&gt;Hero")</f>
        <v>0</v>
      </c>
      <c r="J46" s="124">
        <f>SUMIFS('Card Data'!$E:$E,'Card Data'!$A:$A,$A46,'Card Data'!$J:$J,"",'Card Data'!$I:$I,"&lt;&gt;Campaign")+SUMIFS('Card Data'!$E:$E,'Card Data'!$A:$A,$A46,'Card Data'!$J:$J,"Burden")-K46</f>
        <v>34</v>
      </c>
      <c r="K46" s="124">
        <f>SUMIFS('Card Data'!$E:$E,'Card Data'!$I:$I,K$2,'Card Data'!$A:$A,$A46,'Card Data'!$K:$K,"&lt;&gt;*Side Quest.*")</f>
        <v>3</v>
      </c>
      <c r="L46" s="124">
        <f>COUNTIFS('Card Data'!$I:$I,L$2,'Card Data'!$A:$A,$A46,'Card Data'!$K:$K,"&lt;&gt;*Side Quest.*")</f>
        <v>0</v>
      </c>
      <c r="M46" s="129"/>
      <c r="N46" s="124">
        <f>COUNTIFS('Card Data'!$I:$I,N$2,'Card Data'!$A:$A,$A46)</f>
        <v>2</v>
      </c>
      <c r="O46" s="124">
        <f>COUNTIFS('Card Data'!$I:$I,O$2,'Card Data'!$A:$A,$A46)</f>
        <v>0</v>
      </c>
      <c r="P46" s="124">
        <f>COUNTIFS('Card Data'!$I:$I,P$2,'Card Data'!$A:$A,$A46)</f>
        <v>0</v>
      </c>
      <c r="Q46" s="124">
        <f>COUNTIFS('Card Data'!$I:$I,Q$2,'Card Data'!$A:$A,$A46)</f>
        <v>0</v>
      </c>
      <c r="R46" s="124">
        <f>COUNTIFS('Card Data'!$I:$I,R$2,'Card Data'!$A:$A,$A46)</f>
        <v>7</v>
      </c>
      <c r="S46" s="124">
        <f>COUNTIFS('Card Data'!$I:$I,S$2,'Card Data'!$A:$A,$A46)</f>
        <v>4</v>
      </c>
      <c r="T46" s="124">
        <f>COUNTIFS('Card Data'!$I:$I,T$2,'Card Data'!$A:$A,$A46)</f>
        <v>3</v>
      </c>
      <c r="U46" s="129"/>
      <c r="V46" s="124">
        <f>COUNTIFS('Card Data'!$J:$J,V$2,'Card Data'!$A:$A,$A46)</f>
        <v>0</v>
      </c>
      <c r="W46" s="124">
        <f>COUNTIFS('Card Data'!$J:$J,W$2,'Card Data'!$A:$A,$A46)</f>
        <v>0</v>
      </c>
      <c r="X46" s="124">
        <f>COUNTIFS('Card Data'!$J:$J,X$2,'Card Data'!$A:$A,$A46)</f>
        <v>1</v>
      </c>
      <c r="Y46" s="124">
        <f>COUNTIFS('Card Data'!$J:$J,Y$2,'Card Data'!$A:$A,$A46)</f>
        <v>1</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8" customFormat="1" x14ac:dyDescent="0.2">
      <c r="A47" s="85" t="s">
        <v>1869</v>
      </c>
      <c r="B47" s="85" t="s">
        <v>5333</v>
      </c>
      <c r="C47" s="86" t="s">
        <v>5745</v>
      </c>
      <c r="D47" s="85"/>
      <c r="E47" s="87" t="s">
        <v>5876</v>
      </c>
      <c r="F47" s="126"/>
      <c r="G47" s="124">
        <f>SUMIF('Card Data'!$A:$A,$A47,'Card Data'!$E:$E)</f>
        <v>29</v>
      </c>
      <c r="H47" s="124">
        <f>COUNTIFS('Card Data'!$I:$I,N$2,'Card Data'!$A:$A,$A47)</f>
        <v>1</v>
      </c>
      <c r="I47" s="124">
        <f>SUMIFS('Card Data'!$E:$E,'Card Data'!$A:$A,$A47,'Card Data'!$J:$J,"&lt;&gt;",'Card Data'!$J:$J,"&lt;&gt;Burden",'Card Data'!$I:$I,"&lt;&gt;Hero")</f>
        <v>0</v>
      </c>
      <c r="J47" s="124">
        <f>SUMIFS('Card Data'!$E:$E,'Card Data'!$A:$A,$A47,'Card Data'!$J:$J,"",'Card Data'!$I:$I,"&lt;&gt;Campaign")+SUMIFS('Card Data'!$E:$E,'Card Data'!$A:$A,$A47,'Card Data'!$J:$J,"Burden")-K47</f>
        <v>26</v>
      </c>
      <c r="K47" s="124">
        <f>SUMIFS('Card Data'!$E:$E,'Card Data'!$I:$I,K$2,'Card Data'!$A:$A,$A47,'Card Data'!$K:$K,"&lt;&gt;*Side Quest.*")</f>
        <v>3</v>
      </c>
      <c r="L47" s="124">
        <f>COUNTIFS('Card Data'!$I:$I,L$2,'Card Data'!$A:$A,$A47,'Card Data'!$K:$K,"&lt;&gt;*Side Quest.*")</f>
        <v>0</v>
      </c>
      <c r="M47" s="129"/>
      <c r="N47" s="124">
        <f>COUNTIFS('Card Data'!$I:$I,N$2,'Card Data'!$A:$A,$A47)</f>
        <v>1</v>
      </c>
      <c r="O47" s="124">
        <f>COUNTIFS('Card Data'!$I:$I,O$2,'Card Data'!$A:$A,$A47)</f>
        <v>0</v>
      </c>
      <c r="P47" s="124">
        <f>COUNTIFS('Card Data'!$I:$I,P$2,'Card Data'!$A:$A,$A47)</f>
        <v>0</v>
      </c>
      <c r="Q47" s="124">
        <f>COUNTIFS('Card Data'!$I:$I,Q$2,'Card Data'!$A:$A,$A47)</f>
        <v>0</v>
      </c>
      <c r="R47" s="124">
        <f>COUNTIFS('Card Data'!$I:$I,R$2,'Card Data'!$A:$A,$A47)</f>
        <v>5</v>
      </c>
      <c r="S47" s="124">
        <f>COUNTIFS('Card Data'!$I:$I,S$2,'Card Data'!$A:$A,$A47)</f>
        <v>2</v>
      </c>
      <c r="T47" s="124">
        <f>COUNTIFS('Card Data'!$I:$I,T$2,'Card Data'!$A:$A,$A47)</f>
        <v>2</v>
      </c>
      <c r="U47" s="129"/>
      <c r="V47" s="124">
        <f>COUNTIFS('Card Data'!$J:$J,V$2,'Card Data'!$A:$A,$A47)</f>
        <v>0</v>
      </c>
      <c r="W47" s="124">
        <f>COUNTIFS('Card Data'!$J:$J,W$2,'Card Data'!$A:$A,$A47)</f>
        <v>1</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1620</v>
      </c>
      <c r="B48" s="85" t="s">
        <v>5328</v>
      </c>
      <c r="C48" s="86" t="s">
        <v>5745</v>
      </c>
      <c r="D48" s="85"/>
      <c r="E48" s="87" t="s">
        <v>5877</v>
      </c>
      <c r="F48" s="126"/>
      <c r="G48" s="124">
        <f>SUMIF('Card Data'!$A:$A,$A48,'Card Data'!$E:$E)</f>
        <v>52</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47</v>
      </c>
      <c r="K48" s="124">
        <f>SUMIFS('Card Data'!$E:$E,'Card Data'!$I:$I,K$2,'Card Data'!$A:$A,$A48,'Card Data'!$K:$K,"&lt;&gt;*Side Quest.*")</f>
        <v>5</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6</v>
      </c>
      <c r="S48" s="124">
        <f>COUNTIFS('Card Data'!$I:$I,S$2,'Card Data'!$A:$A,$A48)</f>
        <v>5</v>
      </c>
      <c r="T48" s="124">
        <f>COUNTIFS('Card Data'!$I:$I,T$2,'Card Data'!$A:$A,$A48)</f>
        <v>5</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874</v>
      </c>
      <c r="B49" s="85" t="s">
        <v>5336</v>
      </c>
      <c r="C49" s="86" t="s">
        <v>5745</v>
      </c>
      <c r="D49" s="85"/>
      <c r="E49" s="87" t="s">
        <v>5698</v>
      </c>
      <c r="F49" s="126"/>
      <c r="G49" s="124">
        <f>SUMIF('Card Data'!$A:$A,$A49,'Card Data'!$E:$E)</f>
        <v>0</v>
      </c>
      <c r="H49" s="124">
        <f>COUNTIFS('Card Data'!$I:$I,N$2,'Card Data'!$A:$A,$A49)</f>
        <v>1</v>
      </c>
      <c r="I49" s="124">
        <f>SUMIFS('Card Data'!$E:$E,'Card Data'!$A:$A,$A49,'Card Data'!$J:$J,"&lt;&gt;",'Card Data'!$J:$J,"&lt;&gt;Burden",'Card Data'!$I:$I,"&lt;&gt;Hero")</f>
        <v>0</v>
      </c>
      <c r="J49" s="124">
        <f>SUMIFS('Card Data'!$E:$E,'Card Data'!$A:$A,$A49,'Card Data'!$J:$J,"",'Card Data'!$I:$I,"&lt;&gt;Campaign")+SUMIFS('Card Data'!$E:$E,'Card Data'!$A:$A,$A49,'Card Data'!$J:$J,"Burden")-K49</f>
        <v>0</v>
      </c>
      <c r="K49" s="124">
        <f>SUMIFS('Card Data'!$E:$E,'Card Data'!$I:$I,K$2,'Card Data'!$A:$A,$A49,'Card Data'!$K:$K,"&lt;&gt;*Side Quest.*")</f>
        <v>0</v>
      </c>
      <c r="L49" s="124">
        <f>COUNTIFS('Card Data'!$I:$I,L$2,'Card Data'!$A:$A,$A49,'Card Data'!$K:$K,"&lt;&gt;*Side Quest.*")</f>
        <v>0</v>
      </c>
      <c r="M49" s="129"/>
      <c r="N49" s="124">
        <f>COUNTIFS('Card Data'!$I:$I,N$2,'Card Data'!$A:$A,$A49)</f>
        <v>1</v>
      </c>
      <c r="O49" s="124">
        <f>COUNTIFS('Card Data'!$I:$I,O$2,'Card Data'!$A:$A,$A49)</f>
        <v>0</v>
      </c>
      <c r="P49" s="124">
        <f>COUNTIFS('Card Data'!$I:$I,P$2,'Card Data'!$A:$A,$A49)</f>
        <v>0</v>
      </c>
      <c r="Q49" s="124">
        <f>COUNTIFS('Card Data'!$I:$I,Q$2,'Card Data'!$A:$A,$A49)</f>
        <v>0</v>
      </c>
      <c r="R49" s="124">
        <f>COUNTIFS('Card Data'!$I:$I,R$2,'Card Data'!$A:$A,$A49)</f>
        <v>0</v>
      </c>
      <c r="S49" s="124">
        <f>COUNTIFS('Card Data'!$I:$I,S$2,'Card Data'!$A:$A,$A49)</f>
        <v>1</v>
      </c>
      <c r="T49" s="124">
        <f>COUNTIFS('Card Data'!$I:$I,T$2,'Card Data'!$A:$A,$A49)</f>
        <v>0</v>
      </c>
      <c r="U49" s="129"/>
      <c r="V49" s="124">
        <f>COUNTIFS('Card Data'!$J:$J,V$2,'Card Data'!$A:$A,$A49)</f>
        <v>1</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1597</v>
      </c>
      <c r="B50" s="85" t="s">
        <v>5327</v>
      </c>
      <c r="C50" s="86" t="s">
        <v>5745</v>
      </c>
      <c r="D50" s="85"/>
      <c r="E50" s="87" t="s">
        <v>5878</v>
      </c>
      <c r="F50" s="126"/>
      <c r="G50" s="124">
        <f>SUMIF('Card Data'!$A:$A,$A50,'Card Data'!$E:$E)</f>
        <v>6</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5</v>
      </c>
      <c r="K50" s="124">
        <f>SUMIFS('Card Data'!$E:$E,'Card Data'!$I:$I,K$2,'Card Data'!$A:$A,$A50,'Card Data'!$K:$K,"&lt;&gt;*Side Quest.*")</f>
        <v>1</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1</v>
      </c>
      <c r="S50" s="124">
        <f>COUNTIFS('Card Data'!$I:$I,S$2,'Card Data'!$A:$A,$A50)</f>
        <v>4</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2148</v>
      </c>
      <c r="B51" s="85" t="s">
        <v>5324</v>
      </c>
      <c r="C51" s="86" t="s">
        <v>5745</v>
      </c>
      <c r="D51" s="85"/>
      <c r="E51" s="87" t="s">
        <v>5879</v>
      </c>
      <c r="F51" s="126"/>
      <c r="G51" s="124">
        <f>SUMIF('Card Data'!$A:$A,$A51,'Card Data'!$E:$E)</f>
        <v>0</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0</v>
      </c>
      <c r="K51" s="124">
        <f>SUMIFS('Card Data'!$E:$E,'Card Data'!$I:$I,K$2,'Card Data'!$A:$A,$A51,'Card Data'!$K:$K,"&lt;&gt;*Side Quest.*")</f>
        <v>0</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2</v>
      </c>
      <c r="S51" s="124">
        <f>COUNTIFS('Card Data'!$I:$I,S$2,'Card Data'!$A:$A,$A51)</f>
        <v>0</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1899</v>
      </c>
      <c r="B52" s="85" t="s">
        <v>5323</v>
      </c>
      <c r="C52" s="86" t="s">
        <v>5745</v>
      </c>
      <c r="D52" s="85"/>
      <c r="E52" s="87" t="s">
        <v>5880</v>
      </c>
      <c r="F52" s="126"/>
      <c r="G52" s="124">
        <f>SUMIF('Card Data'!$A:$A,$A52,'Card Data'!$E:$E)</f>
        <v>144</v>
      </c>
      <c r="H52" s="124">
        <f>COUNTIFS('Card Data'!$I:$I,N$2,'Card Data'!$A:$A,$A52)</f>
        <v>6</v>
      </c>
      <c r="I52" s="124">
        <f>SUMIFS('Card Data'!$E:$E,'Card Data'!$A:$A,$A52,'Card Data'!$J:$J,"&lt;&gt;",'Card Data'!$J:$J,"&lt;&gt;Burden",'Card Data'!$I:$I,"&lt;&gt;Hero")</f>
        <v>0</v>
      </c>
      <c r="J52" s="124">
        <f>SUMIFS('Card Data'!$E:$E,'Card Data'!$A:$A,$A52,'Card Data'!$J:$J,"",'Card Data'!$I:$I,"&lt;&gt;Campaign")+SUMIFS('Card Data'!$E:$E,'Card Data'!$A:$A,$A52,'Card Data'!$J:$J,"Burden")-K52</f>
        <v>121</v>
      </c>
      <c r="K52" s="124">
        <f>SUMIFS('Card Data'!$E:$E,'Card Data'!$I:$I,K$2,'Card Data'!$A:$A,$A52,'Card Data'!$K:$K,"&lt;&gt;*Side Quest.*")</f>
        <v>15</v>
      </c>
      <c r="L52" s="124">
        <f>COUNTIFS('Card Data'!$I:$I,L$2,'Card Data'!$A:$A,$A52,'Card Data'!$K:$K,"&lt;&gt;*Side Quest.*")</f>
        <v>2</v>
      </c>
      <c r="M52" s="129"/>
      <c r="N52" s="124">
        <f>COUNTIFS('Card Data'!$I:$I,N$2,'Card Data'!$A:$A,$A52)</f>
        <v>6</v>
      </c>
      <c r="O52" s="124">
        <f>COUNTIFS('Card Data'!$I:$I,O$2,'Card Data'!$A:$A,$A52)</f>
        <v>0</v>
      </c>
      <c r="P52" s="124">
        <f>COUNTIFS('Card Data'!$I:$I,P$2,'Card Data'!$A:$A,$A52)</f>
        <v>0</v>
      </c>
      <c r="Q52" s="124">
        <f>COUNTIFS('Card Data'!$I:$I,Q$2,'Card Data'!$A:$A,$A52)</f>
        <v>0</v>
      </c>
      <c r="R52" s="124">
        <f>COUNTIFS('Card Data'!$I:$I,R$2,'Card Data'!$A:$A,$A52)</f>
        <v>24</v>
      </c>
      <c r="S52" s="124">
        <f>COUNTIFS('Card Data'!$I:$I,S$2,'Card Data'!$A:$A,$A52)</f>
        <v>15</v>
      </c>
      <c r="T52" s="124">
        <f>COUNTIFS('Card Data'!$I:$I,T$2,'Card Data'!$A:$A,$A52)</f>
        <v>14</v>
      </c>
      <c r="U52" s="129"/>
      <c r="V52" s="124">
        <f>COUNTIFS('Card Data'!$J:$J,V$2,'Card Data'!$A:$A,$A52)</f>
        <v>1</v>
      </c>
      <c r="W52" s="124">
        <f>COUNTIFS('Card Data'!$J:$J,W$2,'Card Data'!$A:$A,$A52)</f>
        <v>2</v>
      </c>
      <c r="X52" s="124">
        <f>COUNTIFS('Card Data'!$J:$J,X$2,'Card Data'!$A:$A,$A52)</f>
        <v>1</v>
      </c>
      <c r="Y52" s="124">
        <f>COUNTIFS('Card Data'!$J:$J,Y$2,'Card Data'!$A:$A,$A52)</f>
        <v>2</v>
      </c>
      <c r="Z52" s="124">
        <f>COUNTIFS('Card Data'!$J:$J,Z$2,'Card Data'!$A:$A,$A52)</f>
        <v>0</v>
      </c>
      <c r="AA52" s="129"/>
      <c r="AB52" s="124">
        <f>IF(COUNTIFS('Card Data'!$K:$K,"*"&amp;AB$2&amp;".*",'Card Data'!$A:$A,$A52)=0,"",IF(COUNTIFS('Card Data'!$K:$K,"*"&amp;AB$2&amp;".*",'Card Data'!$A:$A,$A52,'Card Data'!$I:$I,"Hero")=0,COUNTIFS('Card Data'!$K:$K,"*"&amp;AB$2&amp;".*",'Card Data'!$A:$A,$A52),COUNTIFS('Card Data'!$K:$K,"*"&amp;AB$2&amp;".*",'Card Data'!$A:$A,$A52)&amp;" ("&amp;COUNTIFS('Card Data'!$K:$K,"*"&amp;AB$2&amp;".*",'Card Data'!$A:$A,$A52,'Card Data'!$I:$I,"Hero")&amp;")"))</f>
        <v>1</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4">
        <f>IF(COUNTIFS('Card Data'!$K:$K,"*"&amp;AJ$2&amp;".*",'Card Data'!$A:$A,$A52)=0,"",IF(COUNTIFS('Card Data'!$K:$K,"*"&amp;AJ$2&amp;".*",'Card Data'!$A:$A,$A52,'Card Data'!$I:$I,"Hero")=0,COUNTIFS('Card Data'!$K:$K,"*"&amp;AJ$2&amp;".*",'Card Data'!$A:$A,$A52),COUNTIFS('Card Data'!$K:$K,"*"&amp;AJ$2&amp;".*",'Card Data'!$A:$A,$A52)&amp;" ("&amp;COUNTIFS('Card Data'!$K:$K,"*"&amp;AJ$2&amp;".*",'Card Data'!$A:$A,$A52,'Card Data'!$I:$I,"Hero")&amp;")"))</f>
        <v>1</v>
      </c>
      <c r="AK52" s="124">
        <f>IF(COUNTIFS('Card Data'!$K:$K,"*"&amp;AK$2&amp;".*",'Card Data'!$A:$A,$A52)=0,"",IF(COUNTIFS('Card Data'!$K:$K,"*"&amp;AK$2&amp;".*",'Card Data'!$A:$A,$A52,'Card Data'!$I:$I,"Hero")=0,COUNTIFS('Card Data'!$K:$K,"*"&amp;AK$2&amp;".*",'Card Data'!$A:$A,$A52),COUNTIFS('Card Data'!$K:$K,"*"&amp;AK$2&amp;".*",'Card Data'!$A:$A,$A52)&amp;" ("&amp;COUNTIFS('Card Data'!$K:$K,"*"&amp;AK$2&amp;".*",'Card Data'!$A:$A,$A52,'Card Data'!$I:$I,"Hero")&amp;")"))</f>
        <v>2</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1668</v>
      </c>
      <c r="B53" s="85" t="s">
        <v>5326</v>
      </c>
      <c r="C53" s="86" t="s">
        <v>5745</v>
      </c>
      <c r="D53" s="85"/>
      <c r="E53" s="87" t="s">
        <v>5881</v>
      </c>
      <c r="F53" s="126"/>
      <c r="G53" s="124">
        <f>SUMIF('Card Data'!$A:$A,$A53,'Card Data'!$E:$E)</f>
        <v>22</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0</v>
      </c>
      <c r="K53" s="124">
        <f>SUMIFS('Card Data'!$E:$E,'Card Data'!$I:$I,K$2,'Card Data'!$A:$A,$A53,'Card Data'!$K:$K,"&lt;&gt;*Side Quest.*")</f>
        <v>22</v>
      </c>
      <c r="L53" s="124">
        <f>COUNTIFS('Card Data'!$I:$I,L$2,'Card Data'!$A:$A,$A53,'Card Data'!$K:$K,"&lt;&gt;*Side Quest.*")</f>
        <v>0</v>
      </c>
      <c r="M53" s="129"/>
      <c r="N53" s="124">
        <f>COUNTIFS('Card Data'!$I:$I,N$2,'Card Data'!$A:$A,$A53)</f>
        <v>0</v>
      </c>
      <c r="O53" s="124">
        <f>COUNTIFS('Card Data'!$I:$I,O$2,'Card Data'!$A:$A,$A53)</f>
        <v>0</v>
      </c>
      <c r="P53" s="124">
        <f>COUNTIFS('Card Data'!$I:$I,P$2,'Card Data'!$A:$A,$A53)</f>
        <v>0</v>
      </c>
      <c r="Q53" s="124">
        <f>COUNTIFS('Card Data'!$I:$I,Q$2,'Card Data'!$A:$A,$A53)</f>
        <v>0</v>
      </c>
      <c r="R53" s="124">
        <f>COUNTIFS('Card Data'!$I:$I,R$2,'Card Data'!$A:$A,$A53)</f>
        <v>0</v>
      </c>
      <c r="S53" s="124">
        <f>COUNTIFS('Card Data'!$I:$I,S$2,'Card Data'!$A:$A,$A53)</f>
        <v>0</v>
      </c>
      <c r="T53" s="124">
        <f>COUNTIFS('Card Data'!$I:$I,T$2,'Card Data'!$A:$A,$A53)</f>
        <v>0</v>
      </c>
      <c r="U53" s="129"/>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29"/>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8" customFormat="1" x14ac:dyDescent="0.2">
      <c r="A54" s="85" t="s">
        <v>2188</v>
      </c>
      <c r="B54" s="85" t="s">
        <v>5335</v>
      </c>
      <c r="C54" s="86" t="s">
        <v>5745</v>
      </c>
      <c r="D54" s="85"/>
      <c r="E54" s="87" t="s">
        <v>5882</v>
      </c>
      <c r="F54" s="126"/>
      <c r="G54" s="124">
        <f>SUMIF('Card Data'!$A:$A,$A54,'Card Data'!$E:$E)</f>
        <v>13</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10</v>
      </c>
      <c r="K54" s="124">
        <f>SUMIFS('Card Data'!$E:$E,'Card Data'!$I:$I,K$2,'Card Data'!$A:$A,$A54,'Card Data'!$K:$K,"&lt;&gt;*Side Quest.*")</f>
        <v>3</v>
      </c>
      <c r="L54" s="124">
        <f>COUNTIFS('Card Data'!$I:$I,L$2,'Card Data'!$A:$A,$A54,'Card Data'!$K:$K,"&lt;&gt;*Side Quest.*")</f>
        <v>0</v>
      </c>
      <c r="M54" s="129"/>
      <c r="N54" s="124">
        <f>COUNTIFS('Card Data'!$I:$I,N$2,'Card Data'!$A:$A,$A54)</f>
        <v>0</v>
      </c>
      <c r="O54" s="124">
        <f>COUNTIFS('Card Data'!$I:$I,O$2,'Card Data'!$A:$A,$A54)</f>
        <v>0</v>
      </c>
      <c r="P54" s="124">
        <f>COUNTIFS('Card Data'!$I:$I,P$2,'Card Data'!$A:$A,$A54)</f>
        <v>0</v>
      </c>
      <c r="Q54" s="124">
        <f>COUNTIFS('Card Data'!$I:$I,Q$2,'Card Data'!$A:$A,$A54)</f>
        <v>0</v>
      </c>
      <c r="R54" s="124">
        <f>COUNTIFS('Card Data'!$I:$I,R$2,'Card Data'!$A:$A,$A54)</f>
        <v>1</v>
      </c>
      <c r="S54" s="124">
        <f>COUNTIFS('Card Data'!$I:$I,S$2,'Card Data'!$A:$A,$A54)</f>
        <v>0</v>
      </c>
      <c r="T54" s="124">
        <f>COUNTIFS('Card Data'!$I:$I,T$2,'Card Data'!$A:$A,$A54)</f>
        <v>0</v>
      </c>
      <c r="U54" s="129"/>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29"/>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8" customFormat="1" x14ac:dyDescent="0.2">
      <c r="A55" s="85" t="s">
        <v>897</v>
      </c>
      <c r="B55" s="85" t="s">
        <v>5325</v>
      </c>
      <c r="C55" s="86" t="s">
        <v>5745</v>
      </c>
      <c r="D55" s="85"/>
      <c r="E55" s="87" t="s">
        <v>5883</v>
      </c>
      <c r="F55" s="126"/>
      <c r="G55" s="124">
        <f>SUMIF('Card Data'!$A:$A,$A55,'Card Data'!$E:$E)</f>
        <v>5</v>
      </c>
      <c r="H55" s="124">
        <f>COUNTIFS('Card Data'!$I:$I,N$2,'Card Data'!$A:$A,$A55)</f>
        <v>0</v>
      </c>
      <c r="I55" s="124">
        <f>SUMIFS('Card Data'!$E:$E,'Card Data'!$A:$A,$A55,'Card Data'!$J:$J,"&lt;&gt;",'Card Data'!$J:$J,"&lt;&gt;Burden",'Card Data'!$I:$I,"&lt;&gt;Hero")</f>
        <v>0</v>
      </c>
      <c r="J55" s="124">
        <f>SUMIFS('Card Data'!$E:$E,'Card Data'!$A:$A,$A55,'Card Data'!$J:$J,"",'Card Data'!$I:$I,"&lt;&gt;Campaign")+SUMIFS('Card Data'!$E:$E,'Card Data'!$A:$A,$A55,'Card Data'!$J:$J,"Burden")-K55</f>
        <v>2</v>
      </c>
      <c r="K55" s="124">
        <f>SUMIFS('Card Data'!$E:$E,'Card Data'!$I:$I,K$2,'Card Data'!$A:$A,$A55,'Card Data'!$K:$K,"&lt;&gt;*Side Quest.*")</f>
        <v>3</v>
      </c>
      <c r="L55" s="124">
        <f>COUNTIFS('Card Data'!$I:$I,L$2,'Card Data'!$A:$A,$A55,'Card Data'!$K:$K,"&lt;&gt;*Side Quest.*")</f>
        <v>0</v>
      </c>
      <c r="M55" s="129"/>
      <c r="N55" s="124">
        <f>COUNTIFS('Card Data'!$I:$I,N$2,'Card Data'!$A:$A,$A55)</f>
        <v>0</v>
      </c>
      <c r="O55" s="124">
        <f>COUNTIFS('Card Data'!$I:$I,O$2,'Card Data'!$A:$A,$A55)</f>
        <v>0</v>
      </c>
      <c r="P55" s="124">
        <f>COUNTIFS('Card Data'!$I:$I,P$2,'Card Data'!$A:$A,$A55)</f>
        <v>0</v>
      </c>
      <c r="Q55" s="124">
        <f>COUNTIFS('Card Data'!$I:$I,Q$2,'Card Data'!$A:$A,$A55)</f>
        <v>0</v>
      </c>
      <c r="R55" s="124">
        <f>COUNTIFS('Card Data'!$I:$I,R$2,'Card Data'!$A:$A,$A55)</f>
        <v>0</v>
      </c>
      <c r="S55" s="124">
        <f>COUNTIFS('Card Data'!$I:$I,S$2,'Card Data'!$A:$A,$A55)</f>
        <v>1</v>
      </c>
      <c r="T55" s="124">
        <f>COUNTIFS('Card Data'!$I:$I,T$2,'Card Data'!$A:$A,$A55)</f>
        <v>0</v>
      </c>
      <c r="U55" s="129"/>
      <c r="V55" s="124">
        <f>COUNTIFS('Card Data'!$J:$J,V$2,'Card Data'!$A:$A,$A55)</f>
        <v>0</v>
      </c>
      <c r="W55" s="124">
        <f>COUNTIFS('Card Data'!$J:$J,W$2,'Card Data'!$A:$A,$A55)</f>
        <v>0</v>
      </c>
      <c r="X55" s="124">
        <f>COUNTIFS('Card Data'!$J:$J,X$2,'Card Data'!$A:$A,$A55)</f>
        <v>0</v>
      </c>
      <c r="Y55" s="124">
        <f>COUNTIFS('Card Data'!$J:$J,Y$2,'Card Data'!$A:$A,$A55)</f>
        <v>0</v>
      </c>
      <c r="Z55" s="124">
        <f>COUNTIFS('Card Data'!$J:$J,Z$2,'Card Data'!$A:$A,$A55)</f>
        <v>0</v>
      </c>
      <c r="AA55" s="129"/>
      <c r="AB55" s="124"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4"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4"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4"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4"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4"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4"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4"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4"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4"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4"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8" customFormat="1" x14ac:dyDescent="0.2">
      <c r="A56" s="85" t="s">
        <v>2183</v>
      </c>
      <c r="B56" s="85" t="s">
        <v>5332</v>
      </c>
      <c r="C56" s="86" t="s">
        <v>5745</v>
      </c>
      <c r="D56" s="85"/>
      <c r="E56" s="87" t="s">
        <v>5884</v>
      </c>
      <c r="F56" s="126"/>
      <c r="G56" s="124">
        <f>SUMIF('Card Data'!$A:$A,$A56,'Card Data'!$E:$E)</f>
        <v>1</v>
      </c>
      <c r="H56" s="124">
        <f>COUNTIFS('Card Data'!$I:$I,N$2,'Card Data'!$A:$A,$A56)</f>
        <v>0</v>
      </c>
      <c r="I56" s="124">
        <f>SUMIFS('Card Data'!$E:$E,'Card Data'!$A:$A,$A56,'Card Data'!$J:$J,"&lt;&gt;",'Card Data'!$J:$J,"&lt;&gt;Burden",'Card Data'!$I:$I,"&lt;&gt;Hero")</f>
        <v>0</v>
      </c>
      <c r="J56" s="124">
        <f>SUMIFS('Card Data'!$E:$E,'Card Data'!$A:$A,$A56,'Card Data'!$J:$J,"",'Card Data'!$I:$I,"&lt;&gt;Campaign")+SUMIFS('Card Data'!$E:$E,'Card Data'!$A:$A,$A56,'Card Data'!$J:$J,"Burden")-K56</f>
        <v>0</v>
      </c>
      <c r="K56" s="124">
        <f>SUMIFS('Card Data'!$E:$E,'Card Data'!$I:$I,K$2,'Card Data'!$A:$A,$A56,'Card Data'!$K:$K,"&lt;&gt;*Side Quest.*")</f>
        <v>1</v>
      </c>
      <c r="L56" s="124">
        <f>COUNTIFS('Card Data'!$I:$I,L$2,'Card Data'!$A:$A,$A56,'Card Data'!$K:$K,"&lt;&gt;*Side Quest.*")</f>
        <v>0</v>
      </c>
      <c r="M56" s="129"/>
      <c r="N56" s="124">
        <f>COUNTIFS('Card Data'!$I:$I,N$2,'Card Data'!$A:$A,$A56)</f>
        <v>0</v>
      </c>
      <c r="O56" s="124">
        <f>COUNTIFS('Card Data'!$I:$I,O$2,'Card Data'!$A:$A,$A56)</f>
        <v>0</v>
      </c>
      <c r="P56" s="124">
        <f>COUNTIFS('Card Data'!$I:$I,P$2,'Card Data'!$A:$A,$A56)</f>
        <v>0</v>
      </c>
      <c r="Q56" s="124">
        <f>COUNTIFS('Card Data'!$I:$I,Q$2,'Card Data'!$A:$A,$A56)</f>
        <v>0</v>
      </c>
      <c r="R56" s="124">
        <f>COUNTIFS('Card Data'!$I:$I,R$2,'Card Data'!$A:$A,$A56)</f>
        <v>0</v>
      </c>
      <c r="S56" s="124">
        <f>COUNTIFS('Card Data'!$I:$I,S$2,'Card Data'!$A:$A,$A56)</f>
        <v>0</v>
      </c>
      <c r="T56" s="124">
        <f>COUNTIFS('Card Data'!$I:$I,T$2,'Card Data'!$A:$A,$A56)</f>
        <v>0</v>
      </c>
      <c r="U56" s="129"/>
      <c r="V56" s="124">
        <f>COUNTIFS('Card Data'!$J:$J,V$2,'Card Data'!$A:$A,$A56)</f>
        <v>0</v>
      </c>
      <c r="W56" s="124">
        <f>COUNTIFS('Card Data'!$J:$J,W$2,'Card Data'!$A:$A,$A56)</f>
        <v>0</v>
      </c>
      <c r="X56" s="124">
        <f>COUNTIFS('Card Data'!$J:$J,X$2,'Card Data'!$A:$A,$A56)</f>
        <v>0</v>
      </c>
      <c r="Y56" s="124">
        <f>COUNTIFS('Card Data'!$J:$J,Y$2,'Card Data'!$A:$A,$A56)</f>
        <v>0</v>
      </c>
      <c r="Z56" s="124">
        <f>COUNTIFS('Card Data'!$J:$J,Z$2,'Card Data'!$A:$A,$A56)</f>
        <v>0</v>
      </c>
      <c r="AA56" s="129"/>
      <c r="AB56" s="124"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4"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4"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4"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4"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4"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4"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4"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4"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4"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4"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8" customFormat="1" x14ac:dyDescent="0.2">
      <c r="A57" s="85" t="s">
        <v>1733</v>
      </c>
      <c r="B57" s="85" t="s">
        <v>5334</v>
      </c>
      <c r="C57" s="86" t="s">
        <v>5745</v>
      </c>
      <c r="D57" s="85"/>
      <c r="E57" s="87" t="s">
        <v>5885</v>
      </c>
      <c r="F57" s="126"/>
      <c r="G57" s="124">
        <f>SUMIF('Card Data'!$A:$A,$A57,'Card Data'!$E:$E)</f>
        <v>101</v>
      </c>
      <c r="H57" s="124">
        <f>COUNTIFS('Card Data'!$I:$I,N$2,'Card Data'!$A:$A,$A57)</f>
        <v>0</v>
      </c>
      <c r="I57" s="124">
        <f>SUMIFS('Card Data'!$E:$E,'Card Data'!$A:$A,$A57,'Card Data'!$J:$J,"&lt;&gt;",'Card Data'!$J:$J,"&lt;&gt;Burden",'Card Data'!$I:$I,"&lt;&gt;Hero")</f>
        <v>0</v>
      </c>
      <c r="J57" s="124">
        <f>SUMIFS('Card Data'!$E:$E,'Card Data'!$A:$A,$A57,'Card Data'!$J:$J,"",'Card Data'!$I:$I,"&lt;&gt;Campaign")+SUMIFS('Card Data'!$E:$E,'Card Data'!$A:$A,$A57,'Card Data'!$J:$J,"Burden")-K57</f>
        <v>99</v>
      </c>
      <c r="K57" s="124">
        <f>SUMIFS('Card Data'!$E:$E,'Card Data'!$I:$I,K$2,'Card Data'!$A:$A,$A57,'Card Data'!$K:$K,"&lt;&gt;*Side Quest.*")</f>
        <v>1</v>
      </c>
      <c r="L57" s="124">
        <f>COUNTIFS('Card Data'!$I:$I,L$2,'Card Data'!$A:$A,$A57,'Card Data'!$K:$K,"&lt;&gt;*Side Quest.*")</f>
        <v>1</v>
      </c>
      <c r="M57" s="129"/>
      <c r="N57" s="124">
        <f>COUNTIFS('Card Data'!$I:$I,N$2,'Card Data'!$A:$A,$A57)</f>
        <v>0</v>
      </c>
      <c r="O57" s="124">
        <f>COUNTIFS('Card Data'!$I:$I,O$2,'Card Data'!$A:$A,$A57)</f>
        <v>0</v>
      </c>
      <c r="P57" s="124">
        <f>COUNTIFS('Card Data'!$I:$I,P$2,'Card Data'!$A:$A,$A57)</f>
        <v>0</v>
      </c>
      <c r="Q57" s="124">
        <f>COUNTIFS('Card Data'!$I:$I,Q$2,'Card Data'!$A:$A,$A57)</f>
        <v>0</v>
      </c>
      <c r="R57" s="124">
        <f>COUNTIFS('Card Data'!$I:$I,R$2,'Card Data'!$A:$A,$A57)</f>
        <v>12</v>
      </c>
      <c r="S57" s="124">
        <f>COUNTIFS('Card Data'!$I:$I,S$2,'Card Data'!$A:$A,$A57)</f>
        <v>15</v>
      </c>
      <c r="T57" s="124">
        <f>COUNTIFS('Card Data'!$I:$I,T$2,'Card Data'!$A:$A,$A57)</f>
        <v>7</v>
      </c>
      <c r="U57" s="129"/>
      <c r="V57" s="124">
        <f>COUNTIFS('Card Data'!$J:$J,V$2,'Card Data'!$A:$A,$A57)</f>
        <v>0</v>
      </c>
      <c r="W57" s="124">
        <f>COUNTIFS('Card Data'!$J:$J,W$2,'Card Data'!$A:$A,$A57)</f>
        <v>0</v>
      </c>
      <c r="X57" s="124">
        <f>COUNTIFS('Card Data'!$J:$J,X$2,'Card Data'!$A:$A,$A57)</f>
        <v>0</v>
      </c>
      <c r="Y57" s="124">
        <f>COUNTIFS('Card Data'!$J:$J,Y$2,'Card Data'!$A:$A,$A57)</f>
        <v>0</v>
      </c>
      <c r="Z57" s="124">
        <f>COUNTIFS('Card Data'!$J:$J,Z$2,'Card Data'!$A:$A,$A57)</f>
        <v>0</v>
      </c>
      <c r="AA57" s="129"/>
      <c r="AB57" s="124"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4"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4"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4"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4"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4"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4"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4"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4"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4"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4"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8" customFormat="1" x14ac:dyDescent="0.2">
      <c r="A58" s="85" t="s">
        <v>916</v>
      </c>
      <c r="B58" s="85" t="s">
        <v>5329</v>
      </c>
      <c r="C58" s="86" t="s">
        <v>8213</v>
      </c>
      <c r="D58" s="85"/>
      <c r="E58" s="87" t="s">
        <v>5886</v>
      </c>
      <c r="F58" s="126"/>
      <c r="G58" s="124">
        <f>SUMIF('Card Data'!$A:$A,$A58,'Card Data'!$E:$E)</f>
        <v>432</v>
      </c>
      <c r="H58" s="124">
        <f>COUNTIFS('Card Data'!$I:$I,N$2,'Card Data'!$A:$A,$A58)</f>
        <v>15</v>
      </c>
      <c r="I58" s="124">
        <f>SUMIFS('Card Data'!$E:$E,'Card Data'!$A:$A,$A58,'Card Data'!$J:$J,"&lt;&gt;",'Card Data'!$J:$J,"&lt;&gt;Burden",'Card Data'!$I:$I,"&lt;&gt;Hero")</f>
        <v>255</v>
      </c>
      <c r="J58" s="124">
        <f>SUMIFS('Card Data'!$E:$E,'Card Data'!$A:$A,$A58,'Card Data'!$J:$J,"",'Card Data'!$I:$I,"&lt;&gt;Campaign")+SUMIFS('Card Data'!$E:$E,'Card Data'!$A:$A,$A58,'Card Data'!$J:$J,"Burden")-K58</f>
        <v>149</v>
      </c>
      <c r="K58" s="124">
        <f>SUMIFS('Card Data'!$E:$E,'Card Data'!$I:$I,K$2,'Card Data'!$A:$A,$A58,'Card Data'!$K:$K,"&lt;&gt;*Side Quest.*")</f>
        <v>10</v>
      </c>
      <c r="L58" s="124">
        <f>COUNTIFS('Card Data'!$I:$I,L$2,'Card Data'!$A:$A,$A58,'Card Data'!$K:$K,"&lt;&gt;*Side Quest.*")</f>
        <v>3</v>
      </c>
      <c r="M58" s="129"/>
      <c r="N58" s="124">
        <f>COUNTIFS('Card Data'!$I:$I,N$2,'Card Data'!$A:$A,$A58)</f>
        <v>15</v>
      </c>
      <c r="O58" s="124">
        <f>COUNTIFS('Card Data'!$I:$I,O$2,'Card Data'!$A:$A,$A58)</f>
        <v>29</v>
      </c>
      <c r="P58" s="124">
        <f>COUNTIFS('Card Data'!$I:$I,P$2,'Card Data'!$A:$A,$A58)</f>
        <v>25</v>
      </c>
      <c r="Q58" s="124">
        <f>COUNTIFS('Card Data'!$I:$I,Q$2,'Card Data'!$A:$A,$A58)</f>
        <v>33</v>
      </c>
      <c r="R58" s="124">
        <f>COUNTIFS('Card Data'!$I:$I,R$2,'Card Data'!$A:$A,$A58)</f>
        <v>22</v>
      </c>
      <c r="S58" s="124">
        <f>COUNTIFS('Card Data'!$I:$I,S$2,'Card Data'!$A:$A,$A58)</f>
        <v>27</v>
      </c>
      <c r="T58" s="124">
        <f>COUNTIFS('Card Data'!$I:$I,T$2,'Card Data'!$A:$A,$A58)</f>
        <v>18</v>
      </c>
      <c r="U58" s="129"/>
      <c r="V58" s="124">
        <f>COUNTIFS('Card Data'!$J:$J,V$2,'Card Data'!$A:$A,$A58)</f>
        <v>18</v>
      </c>
      <c r="W58" s="124">
        <f>COUNTIFS('Card Data'!$J:$J,W$2,'Card Data'!$A:$A,$A58)</f>
        <v>19</v>
      </c>
      <c r="X58" s="124">
        <f>COUNTIFS('Card Data'!$J:$J,X$2,'Card Data'!$A:$A,$A58)</f>
        <v>19</v>
      </c>
      <c r="Y58" s="124">
        <f>COUNTIFS('Card Data'!$J:$J,Y$2,'Card Data'!$A:$A,$A58)</f>
        <v>18</v>
      </c>
      <c r="Z58" s="124">
        <f>COUNTIFS('Card Data'!$J:$J,Z$2,'Card Data'!$A:$A,$A58)</f>
        <v>3</v>
      </c>
      <c r="AA58" s="129"/>
      <c r="AB58" s="124">
        <f>IF(COUNTIFS('Card Data'!$K:$K,"*"&amp;AB$2&amp;".*",'Card Data'!$A:$A,$A58)=0,"",IF(COUNTIFS('Card Data'!$K:$K,"*"&amp;AB$2&amp;".*",'Card Data'!$A:$A,$A58,'Card Data'!$I:$I,"Hero")=0,COUNTIFS('Card Data'!$K:$K,"*"&amp;AB$2&amp;".*",'Card Data'!$A:$A,$A58),COUNTIFS('Card Data'!$K:$K,"*"&amp;AB$2&amp;".*",'Card Data'!$A:$A,$A58)&amp;" ("&amp;COUNTIFS('Card Data'!$K:$K,"*"&amp;AB$2&amp;".*",'Card Data'!$A:$A,$A58,'Card Data'!$I:$I,"Hero")&amp;")"))</f>
        <v>3</v>
      </c>
      <c r="AC58" s="124"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4"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4"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4"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4"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4"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4">
        <f>IF(COUNTIFS('Card Data'!$K:$K,"*"&amp;AI$2&amp;".*",'Card Data'!$A:$A,$A58)=0,"",IF(COUNTIFS('Card Data'!$K:$K,"*"&amp;AI$2&amp;".*",'Card Data'!$A:$A,$A58,'Card Data'!$I:$I,"Hero")=0,COUNTIFS('Card Data'!$K:$K,"*"&amp;AI$2&amp;".*",'Card Data'!$A:$A,$A58),COUNTIFS('Card Data'!$K:$K,"*"&amp;AI$2&amp;".*",'Card Data'!$A:$A,$A58)&amp;" ("&amp;COUNTIFS('Card Data'!$K:$K,"*"&amp;AI$2&amp;".*",'Card Data'!$A:$A,$A58,'Card Data'!$I:$I,"Hero")&amp;")"))</f>
        <v>1</v>
      </c>
      <c r="AJ58" s="124">
        <f>IF(COUNTIFS('Card Data'!$K:$K,"*"&amp;AJ$2&amp;".*",'Card Data'!$A:$A,$A58)=0,"",IF(COUNTIFS('Card Data'!$K:$K,"*"&amp;AJ$2&amp;".*",'Card Data'!$A:$A,$A58,'Card Data'!$I:$I,"Hero")=0,COUNTIFS('Card Data'!$K:$K,"*"&amp;AJ$2&amp;".*",'Card Data'!$A:$A,$A58),COUNTIFS('Card Data'!$K:$K,"*"&amp;AJ$2&amp;".*",'Card Data'!$A:$A,$A58)&amp;" ("&amp;COUNTIFS('Card Data'!$K:$K,"*"&amp;AJ$2&amp;".*",'Card Data'!$A:$A,$A58,'Card Data'!$I:$I,"Hero")&amp;")"))</f>
        <v>1</v>
      </c>
      <c r="AK58" s="124"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4">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8" customFormat="1" x14ac:dyDescent="0.2">
      <c r="A59" s="85" t="s">
        <v>7985</v>
      </c>
      <c r="B59" s="85" t="s">
        <v>7987</v>
      </c>
      <c r="C59" s="86" t="s">
        <v>8065</v>
      </c>
      <c r="D59" s="85"/>
      <c r="E59" s="87" t="s">
        <v>8066</v>
      </c>
      <c r="F59" s="126"/>
      <c r="G59" s="124">
        <f>SUMIF('Card Data'!$A:$A,$A59,'Card Data'!$E:$E)</f>
        <v>44</v>
      </c>
      <c r="H59" s="124">
        <f>COUNTIFS('Card Data'!$I:$I,N$2,'Card Data'!$A:$A,$A59)</f>
        <v>0</v>
      </c>
      <c r="I59" s="124">
        <f>SUMIFS('Card Data'!$E:$E,'Card Data'!$A:$A,$A59,'Card Data'!$J:$J,"&lt;&gt;",'Card Data'!$J:$J,"&lt;&gt;Burden",'Card Data'!$I:$I,"&lt;&gt;Hero")</f>
        <v>0</v>
      </c>
      <c r="J59" s="124">
        <f>SUMIFS('Card Data'!$E:$E,'Card Data'!$A:$A,$A59,'Card Data'!$J:$J,"",'Card Data'!$I:$I,"&lt;&gt;Campaign")+SUMIFS('Card Data'!$E:$E,'Card Data'!$A:$A,$A59,'Card Data'!$J:$J,"Burden")-K59</f>
        <v>40</v>
      </c>
      <c r="K59" s="124">
        <f>SUMIFS('Card Data'!$E:$E,'Card Data'!$I:$I,K$2,'Card Data'!$A:$A,$A59,'Card Data'!$K:$K,"&lt;&gt;*Side Quest.*")</f>
        <v>3</v>
      </c>
      <c r="L59" s="124">
        <f>COUNTIFS('Card Data'!$I:$I,L$2,'Card Data'!$A:$A,$A59,'Card Data'!$K:$K,"&lt;&gt;*Side Quest.*")</f>
        <v>1</v>
      </c>
      <c r="M59" s="131"/>
      <c r="N59" s="124">
        <f>COUNTIFS('Card Data'!$I:$I,N$2,'Card Data'!$A:$A,$A59)</f>
        <v>0</v>
      </c>
      <c r="O59" s="124">
        <f>COUNTIFS('Card Data'!$I:$I,O$2,'Card Data'!$A:$A,$A59)</f>
        <v>0</v>
      </c>
      <c r="P59" s="124">
        <f>COUNTIFS('Card Data'!$I:$I,P$2,'Card Data'!$A:$A,$A59)</f>
        <v>0</v>
      </c>
      <c r="Q59" s="124">
        <f>COUNTIFS('Card Data'!$I:$I,Q$2,'Card Data'!$A:$A,$A59)</f>
        <v>0</v>
      </c>
      <c r="R59" s="124">
        <f>COUNTIFS('Card Data'!$I:$I,R$2,'Card Data'!$A:$A,$A59)</f>
        <v>7</v>
      </c>
      <c r="S59" s="124">
        <f>COUNTIFS('Card Data'!$I:$I,S$2,'Card Data'!$A:$A,$A59)</f>
        <v>7</v>
      </c>
      <c r="T59" s="124">
        <f>COUNTIFS('Card Data'!$I:$I,T$2,'Card Data'!$A:$A,$A59)</f>
        <v>3</v>
      </c>
      <c r="U59" s="131"/>
      <c r="V59" s="124">
        <f>COUNTIFS('Card Data'!$J:$J,V$2,'Card Data'!$A:$A,$A59)</f>
        <v>0</v>
      </c>
      <c r="W59" s="124">
        <f>COUNTIFS('Card Data'!$J:$J,W$2,'Card Data'!$A:$A,$A59)</f>
        <v>0</v>
      </c>
      <c r="X59" s="124">
        <f>COUNTIFS('Card Data'!$J:$J,X$2,'Card Data'!$A:$A,$A59)</f>
        <v>0</v>
      </c>
      <c r="Y59" s="124">
        <f>COUNTIFS('Card Data'!$J:$J,Y$2,'Card Data'!$A:$A,$A59)</f>
        <v>0</v>
      </c>
      <c r="Z59" s="124">
        <f>COUNTIFS('Card Data'!$J:$J,Z$2,'Card Data'!$A:$A,$A59)</f>
        <v>0</v>
      </c>
      <c r="AA59" s="131"/>
      <c r="AB59" s="124"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4"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4"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4"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4"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4"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4"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4"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4"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4"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4"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30" customFormat="1" x14ac:dyDescent="0.2">
      <c r="C60" s="31"/>
    </row>
    <row r="61" spans="1:38" s="30" customFormat="1" x14ac:dyDescent="0.2">
      <c r="C61" s="31"/>
    </row>
    <row r="62" spans="1:38" s="30" customFormat="1" x14ac:dyDescent="0.2">
      <c r="C62" s="31"/>
    </row>
    <row r="63" spans="1:38" s="30" customFormat="1" x14ac:dyDescent="0.2">
      <c r="C63" s="31"/>
    </row>
    <row r="64" spans="1:38" s="30" customFormat="1" x14ac:dyDescent="0.2">
      <c r="C64" s="31"/>
    </row>
    <row r="65" spans="3:3" s="30" customFormat="1" x14ac:dyDescent="0.2">
      <c r="C65" s="31"/>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H941" activePane="bottomRight" state="frozen"/>
      <selection activeCell="E1" sqref="E1"/>
      <selection pane="topRight" activeCell="F1" sqref="F1"/>
      <selection pane="bottomLeft" activeCell="E2" sqref="E2"/>
      <selection pane="bottomRight" activeCell="A949" sqref="A949"/>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24" x14ac:dyDescent="0.2">
      <c r="A885" s="109" t="s">
        <v>11094</v>
      </c>
      <c r="B885" s="109" t="s">
        <v>11097</v>
      </c>
      <c r="C885" s="109" t="s">
        <v>11098</v>
      </c>
      <c r="D885" s="109">
        <v>84</v>
      </c>
      <c r="E885" s="109">
        <v>1</v>
      </c>
      <c r="F885" s="109"/>
      <c r="G885" s="109" t="s">
        <v>1583</v>
      </c>
      <c r="H885" s="1" t="s">
        <v>26</v>
      </c>
      <c r="I885" s="1" t="s">
        <v>27</v>
      </c>
      <c r="J885" s="1" t="s">
        <v>50</v>
      </c>
      <c r="K885" s="4" t="s">
        <v>2103</v>
      </c>
      <c r="L885" s="4"/>
      <c r="M885" s="18">
        <v>10</v>
      </c>
      <c r="P885" s="56">
        <v>2</v>
      </c>
      <c r="Q885" s="57">
        <v>2</v>
      </c>
      <c r="R885" s="58">
        <v>2</v>
      </c>
      <c r="S885" s="59">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6">
        <v>0</v>
      </c>
      <c r="Q888" s="57">
        <v>2</v>
      </c>
      <c r="R888" s="58">
        <v>0</v>
      </c>
      <c r="S888" s="59">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6">
        <v>2</v>
      </c>
      <c r="Q890" s="57">
        <v>0</v>
      </c>
      <c r="R890" s="58">
        <v>1</v>
      </c>
      <c r="S890" s="59">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6">
        <v>1</v>
      </c>
      <c r="Q892" s="57">
        <v>0</v>
      </c>
      <c r="R892" s="58">
        <v>0</v>
      </c>
      <c r="S892" s="59">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1" t="s">
        <v>11094</v>
      </c>
      <c r="B895" s="111" t="s">
        <v>11131</v>
      </c>
      <c r="C895" s="111" t="s">
        <v>11098</v>
      </c>
      <c r="D895" s="111">
        <v>94</v>
      </c>
      <c r="E895" s="111">
        <v>1</v>
      </c>
      <c r="F895" s="111" t="s">
        <v>11095</v>
      </c>
      <c r="G895" s="111" t="s">
        <v>11132</v>
      </c>
      <c r="I895" s="1" t="s">
        <v>125</v>
      </c>
      <c r="K895" s="4"/>
      <c r="L895" s="4"/>
      <c r="M895" s="18">
        <v>1</v>
      </c>
      <c r="N895" s="54" t="s">
        <v>9529</v>
      </c>
      <c r="V895" s="4" t="s">
        <v>11133</v>
      </c>
      <c r="X895" s="1" t="s">
        <v>1672</v>
      </c>
      <c r="Y895" s="1" t="s">
        <v>11132</v>
      </c>
      <c r="AA895" s="1" t="s">
        <v>125</v>
      </c>
      <c r="AE895" s="1">
        <v>1</v>
      </c>
      <c r="AF895" s="54" t="s">
        <v>9530</v>
      </c>
      <c r="AL895" s="60">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4" t="s">
        <v>9529</v>
      </c>
      <c r="V896" s="4" t="s">
        <v>11137</v>
      </c>
      <c r="Y896" s="1" t="s">
        <v>11138</v>
      </c>
      <c r="AA896" s="1" t="s">
        <v>125</v>
      </c>
      <c r="AE896" s="1">
        <v>2</v>
      </c>
      <c r="AF896" s="54" t="s">
        <v>9530</v>
      </c>
      <c r="AL896" s="60">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4" t="s">
        <v>9529</v>
      </c>
      <c r="V897" s="4" t="s">
        <v>11137</v>
      </c>
      <c r="Y897" s="1" t="s">
        <v>11141</v>
      </c>
      <c r="AA897" s="1" t="s">
        <v>125</v>
      </c>
      <c r="AE897" s="1">
        <v>2</v>
      </c>
      <c r="AF897" s="54" t="s">
        <v>9530</v>
      </c>
      <c r="AL897" s="60">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4" t="s">
        <v>9529</v>
      </c>
      <c r="V898" s="4" t="s">
        <v>11137</v>
      </c>
      <c r="Y898" s="1" t="s">
        <v>11144</v>
      </c>
      <c r="AA898" s="1" t="s">
        <v>125</v>
      </c>
      <c r="AE898" s="1">
        <v>2</v>
      </c>
      <c r="AF898" s="54" t="s">
        <v>9530</v>
      </c>
      <c r="AL898" s="60">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4" t="s">
        <v>9529</v>
      </c>
      <c r="V899" s="4" t="s">
        <v>11191</v>
      </c>
      <c r="Y899" s="1" t="s">
        <v>11148</v>
      </c>
      <c r="AA899" s="1" t="s">
        <v>125</v>
      </c>
      <c r="AE899" s="1">
        <v>3</v>
      </c>
      <c r="AF899" s="54" t="s">
        <v>9530</v>
      </c>
      <c r="AL899" s="60">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4" t="s">
        <v>9529</v>
      </c>
      <c r="V900" s="4" t="s">
        <v>11191</v>
      </c>
      <c r="Y900" s="1" t="s">
        <v>11151</v>
      </c>
      <c r="AA900" s="1" t="s">
        <v>125</v>
      </c>
      <c r="AE900" s="1">
        <v>3</v>
      </c>
      <c r="AF900" s="54" t="s">
        <v>9530</v>
      </c>
      <c r="AL900" s="60">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4" t="s">
        <v>9529</v>
      </c>
      <c r="V901" s="4" t="s">
        <v>11191</v>
      </c>
      <c r="Y901" s="1" t="s">
        <v>11154</v>
      </c>
      <c r="AA901" s="1" t="s">
        <v>125</v>
      </c>
      <c r="AE901" s="1">
        <v>3</v>
      </c>
      <c r="AF901" s="54" t="s">
        <v>9530</v>
      </c>
      <c r="AL901" s="60">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4" t="s">
        <v>9529</v>
      </c>
      <c r="V902" s="4" t="s">
        <v>11158</v>
      </c>
      <c r="Y902" s="1" t="s">
        <v>11157</v>
      </c>
      <c r="AA902" s="1" t="s">
        <v>125</v>
      </c>
      <c r="AE902" s="1">
        <v>4</v>
      </c>
      <c r="AF902" s="54" t="s">
        <v>9530</v>
      </c>
      <c r="AL902" s="60"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6">
        <v>0</v>
      </c>
      <c r="Q903" s="57">
        <v>1</v>
      </c>
      <c r="R903" s="58">
        <v>2</v>
      </c>
      <c r="S903" s="59">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4">
        <v>45</v>
      </c>
      <c r="O904" s="55">
        <v>3</v>
      </c>
      <c r="Q904" s="57">
        <v>6</v>
      </c>
      <c r="R904" s="58">
        <v>4</v>
      </c>
      <c r="S904" s="59">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4">
        <v>35</v>
      </c>
      <c r="O905" s="55">
        <v>3</v>
      </c>
      <c r="Q905" s="57">
        <v>3</v>
      </c>
      <c r="R905" s="58">
        <v>3</v>
      </c>
      <c r="S905" s="59">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4">
        <v>20</v>
      </c>
      <c r="O906" s="55">
        <v>2</v>
      </c>
      <c r="Q906" s="57">
        <v>1</v>
      </c>
      <c r="R906" s="58">
        <v>1</v>
      </c>
      <c r="S906" s="59">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5">
        <v>2</v>
      </c>
      <c r="T907" s="60">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5">
        <v>3</v>
      </c>
      <c r="T908" s="60">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5">
        <v>3</v>
      </c>
      <c r="T909" s="60">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5">
        <v>1</v>
      </c>
      <c r="T910" s="60">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9" t="s">
        <v>11195</v>
      </c>
      <c r="B913" s="109" t="s">
        <v>11196</v>
      </c>
      <c r="C913" s="109" t="s">
        <v>11197</v>
      </c>
      <c r="D913" s="109">
        <v>112</v>
      </c>
      <c r="E913" s="109">
        <v>1</v>
      </c>
      <c r="F913" s="109"/>
      <c r="G913" s="109" t="s">
        <v>10689</v>
      </c>
      <c r="H913" s="1" t="s">
        <v>26</v>
      </c>
      <c r="I913" s="1" t="s">
        <v>27</v>
      </c>
      <c r="J913" s="1" t="s">
        <v>57</v>
      </c>
      <c r="K913" s="4" t="s">
        <v>3088</v>
      </c>
      <c r="L913" s="4"/>
      <c r="M913" s="18">
        <v>9</v>
      </c>
      <c r="P913" s="56">
        <v>4</v>
      </c>
      <c r="Q913" s="57">
        <v>0</v>
      </c>
      <c r="R913" s="58">
        <v>0</v>
      </c>
      <c r="S913" s="59">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6">
        <v>2</v>
      </c>
      <c r="Q915" s="57">
        <v>2</v>
      </c>
      <c r="R915" s="58">
        <v>0</v>
      </c>
      <c r="S915" s="59">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6">
        <v>0</v>
      </c>
      <c r="Q916" s="57">
        <v>2</v>
      </c>
      <c r="R916" s="58">
        <v>2</v>
      </c>
      <c r="S916" s="59">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6">
        <v>2</v>
      </c>
      <c r="Q918" s="57">
        <v>0</v>
      </c>
      <c r="R918" s="58">
        <v>1</v>
      </c>
      <c r="S918" s="59">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6">
        <v>2</v>
      </c>
      <c r="Q920" s="57">
        <v>2</v>
      </c>
      <c r="R920" s="58">
        <v>2</v>
      </c>
      <c r="S920" s="59">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1" t="s">
        <v>11195</v>
      </c>
      <c r="B923" s="111" t="s">
        <v>11229</v>
      </c>
      <c r="C923" s="111" t="s">
        <v>11197</v>
      </c>
      <c r="D923" s="111">
        <v>122</v>
      </c>
      <c r="E923" s="111">
        <v>1</v>
      </c>
      <c r="F923" s="111" t="s">
        <v>11230</v>
      </c>
      <c r="G923" s="111" t="s">
        <v>11231</v>
      </c>
      <c r="I923" s="1" t="s">
        <v>125</v>
      </c>
      <c r="K923" s="4"/>
      <c r="L923" s="4"/>
      <c r="M923" s="18">
        <v>1</v>
      </c>
      <c r="N923" s="54" t="s">
        <v>9529</v>
      </c>
      <c r="V923" s="4" t="s">
        <v>11232</v>
      </c>
      <c r="X923" s="1" t="s">
        <v>753</v>
      </c>
      <c r="Y923" s="1" t="s">
        <v>11231</v>
      </c>
      <c r="AA923" s="1" t="s">
        <v>125</v>
      </c>
      <c r="AE923" s="1">
        <v>1</v>
      </c>
      <c r="AF923" s="54" t="s">
        <v>9530</v>
      </c>
      <c r="AL923" s="60">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4" t="s">
        <v>9529</v>
      </c>
      <c r="V924" s="4" t="s">
        <v>11236</v>
      </c>
      <c r="Y924" s="1" t="s">
        <v>11235</v>
      </c>
      <c r="AA924" s="1" t="s">
        <v>125</v>
      </c>
      <c r="AE924" s="1">
        <v>2</v>
      </c>
      <c r="AF924" s="54" t="s">
        <v>9530</v>
      </c>
      <c r="AL924" s="60">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4">
        <v>50</v>
      </c>
      <c r="O925" s="55" t="s">
        <v>113</v>
      </c>
      <c r="Q925" s="57">
        <v>5</v>
      </c>
      <c r="R925" s="58">
        <v>4</v>
      </c>
      <c r="S925" s="59">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5" t="s">
        <v>113</v>
      </c>
      <c r="T927" s="60">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4">
        <v>40</v>
      </c>
      <c r="O929" s="55">
        <v>2</v>
      </c>
      <c r="Q929" s="57">
        <v>3</v>
      </c>
      <c r="R929" s="58">
        <v>2</v>
      </c>
      <c r="S929" s="59">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4">
        <v>45</v>
      </c>
      <c r="O930" s="55">
        <v>3</v>
      </c>
      <c r="Q930" s="57">
        <v>5</v>
      </c>
      <c r="R930" s="58">
        <v>3</v>
      </c>
      <c r="S930" s="59">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5">
        <v>2</v>
      </c>
      <c r="T931" s="60">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5">
        <v>1</v>
      </c>
      <c r="T932" s="60">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5">
        <v>2</v>
      </c>
      <c r="T933" s="60">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5">
        <v>3</v>
      </c>
      <c r="T934" s="60">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9" t="s">
        <v>11451</v>
      </c>
      <c r="B938" s="109" t="s">
        <v>11452</v>
      </c>
      <c r="C938" s="109" t="s">
        <v>11453</v>
      </c>
      <c r="D938" s="109">
        <v>137</v>
      </c>
      <c r="E938" s="109">
        <v>1</v>
      </c>
      <c r="F938" s="109"/>
      <c r="G938" s="109" t="s">
        <v>11454</v>
      </c>
      <c r="H938" s="1" t="s">
        <v>26</v>
      </c>
      <c r="I938" s="1" t="s">
        <v>27</v>
      </c>
      <c r="J938" s="1" t="s">
        <v>28</v>
      </c>
      <c r="K938" s="4" t="s">
        <v>368</v>
      </c>
      <c r="L938" s="4" t="s">
        <v>52</v>
      </c>
      <c r="M938" s="18">
        <v>10</v>
      </c>
      <c r="P938" s="56">
        <v>1</v>
      </c>
      <c r="Q938" s="57">
        <v>2</v>
      </c>
      <c r="R938" s="58">
        <v>3</v>
      </c>
      <c r="S938" s="59">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6">
        <v>0</v>
      </c>
      <c r="Q939" s="57">
        <v>1</v>
      </c>
      <c r="R939" s="58">
        <v>3</v>
      </c>
      <c r="S939" s="59">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6">
        <v>0</v>
      </c>
      <c r="Q942" s="57">
        <v>2</v>
      </c>
      <c r="R942" s="58">
        <v>2</v>
      </c>
      <c r="S942" s="59">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6">
        <v>2</v>
      </c>
      <c r="Q947" s="57">
        <v>4</v>
      </c>
      <c r="R947" s="58">
        <v>3</v>
      </c>
      <c r="S947" s="59">
        <v>5</v>
      </c>
      <c r="V947" s="4" t="s">
        <v>11484</v>
      </c>
      <c r="AP947" s="1"/>
    </row>
    <row r="948" spans="1:42" ht="84" x14ac:dyDescent="0.2">
      <c r="A948" s="111" t="s">
        <v>11451</v>
      </c>
      <c r="B948" s="111" t="s">
        <v>11485</v>
      </c>
      <c r="C948" s="111" t="s">
        <v>11453</v>
      </c>
      <c r="D948" s="111">
        <v>147</v>
      </c>
      <c r="E948" s="111">
        <v>1</v>
      </c>
      <c r="F948" s="111" t="s">
        <v>9681</v>
      </c>
      <c r="G948" s="111" t="s">
        <v>11486</v>
      </c>
      <c r="I948" s="1" t="s">
        <v>125</v>
      </c>
      <c r="K948" s="4"/>
      <c r="L948" s="4"/>
      <c r="M948" s="18">
        <v>1</v>
      </c>
      <c r="N948" s="54" t="s">
        <v>9529</v>
      </c>
      <c r="V948" s="4" t="s">
        <v>11487</v>
      </c>
      <c r="X948" s="1" t="s">
        <v>11488</v>
      </c>
      <c r="Y948" s="1" t="s">
        <v>11486</v>
      </c>
      <c r="AA948" s="1" t="s">
        <v>125</v>
      </c>
      <c r="AE948" s="1">
        <v>1</v>
      </c>
      <c r="AF948" s="54" t="s">
        <v>9530</v>
      </c>
      <c r="AL948" s="60">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4" t="s">
        <v>9529</v>
      </c>
      <c r="V949" s="4" t="s">
        <v>11492</v>
      </c>
      <c r="Y949" s="1" t="s">
        <v>11491</v>
      </c>
      <c r="AA949" s="1" t="s">
        <v>125</v>
      </c>
      <c r="AE949" s="1">
        <v>2</v>
      </c>
      <c r="AF949" s="54" t="s">
        <v>9530</v>
      </c>
      <c r="AL949" s="60">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4" t="s">
        <v>9529</v>
      </c>
      <c r="V950" s="4" t="s">
        <v>11496</v>
      </c>
      <c r="Y950" s="1" t="s">
        <v>11495</v>
      </c>
      <c r="AA950" s="1" t="s">
        <v>125</v>
      </c>
      <c r="AE950" s="1">
        <v>3</v>
      </c>
      <c r="AF950" s="54" t="s">
        <v>9530</v>
      </c>
      <c r="AL950" s="60"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6">
        <v>1</v>
      </c>
      <c r="Q951" s="57">
        <v>3</v>
      </c>
      <c r="R951" s="58">
        <v>2</v>
      </c>
      <c r="S951" s="59">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4">
        <v>15</v>
      </c>
      <c r="O952" s="55">
        <v>4</v>
      </c>
      <c r="Q952" s="57">
        <v>5</v>
      </c>
      <c r="R952" s="58">
        <v>5</v>
      </c>
      <c r="S952" s="59">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5">
        <v>4</v>
      </c>
      <c r="T953" s="60">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4">
        <v>36</v>
      </c>
      <c r="O954" s="55">
        <v>3</v>
      </c>
      <c r="Q954" s="57">
        <v>4</v>
      </c>
      <c r="R954" s="58">
        <v>2</v>
      </c>
      <c r="S954" s="59">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4">
        <v>26</v>
      </c>
      <c r="O955" s="55">
        <v>2</v>
      </c>
      <c r="Q955" s="57">
        <v>3</v>
      </c>
      <c r="R955" s="58">
        <v>2</v>
      </c>
      <c r="S955" s="59">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5">
        <v>2</v>
      </c>
      <c r="T956" s="60">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5">
        <v>2</v>
      </c>
      <c r="T957" s="60">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5">
        <v>3</v>
      </c>
      <c r="T958" s="60">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5">
        <v>3</v>
      </c>
      <c r="T959" s="60">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7" t="s">
        <v>4783</v>
      </c>
      <c r="B963" s="117" t="s">
        <v>4784</v>
      </c>
      <c r="C963" s="117" t="s">
        <v>5713</v>
      </c>
      <c r="D963" s="118">
        <v>1</v>
      </c>
      <c r="E963" s="117">
        <v>1</v>
      </c>
      <c r="F963" s="117" t="s">
        <v>4788</v>
      </c>
      <c r="G963" s="117" t="s">
        <v>3709</v>
      </c>
      <c r="H963" s="1" t="s">
        <v>26</v>
      </c>
      <c r="I963" s="1" t="s">
        <v>94</v>
      </c>
      <c r="K963" s="1" t="s">
        <v>4785</v>
      </c>
      <c r="L963" s="2" t="s">
        <v>4786</v>
      </c>
      <c r="N963" s="54">
        <v>40</v>
      </c>
      <c r="O963" s="55">
        <v>6</v>
      </c>
      <c r="Q963" s="57">
        <v>6</v>
      </c>
      <c r="R963" s="58">
        <v>6</v>
      </c>
      <c r="S963" s="59">
        <v>11</v>
      </c>
      <c r="V963" s="4" t="s">
        <v>4787</v>
      </c>
      <c r="AL963" s="60" t="s">
        <v>30</v>
      </c>
    </row>
    <row r="964" spans="1:42" ht="36" x14ac:dyDescent="0.2">
      <c r="A964" s="1" t="s">
        <v>4783</v>
      </c>
      <c r="B964" s="1" t="s">
        <v>4789</v>
      </c>
      <c r="C964" s="1" t="s">
        <v>5713</v>
      </c>
      <c r="D964" s="49">
        <v>2</v>
      </c>
      <c r="E964" s="1">
        <v>4</v>
      </c>
      <c r="F964" s="1" t="s">
        <v>4788</v>
      </c>
      <c r="G964" s="1" t="s">
        <v>4790</v>
      </c>
      <c r="I964" s="1" t="s">
        <v>94</v>
      </c>
      <c r="K964" s="1" t="s">
        <v>4791</v>
      </c>
      <c r="N964" s="54">
        <v>1</v>
      </c>
      <c r="O964" s="55">
        <v>1</v>
      </c>
      <c r="Q964" s="57">
        <v>1</v>
      </c>
      <c r="R964" s="58">
        <v>0</v>
      </c>
      <c r="S964" s="59">
        <v>2</v>
      </c>
      <c r="V964" s="4" t="s">
        <v>4792</v>
      </c>
      <c r="AL964" s="60" t="s">
        <v>30</v>
      </c>
    </row>
    <row r="965" spans="1:42" ht="24" x14ac:dyDescent="0.2">
      <c r="A965" s="1" t="s">
        <v>4783</v>
      </c>
      <c r="B965" s="1" t="s">
        <v>4793</v>
      </c>
      <c r="C965" s="1" t="s">
        <v>5713</v>
      </c>
      <c r="D965" s="49">
        <v>3</v>
      </c>
      <c r="E965" s="1">
        <v>4</v>
      </c>
      <c r="F965" s="1" t="s">
        <v>4788</v>
      </c>
      <c r="G965" s="1" t="s">
        <v>4794</v>
      </c>
      <c r="I965" s="1" t="s">
        <v>94</v>
      </c>
      <c r="K965" s="1" t="s">
        <v>4795</v>
      </c>
      <c r="N965" s="54">
        <v>27</v>
      </c>
      <c r="O965" s="55">
        <v>1</v>
      </c>
      <c r="Q965" s="57">
        <v>4</v>
      </c>
      <c r="R965" s="58">
        <v>1</v>
      </c>
      <c r="S965" s="59">
        <v>3</v>
      </c>
      <c r="V965" s="4" t="s">
        <v>4796</v>
      </c>
      <c r="W965" s="4" t="s">
        <v>4797</v>
      </c>
      <c r="AL965" s="60" t="s">
        <v>30</v>
      </c>
    </row>
    <row r="966" spans="1:42" ht="24" x14ac:dyDescent="0.2">
      <c r="A966" s="1" t="s">
        <v>4783</v>
      </c>
      <c r="B966" s="1" t="s">
        <v>4798</v>
      </c>
      <c r="C966" s="1" t="s">
        <v>5713</v>
      </c>
      <c r="D966" s="49">
        <v>4</v>
      </c>
      <c r="E966" s="1">
        <v>4</v>
      </c>
      <c r="F966" s="1" t="s">
        <v>4788</v>
      </c>
      <c r="G966" s="1" t="s">
        <v>4799</v>
      </c>
      <c r="I966" s="1" t="s">
        <v>94</v>
      </c>
      <c r="K966" s="1" t="s">
        <v>4800</v>
      </c>
      <c r="N966" s="54">
        <v>35</v>
      </c>
      <c r="O966" s="55">
        <v>2</v>
      </c>
      <c r="Q966" s="57">
        <v>3</v>
      </c>
      <c r="R966" s="58">
        <v>1</v>
      </c>
      <c r="S966" s="59">
        <v>4</v>
      </c>
      <c r="V966" s="4" t="s">
        <v>4801</v>
      </c>
      <c r="AL966" s="60" t="s">
        <v>30</v>
      </c>
    </row>
    <row r="967" spans="1:42" ht="36" x14ac:dyDescent="0.2">
      <c r="A967" s="1" t="s">
        <v>4783</v>
      </c>
      <c r="B967" s="1" t="s">
        <v>4802</v>
      </c>
      <c r="C967" s="1" t="s">
        <v>5713</v>
      </c>
      <c r="D967" s="49">
        <v>5</v>
      </c>
      <c r="E967" s="1">
        <v>3</v>
      </c>
      <c r="F967" s="1" t="s">
        <v>4788</v>
      </c>
      <c r="G967" s="1" t="s">
        <v>4803</v>
      </c>
      <c r="I967" s="1" t="s">
        <v>94</v>
      </c>
      <c r="K967" s="1" t="s">
        <v>4804</v>
      </c>
      <c r="N967" s="54">
        <v>40</v>
      </c>
      <c r="O967" s="55">
        <v>3</v>
      </c>
      <c r="Q967" s="57">
        <v>3</v>
      </c>
      <c r="R967" s="58">
        <v>3</v>
      </c>
      <c r="S967" s="59">
        <v>4</v>
      </c>
      <c r="V967" s="4" t="s">
        <v>4805</v>
      </c>
      <c r="W967" s="4" t="s">
        <v>4806</v>
      </c>
      <c r="AL967" s="60" t="s">
        <v>30</v>
      </c>
    </row>
    <row r="968" spans="1:42" ht="24" x14ac:dyDescent="0.2">
      <c r="A968" s="1" t="s">
        <v>4783</v>
      </c>
      <c r="B968" s="1" t="s">
        <v>4807</v>
      </c>
      <c r="C968" s="1" t="s">
        <v>5713</v>
      </c>
      <c r="D968" s="49">
        <v>6</v>
      </c>
      <c r="E968" s="1">
        <v>3</v>
      </c>
      <c r="F968" s="1" t="s">
        <v>4788</v>
      </c>
      <c r="G968" s="1" t="s">
        <v>4808</v>
      </c>
      <c r="I968" s="1" t="s">
        <v>94</v>
      </c>
      <c r="K968" s="1" t="s">
        <v>2690</v>
      </c>
      <c r="N968" s="54">
        <v>45</v>
      </c>
      <c r="O968" s="55">
        <v>2</v>
      </c>
      <c r="Q968" s="57">
        <v>2</v>
      </c>
      <c r="R968" s="58">
        <v>1</v>
      </c>
      <c r="S968" s="59">
        <v>8</v>
      </c>
      <c r="V968" s="4" t="s">
        <v>4809</v>
      </c>
      <c r="W968" s="4" t="s">
        <v>4810</v>
      </c>
      <c r="AL968" s="60" t="s">
        <v>30</v>
      </c>
    </row>
    <row r="969" spans="1:42" ht="24" x14ac:dyDescent="0.2">
      <c r="A969" s="1" t="s">
        <v>4783</v>
      </c>
      <c r="B969" s="1" t="s">
        <v>4811</v>
      </c>
      <c r="C969" s="1" t="s">
        <v>5713</v>
      </c>
      <c r="D969" s="49">
        <v>7</v>
      </c>
      <c r="E969" s="1">
        <v>3</v>
      </c>
      <c r="F969" s="1" t="s">
        <v>4788</v>
      </c>
      <c r="G969" s="1" t="s">
        <v>4812</v>
      </c>
      <c r="I969" s="1" t="s">
        <v>104</v>
      </c>
      <c r="K969" s="1" t="s">
        <v>4813</v>
      </c>
      <c r="O969" s="55">
        <v>1</v>
      </c>
      <c r="T969" s="60">
        <v>2</v>
      </c>
      <c r="V969" s="4" t="s">
        <v>4814</v>
      </c>
      <c r="W969" s="4" t="s">
        <v>4815</v>
      </c>
      <c r="AL969" s="60" t="s">
        <v>30</v>
      </c>
    </row>
    <row r="970" spans="1:42" ht="24" x14ac:dyDescent="0.2">
      <c r="A970" s="1" t="s">
        <v>4783</v>
      </c>
      <c r="B970" s="1" t="s">
        <v>4816</v>
      </c>
      <c r="C970" s="1" t="s">
        <v>5713</v>
      </c>
      <c r="D970" s="49">
        <v>8</v>
      </c>
      <c r="E970" s="1">
        <v>1</v>
      </c>
      <c r="F970" s="1" t="s">
        <v>4788</v>
      </c>
      <c r="G970" s="1" t="s">
        <v>4817</v>
      </c>
      <c r="I970" s="1" t="s">
        <v>104</v>
      </c>
      <c r="K970" s="1" t="s">
        <v>4818</v>
      </c>
      <c r="O970" s="55">
        <v>2</v>
      </c>
      <c r="T970" s="60">
        <v>5</v>
      </c>
      <c r="V970" s="4" t="s">
        <v>4819</v>
      </c>
      <c r="AL970" s="60" t="s">
        <v>30</v>
      </c>
    </row>
    <row r="971" spans="1:42" ht="36" x14ac:dyDescent="0.2">
      <c r="A971" s="1" t="s">
        <v>4783</v>
      </c>
      <c r="B971" s="1" t="s">
        <v>4820</v>
      </c>
      <c r="C971" s="1" t="s">
        <v>5713</v>
      </c>
      <c r="D971" s="49">
        <v>9</v>
      </c>
      <c r="E971" s="1">
        <v>2</v>
      </c>
      <c r="F971" s="1" t="s">
        <v>4788</v>
      </c>
      <c r="G971" s="1" t="s">
        <v>4821</v>
      </c>
      <c r="I971" s="1" t="s">
        <v>104</v>
      </c>
      <c r="K971" s="1" t="s">
        <v>4822</v>
      </c>
      <c r="O971" s="55">
        <v>1</v>
      </c>
      <c r="T971" s="60">
        <v>3</v>
      </c>
      <c r="V971" s="4" t="s">
        <v>4823</v>
      </c>
      <c r="W971" s="4" t="s">
        <v>4824</v>
      </c>
      <c r="AL971" s="60" t="s">
        <v>30</v>
      </c>
    </row>
    <row r="972" spans="1:42" ht="36" x14ac:dyDescent="0.2">
      <c r="A972" s="1" t="s">
        <v>4783</v>
      </c>
      <c r="B972" s="1" t="s">
        <v>4825</v>
      </c>
      <c r="C972" s="1" t="s">
        <v>5713</v>
      </c>
      <c r="D972" s="49">
        <v>10</v>
      </c>
      <c r="E972" s="1">
        <v>2</v>
      </c>
      <c r="F972" s="1" t="s">
        <v>4788</v>
      </c>
      <c r="G972" s="1" t="s">
        <v>4826</v>
      </c>
      <c r="I972" s="1" t="s">
        <v>104</v>
      </c>
      <c r="K972" s="1" t="s">
        <v>4813</v>
      </c>
      <c r="O972" s="55">
        <v>1</v>
      </c>
      <c r="T972" s="60">
        <v>7</v>
      </c>
      <c r="U972" s="1">
        <v>1</v>
      </c>
      <c r="V972" s="4" t="s">
        <v>4827</v>
      </c>
      <c r="AL972" s="60" t="s">
        <v>30</v>
      </c>
    </row>
    <row r="973" spans="1:42" x14ac:dyDescent="0.2">
      <c r="A973" s="1" t="s">
        <v>4783</v>
      </c>
      <c r="B973" s="1" t="s">
        <v>4828</v>
      </c>
      <c r="C973" s="1" t="s">
        <v>5713</v>
      </c>
      <c r="D973" s="49">
        <v>11</v>
      </c>
      <c r="E973" s="1">
        <v>3</v>
      </c>
      <c r="F973" s="1" t="s">
        <v>4788</v>
      </c>
      <c r="G973" s="1" t="s">
        <v>4829</v>
      </c>
      <c r="I973" s="1" t="s">
        <v>104</v>
      </c>
      <c r="K973" s="1" t="s">
        <v>4830</v>
      </c>
      <c r="O973" s="55">
        <v>1</v>
      </c>
      <c r="T973" s="60">
        <v>2</v>
      </c>
      <c r="V973" s="4" t="s">
        <v>4831</v>
      </c>
      <c r="AL973" s="60" t="s">
        <v>30</v>
      </c>
    </row>
    <row r="974" spans="1:42" ht="36" x14ac:dyDescent="0.2">
      <c r="A974" s="1" t="s">
        <v>4783</v>
      </c>
      <c r="B974" s="1" t="s">
        <v>4832</v>
      </c>
      <c r="C974" s="1" t="s">
        <v>5713</v>
      </c>
      <c r="D974" s="49">
        <v>12</v>
      </c>
      <c r="E974" s="1">
        <v>4</v>
      </c>
      <c r="F974" s="1" t="s">
        <v>4788</v>
      </c>
      <c r="G974" s="1" t="s">
        <v>4833</v>
      </c>
      <c r="I974" s="1" t="s">
        <v>82</v>
      </c>
      <c r="L974" s="2" t="s">
        <v>4834</v>
      </c>
      <c r="V974" s="4" t="s">
        <v>4835</v>
      </c>
      <c r="W974" s="4" t="s">
        <v>4836</v>
      </c>
      <c r="AL974" s="60" t="s">
        <v>30</v>
      </c>
    </row>
    <row r="975" spans="1:42" ht="36" x14ac:dyDescent="0.2">
      <c r="A975" s="1" t="s">
        <v>4783</v>
      </c>
      <c r="B975" s="1" t="s">
        <v>4837</v>
      </c>
      <c r="C975" s="1" t="s">
        <v>5713</v>
      </c>
      <c r="D975" s="49">
        <v>13</v>
      </c>
      <c r="E975" s="1">
        <v>2</v>
      </c>
      <c r="F975" s="1" t="s">
        <v>4788</v>
      </c>
      <c r="G975" s="1" t="s">
        <v>4838</v>
      </c>
      <c r="I975" s="1" t="s">
        <v>82</v>
      </c>
      <c r="V975" s="4" t="s">
        <v>4839</v>
      </c>
      <c r="AL975" s="60" t="s">
        <v>30</v>
      </c>
    </row>
    <row r="976" spans="1:42" ht="36" x14ac:dyDescent="0.2">
      <c r="A976" s="1" t="s">
        <v>4783</v>
      </c>
      <c r="B976" s="1" t="s">
        <v>4840</v>
      </c>
      <c r="C976" s="1" t="s">
        <v>5713</v>
      </c>
      <c r="D976" s="49">
        <v>14</v>
      </c>
      <c r="E976" s="1">
        <v>3</v>
      </c>
      <c r="F976" s="1" t="s">
        <v>4788</v>
      </c>
      <c r="G976" s="1" t="s">
        <v>4841</v>
      </c>
      <c r="I976" s="1" t="s">
        <v>82</v>
      </c>
      <c r="L976" s="2" t="s">
        <v>155</v>
      </c>
      <c r="V976" s="4" t="s">
        <v>4842</v>
      </c>
      <c r="AL976" s="60" t="s">
        <v>30</v>
      </c>
    </row>
    <row r="977" spans="1:40" ht="36" x14ac:dyDescent="0.2">
      <c r="A977" s="1" t="s">
        <v>4783</v>
      </c>
      <c r="B977" s="1" t="s">
        <v>4843</v>
      </c>
      <c r="C977" s="1" t="s">
        <v>5713</v>
      </c>
      <c r="D977" s="49">
        <v>15</v>
      </c>
      <c r="E977" s="1">
        <v>2</v>
      </c>
      <c r="F977" s="1" t="s">
        <v>4788</v>
      </c>
      <c r="G977" s="1" t="s">
        <v>4844</v>
      </c>
      <c r="I977" s="1" t="s">
        <v>88</v>
      </c>
      <c r="K977" s="1" t="s">
        <v>4845</v>
      </c>
      <c r="P977" s="56">
        <v>2</v>
      </c>
      <c r="Q977" s="57">
        <v>2</v>
      </c>
      <c r="R977" s="58">
        <v>1</v>
      </c>
      <c r="S977" s="59">
        <v>2</v>
      </c>
      <c r="V977" s="4" t="s">
        <v>4846</v>
      </c>
      <c r="W977" s="4" t="s">
        <v>4847</v>
      </c>
      <c r="AL977" s="60" t="s">
        <v>30</v>
      </c>
    </row>
    <row r="978" spans="1:40" ht="48" x14ac:dyDescent="0.2">
      <c r="A978" s="1" t="s">
        <v>4783</v>
      </c>
      <c r="B978" s="1" t="s">
        <v>4848</v>
      </c>
      <c r="C978" s="1" t="s">
        <v>5713</v>
      </c>
      <c r="D978" s="49">
        <v>16</v>
      </c>
      <c r="E978" s="1">
        <v>1</v>
      </c>
      <c r="F978" s="1" t="s">
        <v>4788</v>
      </c>
      <c r="G978" s="1" t="s">
        <v>9562</v>
      </c>
      <c r="I978" s="1" t="s">
        <v>125</v>
      </c>
      <c r="M978" s="18">
        <v>1</v>
      </c>
      <c r="N978" s="54" t="s">
        <v>9529</v>
      </c>
      <c r="V978" s="4" t="s">
        <v>4849</v>
      </c>
      <c r="X978" s="1" t="s">
        <v>4850</v>
      </c>
      <c r="Y978" s="1" t="s">
        <v>9562</v>
      </c>
      <c r="AA978" s="1" t="s">
        <v>125</v>
      </c>
      <c r="AE978" s="1">
        <v>1</v>
      </c>
      <c r="AF978" s="54" t="s">
        <v>9530</v>
      </c>
      <c r="AL978" s="60" t="s">
        <v>243</v>
      </c>
      <c r="AN978" s="4" t="s">
        <v>4851</v>
      </c>
    </row>
    <row r="979" spans="1:40" ht="48" x14ac:dyDescent="0.2">
      <c r="A979" s="1" t="s">
        <v>4783</v>
      </c>
      <c r="B979" s="1" t="s">
        <v>4852</v>
      </c>
      <c r="C979" s="1" t="s">
        <v>5713</v>
      </c>
      <c r="D979" s="49">
        <v>17</v>
      </c>
      <c r="E979" s="1">
        <v>1</v>
      </c>
      <c r="F979" s="1" t="s">
        <v>4788</v>
      </c>
      <c r="G979" s="1" t="s">
        <v>9621</v>
      </c>
      <c r="I979" s="1" t="s">
        <v>125</v>
      </c>
      <c r="M979" s="18">
        <v>2</v>
      </c>
      <c r="N979" s="54" t="s">
        <v>9529</v>
      </c>
      <c r="Y979" s="1" t="s">
        <v>9621</v>
      </c>
      <c r="AA979" s="1" t="s">
        <v>125</v>
      </c>
      <c r="AE979" s="1">
        <v>2</v>
      </c>
      <c r="AF979" s="54" t="s">
        <v>9530</v>
      </c>
      <c r="AL979" s="60" t="s">
        <v>46</v>
      </c>
      <c r="AN979" s="4" t="s">
        <v>4853</v>
      </c>
    </row>
    <row r="980" spans="1:40" ht="84" x14ac:dyDescent="0.2">
      <c r="A980" s="1" t="s">
        <v>4783</v>
      </c>
      <c r="B980" s="1" t="s">
        <v>4854</v>
      </c>
      <c r="C980" s="1" t="s">
        <v>5713</v>
      </c>
      <c r="D980" s="49">
        <v>18</v>
      </c>
      <c r="E980" s="1">
        <v>1</v>
      </c>
      <c r="F980" s="1" t="s">
        <v>4788</v>
      </c>
      <c r="G980" s="1" t="s">
        <v>9682</v>
      </c>
      <c r="I980" s="1" t="s">
        <v>125</v>
      </c>
      <c r="M980" s="18">
        <v>3</v>
      </c>
      <c r="N980" s="54" t="s">
        <v>9529</v>
      </c>
      <c r="Y980" s="1" t="s">
        <v>9682</v>
      </c>
      <c r="AA980" s="1" t="s">
        <v>125</v>
      </c>
      <c r="AE980" s="1">
        <v>3</v>
      </c>
      <c r="AF980" s="54" t="s">
        <v>9530</v>
      </c>
      <c r="AL980" s="60" t="s">
        <v>36</v>
      </c>
      <c r="AN980" s="4" t="s">
        <v>4855</v>
      </c>
    </row>
    <row r="981" spans="1:40" ht="48" x14ac:dyDescent="0.2">
      <c r="A981" s="1" t="s">
        <v>4783</v>
      </c>
      <c r="B981" s="1" t="s">
        <v>4856</v>
      </c>
      <c r="C981" s="1" t="s">
        <v>5713</v>
      </c>
      <c r="D981" s="49">
        <v>19</v>
      </c>
      <c r="E981" s="1">
        <v>1</v>
      </c>
      <c r="F981" s="1" t="s">
        <v>4788</v>
      </c>
      <c r="G981" s="1" t="s">
        <v>9711</v>
      </c>
      <c r="I981" s="1" t="s">
        <v>125</v>
      </c>
      <c r="M981" s="18">
        <v>4</v>
      </c>
      <c r="N981" s="54" t="s">
        <v>9529</v>
      </c>
      <c r="Y981" s="1" t="s">
        <v>9711</v>
      </c>
      <c r="AA981" s="1" t="s">
        <v>125</v>
      </c>
      <c r="AE981" s="1">
        <v>4</v>
      </c>
      <c r="AF981" s="54" t="s">
        <v>9530</v>
      </c>
      <c r="AL981" s="60" t="s">
        <v>666</v>
      </c>
      <c r="AN981" s="4" t="s">
        <v>4857</v>
      </c>
    </row>
    <row r="982" spans="1:40" ht="48" x14ac:dyDescent="0.2">
      <c r="A982" s="117" t="s">
        <v>3365</v>
      </c>
      <c r="B982" s="117" t="s">
        <v>3434</v>
      </c>
      <c r="C982" s="117" t="s">
        <v>5714</v>
      </c>
      <c r="D982" s="118">
        <v>1</v>
      </c>
      <c r="E982" s="117">
        <v>1</v>
      </c>
      <c r="F982" s="117" t="s">
        <v>3370</v>
      </c>
      <c r="G982" s="117" t="s">
        <v>9563</v>
      </c>
      <c r="I982" s="1" t="s">
        <v>125</v>
      </c>
      <c r="M982" s="18">
        <v>1</v>
      </c>
      <c r="N982" s="54" t="s">
        <v>9529</v>
      </c>
      <c r="V982" s="4" t="s">
        <v>3435</v>
      </c>
      <c r="X982" s="1" t="s">
        <v>1629</v>
      </c>
      <c r="Y982" s="1" t="s">
        <v>9563</v>
      </c>
      <c r="AA982" s="1" t="s">
        <v>125</v>
      </c>
      <c r="AE982" s="1">
        <v>1</v>
      </c>
      <c r="AF982" s="54" t="s">
        <v>9530</v>
      </c>
      <c r="AL982" s="60" t="s">
        <v>5621</v>
      </c>
      <c r="AN982" s="4" t="s">
        <v>3436</v>
      </c>
    </row>
    <row r="983" spans="1:40" ht="60" x14ac:dyDescent="0.2">
      <c r="A983" s="1" t="s">
        <v>3365</v>
      </c>
      <c r="B983" s="1" t="s">
        <v>3389</v>
      </c>
      <c r="C983" s="1" t="s">
        <v>5714</v>
      </c>
      <c r="D983" s="49">
        <v>2</v>
      </c>
      <c r="E983" s="1">
        <v>1</v>
      </c>
      <c r="F983" s="1" t="s">
        <v>3370</v>
      </c>
      <c r="G983" s="1" t="s">
        <v>9622</v>
      </c>
      <c r="I983" s="1" t="s">
        <v>125</v>
      </c>
      <c r="M983" s="18">
        <v>2</v>
      </c>
      <c r="N983" s="54" t="s">
        <v>9529</v>
      </c>
      <c r="Y983" s="1" t="s">
        <v>9622</v>
      </c>
      <c r="AA983" s="1" t="s">
        <v>125</v>
      </c>
      <c r="AE983" s="1">
        <v>2</v>
      </c>
      <c r="AF983" s="54" t="s">
        <v>9530</v>
      </c>
      <c r="AL983" s="60" t="s">
        <v>275</v>
      </c>
      <c r="AN983" s="4" t="s">
        <v>3390</v>
      </c>
    </row>
    <row r="984" spans="1:40" ht="120" x14ac:dyDescent="0.2">
      <c r="A984" s="1" t="s">
        <v>3365</v>
      </c>
      <c r="B984" s="1" t="s">
        <v>3437</v>
      </c>
      <c r="C984" s="1" t="s">
        <v>5714</v>
      </c>
      <c r="D984" s="49">
        <v>3</v>
      </c>
      <c r="E984" s="1">
        <v>1</v>
      </c>
      <c r="F984" s="1" t="s">
        <v>3370</v>
      </c>
      <c r="G984" s="1" t="s">
        <v>9683</v>
      </c>
      <c r="I984" s="1" t="s">
        <v>125</v>
      </c>
      <c r="M984" s="18">
        <v>3</v>
      </c>
      <c r="N984" s="54" t="s">
        <v>9529</v>
      </c>
      <c r="Y984" s="1" t="s">
        <v>9683</v>
      </c>
      <c r="AA984" s="1" t="s">
        <v>125</v>
      </c>
      <c r="AE984" s="1">
        <v>3</v>
      </c>
      <c r="AF984" s="54" t="s">
        <v>9530</v>
      </c>
      <c r="AL984" s="60" t="s">
        <v>799</v>
      </c>
      <c r="AN984" s="4" t="s">
        <v>3438</v>
      </c>
    </row>
    <row r="985" spans="1:40" ht="24" x14ac:dyDescent="0.2">
      <c r="A985" s="1" t="s">
        <v>3365</v>
      </c>
      <c r="B985" s="1" t="s">
        <v>3424</v>
      </c>
      <c r="C985" s="1" t="s">
        <v>5714</v>
      </c>
      <c r="D985" s="49">
        <v>4</v>
      </c>
      <c r="E985" s="1">
        <v>3</v>
      </c>
      <c r="F985" s="1" t="s">
        <v>3370</v>
      </c>
      <c r="G985" s="1" t="s">
        <v>3425</v>
      </c>
      <c r="H985" s="1" t="s">
        <v>26</v>
      </c>
      <c r="I985" s="1" t="s">
        <v>94</v>
      </c>
      <c r="K985" s="1" t="s">
        <v>1142</v>
      </c>
      <c r="L985" s="2" t="s">
        <v>3426</v>
      </c>
      <c r="N985" s="54">
        <v>40</v>
      </c>
      <c r="O985" s="55">
        <v>7</v>
      </c>
      <c r="Q985" s="57">
        <v>5</v>
      </c>
      <c r="R985" s="58">
        <v>9</v>
      </c>
      <c r="S985" s="59">
        <v>20</v>
      </c>
      <c r="V985" s="4" t="s">
        <v>3427</v>
      </c>
      <c r="AL985" s="60" t="s">
        <v>30</v>
      </c>
    </row>
    <row r="986" spans="1:40" x14ac:dyDescent="0.2">
      <c r="A986" s="1" t="s">
        <v>3365</v>
      </c>
      <c r="B986" s="1" t="s">
        <v>3428</v>
      </c>
      <c r="C986" s="1" t="s">
        <v>5714</v>
      </c>
      <c r="D986" s="49">
        <v>5</v>
      </c>
      <c r="E986" s="1">
        <v>3</v>
      </c>
      <c r="F986" s="1" t="s">
        <v>3370</v>
      </c>
      <c r="G986" s="1" t="s">
        <v>3429</v>
      </c>
      <c r="H986" s="1" t="s">
        <v>26</v>
      </c>
      <c r="I986" s="1" t="s">
        <v>94</v>
      </c>
      <c r="K986" s="1" t="s">
        <v>1142</v>
      </c>
      <c r="L986" s="2" t="s">
        <v>331</v>
      </c>
      <c r="N986" s="54">
        <v>35</v>
      </c>
      <c r="O986" s="55">
        <v>6</v>
      </c>
      <c r="Q986" s="57">
        <v>7</v>
      </c>
      <c r="R986" s="58">
        <v>7</v>
      </c>
      <c r="S986" s="59">
        <v>20</v>
      </c>
      <c r="V986" s="4" t="s">
        <v>3430</v>
      </c>
      <c r="AL986" s="60" t="s">
        <v>30</v>
      </c>
    </row>
    <row r="987" spans="1:40" ht="60" x14ac:dyDescent="0.2">
      <c r="A987" s="1" t="s">
        <v>3365</v>
      </c>
      <c r="B987" s="1" t="s">
        <v>3420</v>
      </c>
      <c r="C987" s="1" t="s">
        <v>5714</v>
      </c>
      <c r="D987" s="49">
        <v>6</v>
      </c>
      <c r="E987" s="1">
        <v>3</v>
      </c>
      <c r="F987" s="1" t="s">
        <v>3370</v>
      </c>
      <c r="G987" s="1" t="s">
        <v>3421</v>
      </c>
      <c r="H987" s="1" t="s">
        <v>26</v>
      </c>
      <c r="I987" s="1" t="s">
        <v>94</v>
      </c>
      <c r="K987" s="1" t="s">
        <v>1142</v>
      </c>
      <c r="L987" s="2" t="s">
        <v>331</v>
      </c>
      <c r="N987" s="54">
        <v>30</v>
      </c>
      <c r="O987" s="55">
        <v>5</v>
      </c>
      <c r="Q987" s="57">
        <v>8</v>
      </c>
      <c r="R987" s="58">
        <v>8</v>
      </c>
      <c r="S987" s="59">
        <v>20</v>
      </c>
      <c r="V987" s="4" t="s">
        <v>3423</v>
      </c>
      <c r="AL987" s="60" t="s">
        <v>30</v>
      </c>
    </row>
    <row r="988" spans="1:40" ht="24" x14ac:dyDescent="0.2">
      <c r="A988" s="1" t="s">
        <v>3365</v>
      </c>
      <c r="B988" s="1" t="s">
        <v>3403</v>
      </c>
      <c r="C988" s="1" t="s">
        <v>5714</v>
      </c>
      <c r="D988" s="49">
        <v>7</v>
      </c>
      <c r="E988" s="1">
        <v>1</v>
      </c>
      <c r="F988" s="1" t="s">
        <v>3370</v>
      </c>
      <c r="G988" s="1" t="s">
        <v>3404</v>
      </c>
      <c r="H988" s="1" t="s">
        <v>26</v>
      </c>
      <c r="I988" s="1" t="s">
        <v>88</v>
      </c>
      <c r="K988" s="1" t="s">
        <v>2428</v>
      </c>
      <c r="V988" s="4" t="s">
        <v>3405</v>
      </c>
      <c r="AL988" s="60" t="s">
        <v>30</v>
      </c>
    </row>
    <row r="989" spans="1:40" ht="60" x14ac:dyDescent="0.2">
      <c r="A989" s="1" t="s">
        <v>3365</v>
      </c>
      <c r="B989" s="1" t="s">
        <v>3443</v>
      </c>
      <c r="C989" s="1" t="s">
        <v>5714</v>
      </c>
      <c r="D989" s="49">
        <v>8</v>
      </c>
      <c r="E989" s="1">
        <v>1</v>
      </c>
      <c r="F989" s="1" t="s">
        <v>3370</v>
      </c>
      <c r="G989" s="1" t="s">
        <v>3444</v>
      </c>
      <c r="H989" s="1" t="s">
        <v>26</v>
      </c>
      <c r="I989" s="1" t="s">
        <v>88</v>
      </c>
      <c r="K989" s="1" t="s">
        <v>95</v>
      </c>
      <c r="L989" s="2" t="s">
        <v>90</v>
      </c>
      <c r="V989" s="4" t="s">
        <v>3445</v>
      </c>
      <c r="AL989" s="60" t="s">
        <v>30</v>
      </c>
    </row>
    <row r="990" spans="1:40" ht="24" x14ac:dyDescent="0.2">
      <c r="A990" s="1" t="s">
        <v>3365</v>
      </c>
      <c r="B990" s="1" t="s">
        <v>3371</v>
      </c>
      <c r="C990" s="1" t="s">
        <v>5714</v>
      </c>
      <c r="D990" s="49">
        <v>9</v>
      </c>
      <c r="E990" s="1">
        <v>3</v>
      </c>
      <c r="F990" s="1" t="s">
        <v>3370</v>
      </c>
      <c r="G990" s="1" t="s">
        <v>3372</v>
      </c>
      <c r="I990" s="1" t="s">
        <v>82</v>
      </c>
      <c r="V990" s="4" t="s">
        <v>3373</v>
      </c>
      <c r="W990" s="4" t="s">
        <v>3374</v>
      </c>
      <c r="AL990" s="60" t="s">
        <v>30</v>
      </c>
    </row>
    <row r="991" spans="1:40" ht="24" x14ac:dyDescent="0.2">
      <c r="A991" s="1" t="s">
        <v>3365</v>
      </c>
      <c r="B991" s="1" t="s">
        <v>3417</v>
      </c>
      <c r="C991" s="1" t="s">
        <v>5714</v>
      </c>
      <c r="D991" s="49">
        <v>10</v>
      </c>
      <c r="E991" s="1">
        <v>3</v>
      </c>
      <c r="F991" s="1" t="s">
        <v>3370</v>
      </c>
      <c r="G991" s="1" t="s">
        <v>3418</v>
      </c>
      <c r="I991" s="1" t="s">
        <v>82</v>
      </c>
      <c r="V991" s="4" t="s">
        <v>3402</v>
      </c>
      <c r="W991" s="4" t="s">
        <v>3419</v>
      </c>
      <c r="AL991" s="60" t="s">
        <v>30</v>
      </c>
    </row>
    <row r="992" spans="1:40" ht="48" x14ac:dyDescent="0.2">
      <c r="A992" s="1" t="s">
        <v>3365</v>
      </c>
      <c r="B992" s="1" t="s">
        <v>3446</v>
      </c>
      <c r="C992" s="1" t="s">
        <v>5714</v>
      </c>
      <c r="D992" s="49">
        <v>11</v>
      </c>
      <c r="E992" s="1">
        <v>3</v>
      </c>
      <c r="F992" s="1" t="s">
        <v>3370</v>
      </c>
      <c r="G992" s="1" t="s">
        <v>3447</v>
      </c>
      <c r="I992" s="1" t="s">
        <v>82</v>
      </c>
      <c r="V992" s="4" t="s">
        <v>3448</v>
      </c>
      <c r="AL992" s="60" t="s">
        <v>30</v>
      </c>
    </row>
    <row r="993" spans="1:40" ht="36" x14ac:dyDescent="0.2">
      <c r="A993" s="1" t="s">
        <v>3365</v>
      </c>
      <c r="B993" s="1" t="s">
        <v>3375</v>
      </c>
      <c r="C993" s="1" t="s">
        <v>5714</v>
      </c>
      <c r="D993" s="49">
        <v>12</v>
      </c>
      <c r="E993" s="1">
        <v>3</v>
      </c>
      <c r="F993" s="1" t="s">
        <v>3370</v>
      </c>
      <c r="G993" s="1" t="s">
        <v>3376</v>
      </c>
      <c r="I993" s="1" t="s">
        <v>82</v>
      </c>
      <c r="V993" s="4" t="s">
        <v>3377</v>
      </c>
      <c r="W993" s="4" t="s">
        <v>3378</v>
      </c>
      <c r="AL993" s="60" t="s">
        <v>30</v>
      </c>
    </row>
    <row r="994" spans="1:40" ht="36" x14ac:dyDescent="0.2">
      <c r="A994" s="1" t="s">
        <v>3365</v>
      </c>
      <c r="B994" s="1" t="s">
        <v>3366</v>
      </c>
      <c r="C994" s="1" t="s">
        <v>5714</v>
      </c>
      <c r="D994" s="49">
        <v>13</v>
      </c>
      <c r="E994" s="1">
        <v>2</v>
      </c>
      <c r="F994" s="1" t="s">
        <v>3370</v>
      </c>
      <c r="G994" s="1" t="s">
        <v>3367</v>
      </c>
      <c r="I994" s="1" t="s">
        <v>82</v>
      </c>
      <c r="V994" s="4" t="s">
        <v>3368</v>
      </c>
      <c r="W994" s="4" t="s">
        <v>3369</v>
      </c>
      <c r="AL994" s="60" t="s">
        <v>30</v>
      </c>
    </row>
    <row r="995" spans="1:40" ht="36" x14ac:dyDescent="0.2">
      <c r="A995" s="1" t="s">
        <v>3365</v>
      </c>
      <c r="B995" s="1" t="s">
        <v>3413</v>
      </c>
      <c r="C995" s="1" t="s">
        <v>5714</v>
      </c>
      <c r="D995" s="49">
        <v>14</v>
      </c>
      <c r="E995" s="1">
        <v>2</v>
      </c>
      <c r="F995" s="1" t="s">
        <v>3370</v>
      </c>
      <c r="G995" s="1" t="s">
        <v>3414</v>
      </c>
      <c r="I995" s="1" t="s">
        <v>82</v>
      </c>
      <c r="V995" s="4" t="s">
        <v>3415</v>
      </c>
      <c r="W995" s="4" t="s">
        <v>3416</v>
      </c>
      <c r="AL995" s="60" t="s">
        <v>30</v>
      </c>
    </row>
    <row r="996" spans="1:40" x14ac:dyDescent="0.2">
      <c r="A996" s="1" t="s">
        <v>3365</v>
      </c>
      <c r="B996" s="1" t="s">
        <v>3449</v>
      </c>
      <c r="C996" s="1" t="s">
        <v>5714</v>
      </c>
      <c r="D996" s="49">
        <v>15</v>
      </c>
      <c r="E996" s="1">
        <v>1</v>
      </c>
      <c r="F996" s="1" t="s">
        <v>3370</v>
      </c>
      <c r="G996" s="1" t="s">
        <v>3450</v>
      </c>
      <c r="I996" s="1" t="s">
        <v>104</v>
      </c>
      <c r="K996" s="1" t="s">
        <v>3381</v>
      </c>
      <c r="O996" s="55">
        <v>2</v>
      </c>
      <c r="T996" s="60">
        <v>2</v>
      </c>
      <c r="U996" s="1">
        <v>2</v>
      </c>
      <c r="V996" s="4" t="s">
        <v>3451</v>
      </c>
      <c r="AL996" s="60" t="s">
        <v>30</v>
      </c>
    </row>
    <row r="997" spans="1:40" ht="24" x14ac:dyDescent="0.2">
      <c r="A997" s="1" t="s">
        <v>3365</v>
      </c>
      <c r="B997" s="1" t="s">
        <v>3439</v>
      </c>
      <c r="C997" s="1" t="s">
        <v>5714</v>
      </c>
      <c r="D997" s="49">
        <v>16</v>
      </c>
      <c r="E997" s="1">
        <v>1</v>
      </c>
      <c r="F997" s="1" t="s">
        <v>3370</v>
      </c>
      <c r="G997" s="1" t="s">
        <v>3440</v>
      </c>
      <c r="I997" s="1" t="s">
        <v>104</v>
      </c>
      <c r="K997" s="1" t="s">
        <v>3386</v>
      </c>
      <c r="L997" s="2" t="s">
        <v>3401</v>
      </c>
      <c r="O997" s="55">
        <v>4</v>
      </c>
      <c r="T997" s="60">
        <v>8</v>
      </c>
      <c r="U997" s="1">
        <v>8</v>
      </c>
      <c r="V997" s="4" t="s">
        <v>3441</v>
      </c>
      <c r="W997" s="4" t="s">
        <v>3442</v>
      </c>
      <c r="AL997" s="60" t="s">
        <v>30</v>
      </c>
    </row>
    <row r="998" spans="1:40" ht="24" x14ac:dyDescent="0.2">
      <c r="A998" s="1" t="s">
        <v>3365</v>
      </c>
      <c r="B998" s="1" t="s">
        <v>3431</v>
      </c>
      <c r="C998" s="1" t="s">
        <v>5714</v>
      </c>
      <c r="D998" s="49">
        <v>17</v>
      </c>
      <c r="E998" s="1">
        <v>1</v>
      </c>
      <c r="F998" s="1" t="s">
        <v>3370</v>
      </c>
      <c r="G998" s="1" t="s">
        <v>3432</v>
      </c>
      <c r="I998" s="1" t="s">
        <v>104</v>
      </c>
      <c r="K998" s="1" t="s">
        <v>3381</v>
      </c>
      <c r="L998" s="2" t="s">
        <v>3397</v>
      </c>
      <c r="O998" s="55">
        <v>1</v>
      </c>
      <c r="T998" s="60">
        <v>4</v>
      </c>
      <c r="U998" s="1">
        <v>4</v>
      </c>
      <c r="V998" s="4" t="s">
        <v>3433</v>
      </c>
      <c r="AL998" s="60" t="s">
        <v>30</v>
      </c>
    </row>
    <row r="999" spans="1:40" x14ac:dyDescent="0.2">
      <c r="A999" s="1" t="s">
        <v>3365</v>
      </c>
      <c r="B999" s="1" t="s">
        <v>3410</v>
      </c>
      <c r="C999" s="1" t="s">
        <v>5714</v>
      </c>
      <c r="D999" s="49">
        <v>18</v>
      </c>
      <c r="E999" s="1">
        <v>1</v>
      </c>
      <c r="F999" s="1" t="s">
        <v>3370</v>
      </c>
      <c r="G999" s="1" t="s">
        <v>3411</v>
      </c>
      <c r="I999" s="1" t="s">
        <v>104</v>
      </c>
      <c r="K999" s="1" t="s">
        <v>3381</v>
      </c>
      <c r="L999" s="2" t="s">
        <v>3397</v>
      </c>
      <c r="O999" s="55">
        <v>2</v>
      </c>
      <c r="T999" s="60">
        <v>2</v>
      </c>
      <c r="U999" s="1">
        <v>2</v>
      </c>
      <c r="V999" s="4" t="s">
        <v>3412</v>
      </c>
      <c r="AL999" s="60" t="s">
        <v>30</v>
      </c>
    </row>
    <row r="1000" spans="1:40" ht="24" x14ac:dyDescent="0.2">
      <c r="A1000" s="1" t="s">
        <v>3365</v>
      </c>
      <c r="B1000" s="1" t="s">
        <v>3406</v>
      </c>
      <c r="C1000" s="1" t="s">
        <v>5714</v>
      </c>
      <c r="D1000" s="49">
        <v>19</v>
      </c>
      <c r="E1000" s="1">
        <v>4</v>
      </c>
      <c r="F1000" s="1" t="s">
        <v>3370</v>
      </c>
      <c r="G1000" s="1" t="s">
        <v>3407</v>
      </c>
      <c r="I1000" s="1" t="s">
        <v>104</v>
      </c>
      <c r="K1000" s="1" t="s">
        <v>3386</v>
      </c>
      <c r="L1000" s="2" t="s">
        <v>3382</v>
      </c>
      <c r="O1000" s="55">
        <v>4</v>
      </c>
      <c r="T1000" s="60">
        <v>3</v>
      </c>
      <c r="U1000" s="1">
        <v>3</v>
      </c>
      <c r="V1000" s="4" t="s">
        <v>3408</v>
      </c>
      <c r="W1000" s="4" t="s">
        <v>3409</v>
      </c>
      <c r="AL1000" s="60" t="s">
        <v>30</v>
      </c>
    </row>
    <row r="1001" spans="1:40" x14ac:dyDescent="0.2">
      <c r="A1001" s="1" t="s">
        <v>3365</v>
      </c>
      <c r="B1001" s="1" t="s">
        <v>3379</v>
      </c>
      <c r="C1001" s="1" t="s">
        <v>5714</v>
      </c>
      <c r="D1001" s="49">
        <v>20</v>
      </c>
      <c r="E1001" s="1">
        <v>1</v>
      </c>
      <c r="F1001" s="1" t="s">
        <v>3370</v>
      </c>
      <c r="G1001" s="1" t="s">
        <v>3380</v>
      </c>
      <c r="I1001" s="1" t="s">
        <v>104</v>
      </c>
      <c r="K1001" s="1" t="s">
        <v>3381</v>
      </c>
      <c r="L1001" s="2" t="s">
        <v>3382</v>
      </c>
      <c r="O1001" s="55">
        <v>2</v>
      </c>
      <c r="T1001" s="60">
        <v>2</v>
      </c>
      <c r="U1001" s="1">
        <v>2</v>
      </c>
      <c r="V1001" s="4" t="s">
        <v>3383</v>
      </c>
      <c r="AL1001" s="60" t="s">
        <v>30</v>
      </c>
    </row>
    <row r="1002" spans="1:40" x14ac:dyDescent="0.2">
      <c r="A1002" s="1" t="s">
        <v>3365</v>
      </c>
      <c r="B1002" s="1" t="s">
        <v>3399</v>
      </c>
      <c r="C1002" s="1" t="s">
        <v>5714</v>
      </c>
      <c r="D1002" s="49">
        <v>21</v>
      </c>
      <c r="E1002" s="1">
        <v>1</v>
      </c>
      <c r="F1002" s="1" t="s">
        <v>3370</v>
      </c>
      <c r="G1002" s="1" t="s">
        <v>3400</v>
      </c>
      <c r="I1002" s="1" t="s">
        <v>104</v>
      </c>
      <c r="K1002" s="1" t="s">
        <v>3386</v>
      </c>
      <c r="L1002" s="2" t="s">
        <v>3401</v>
      </c>
      <c r="O1002" s="55">
        <v>6</v>
      </c>
      <c r="T1002" s="60">
        <v>6</v>
      </c>
      <c r="U1002" s="1">
        <v>6</v>
      </c>
      <c r="V1002" s="4" t="s">
        <v>3402</v>
      </c>
      <c r="AL1002" s="60" t="s">
        <v>30</v>
      </c>
    </row>
    <row r="1003" spans="1:40" ht="36" x14ac:dyDescent="0.2">
      <c r="A1003" s="1" t="s">
        <v>3365</v>
      </c>
      <c r="B1003" s="1" t="s">
        <v>3395</v>
      </c>
      <c r="C1003" s="1" t="s">
        <v>5714</v>
      </c>
      <c r="D1003" s="49">
        <v>22</v>
      </c>
      <c r="E1003" s="1">
        <v>1</v>
      </c>
      <c r="F1003" s="1" t="s">
        <v>3370</v>
      </c>
      <c r="G1003" s="1" t="s">
        <v>3396</v>
      </c>
      <c r="I1003" s="1" t="s">
        <v>104</v>
      </c>
      <c r="K1003" s="1" t="s">
        <v>3386</v>
      </c>
      <c r="L1003" s="2" t="s">
        <v>3397</v>
      </c>
      <c r="O1003" s="55">
        <v>3</v>
      </c>
      <c r="T1003" s="60">
        <v>4</v>
      </c>
      <c r="U1003" s="1">
        <v>4</v>
      </c>
      <c r="V1003" s="4" t="s">
        <v>3398</v>
      </c>
      <c r="AL1003" s="60" t="s">
        <v>30</v>
      </c>
    </row>
    <row r="1004" spans="1:40" ht="24" x14ac:dyDescent="0.2">
      <c r="A1004" s="1" t="s">
        <v>3365</v>
      </c>
      <c r="B1004" s="1" t="s">
        <v>3391</v>
      </c>
      <c r="C1004" s="1" t="s">
        <v>5714</v>
      </c>
      <c r="D1004" s="49">
        <v>23</v>
      </c>
      <c r="E1004" s="1">
        <v>4</v>
      </c>
      <c r="F1004" s="1" t="s">
        <v>3370</v>
      </c>
      <c r="G1004" s="1" t="s">
        <v>3392</v>
      </c>
      <c r="I1004" s="1" t="s">
        <v>104</v>
      </c>
      <c r="K1004" s="1" t="s">
        <v>3386</v>
      </c>
      <c r="L1004" s="2" t="s">
        <v>3382</v>
      </c>
      <c r="O1004" s="55">
        <v>2</v>
      </c>
      <c r="T1004" s="60">
        <v>2</v>
      </c>
      <c r="U1004" s="1">
        <v>2</v>
      </c>
      <c r="V1004" s="4" t="s">
        <v>3393</v>
      </c>
      <c r="W1004" s="4" t="s">
        <v>3394</v>
      </c>
      <c r="AL1004" s="60" t="s">
        <v>30</v>
      </c>
    </row>
    <row r="1005" spans="1:40" ht="24" x14ac:dyDescent="0.2">
      <c r="A1005" s="1" t="s">
        <v>3365</v>
      </c>
      <c r="B1005" s="1" t="s">
        <v>3384</v>
      </c>
      <c r="C1005" s="1" t="s">
        <v>5714</v>
      </c>
      <c r="D1005" s="49">
        <v>24</v>
      </c>
      <c r="E1005" s="1">
        <v>4</v>
      </c>
      <c r="F1005" s="1" t="s">
        <v>3370</v>
      </c>
      <c r="G1005" s="1" t="s">
        <v>3385</v>
      </c>
      <c r="I1005" s="1" t="s">
        <v>104</v>
      </c>
      <c r="K1005" s="1" t="s">
        <v>3386</v>
      </c>
      <c r="L1005" s="2" t="s">
        <v>3382</v>
      </c>
      <c r="O1005" s="55">
        <v>3</v>
      </c>
      <c r="T1005" s="60">
        <v>4</v>
      </c>
      <c r="U1005" s="1">
        <v>4</v>
      </c>
      <c r="V1005" s="4" t="s">
        <v>3387</v>
      </c>
      <c r="W1005" s="4" t="s">
        <v>3388</v>
      </c>
      <c r="AL1005" s="60" t="s">
        <v>30</v>
      </c>
    </row>
    <row r="1006" spans="1:40" ht="48" x14ac:dyDescent="0.2">
      <c r="A1006" s="117" t="s">
        <v>5144</v>
      </c>
      <c r="B1006" s="117" t="s">
        <v>5216</v>
      </c>
      <c r="C1006" s="117" t="s">
        <v>5715</v>
      </c>
      <c r="D1006" s="118">
        <v>1</v>
      </c>
      <c r="E1006" s="117">
        <v>1</v>
      </c>
      <c r="F1006" s="117" t="s">
        <v>5149</v>
      </c>
      <c r="G1006" s="117" t="s">
        <v>9564</v>
      </c>
      <c r="I1006" s="1" t="s">
        <v>125</v>
      </c>
      <c r="M1006" s="18">
        <v>1</v>
      </c>
      <c r="N1006" s="54" t="s">
        <v>9529</v>
      </c>
      <c r="V1006" s="4" t="s">
        <v>5217</v>
      </c>
      <c r="X1006" s="1" t="s">
        <v>5218</v>
      </c>
      <c r="Y1006" s="1" t="s">
        <v>9564</v>
      </c>
      <c r="AA1006" s="1" t="s">
        <v>125</v>
      </c>
      <c r="AE1006" s="1">
        <v>1</v>
      </c>
      <c r="AF1006" s="54" t="s">
        <v>9530</v>
      </c>
      <c r="AL1006" s="60" t="s">
        <v>166</v>
      </c>
      <c r="AN1006" s="4" t="s">
        <v>5219</v>
      </c>
    </row>
    <row r="1007" spans="1:40" ht="36" x14ac:dyDescent="0.2">
      <c r="A1007" s="1" t="s">
        <v>5144</v>
      </c>
      <c r="B1007" s="1" t="s">
        <v>5220</v>
      </c>
      <c r="C1007" s="1" t="s">
        <v>5715</v>
      </c>
      <c r="D1007" s="49">
        <v>2</v>
      </c>
      <c r="E1007" s="1">
        <v>1</v>
      </c>
      <c r="F1007" s="1" t="s">
        <v>5149</v>
      </c>
      <c r="G1007" s="1" t="s">
        <v>9623</v>
      </c>
      <c r="I1007" s="1" t="s">
        <v>125</v>
      </c>
      <c r="M1007" s="18">
        <v>2</v>
      </c>
      <c r="N1007" s="54" t="s">
        <v>9529</v>
      </c>
      <c r="V1007" s="4" t="s">
        <v>5221</v>
      </c>
      <c r="Y1007" s="1" t="s">
        <v>9623</v>
      </c>
      <c r="AA1007" s="1" t="s">
        <v>125</v>
      </c>
      <c r="AE1007" s="1">
        <v>2</v>
      </c>
      <c r="AF1007" s="54" t="s">
        <v>9530</v>
      </c>
      <c r="AL1007" s="60" t="s">
        <v>341</v>
      </c>
      <c r="AN1007" s="4" t="s">
        <v>5222</v>
      </c>
    </row>
    <row r="1008" spans="1:40" ht="48" x14ac:dyDescent="0.2">
      <c r="A1008" s="1" t="s">
        <v>5144</v>
      </c>
      <c r="B1008" s="1" t="s">
        <v>5223</v>
      </c>
      <c r="C1008" s="1" t="s">
        <v>5715</v>
      </c>
      <c r="D1008" s="49">
        <v>3</v>
      </c>
      <c r="E1008" s="1">
        <v>1</v>
      </c>
      <c r="F1008" s="1" t="s">
        <v>5149</v>
      </c>
      <c r="G1008" s="1" t="s">
        <v>9684</v>
      </c>
      <c r="I1008" s="1" t="s">
        <v>125</v>
      </c>
      <c r="M1008" s="18">
        <v>3</v>
      </c>
      <c r="N1008" s="54" t="s">
        <v>9529</v>
      </c>
      <c r="V1008" s="4" t="s">
        <v>5224</v>
      </c>
      <c r="Y1008" s="1" t="s">
        <v>9684</v>
      </c>
      <c r="AA1008" s="1" t="s">
        <v>125</v>
      </c>
      <c r="AE1008" s="1">
        <v>3</v>
      </c>
      <c r="AF1008" s="54" t="s">
        <v>9530</v>
      </c>
      <c r="AL1008" s="60" t="s">
        <v>5621</v>
      </c>
      <c r="AN1008" s="4" t="s">
        <v>5225</v>
      </c>
    </row>
    <row r="1009" spans="1:43" ht="96" x14ac:dyDescent="0.2">
      <c r="A1009" s="1" t="s">
        <v>5144</v>
      </c>
      <c r="B1009" s="1" t="s">
        <v>5230</v>
      </c>
      <c r="C1009" s="1" t="s">
        <v>5715</v>
      </c>
      <c r="D1009" s="49">
        <v>4</v>
      </c>
      <c r="E1009" s="1">
        <v>1</v>
      </c>
      <c r="F1009" s="1" t="s">
        <v>5149</v>
      </c>
      <c r="G1009" s="1" t="s">
        <v>5231</v>
      </c>
      <c r="H1009" s="1" t="s">
        <v>26</v>
      </c>
      <c r="I1009" s="1" t="s">
        <v>88</v>
      </c>
      <c r="K1009" s="1" t="s">
        <v>205</v>
      </c>
      <c r="P1009" s="56">
        <v>3</v>
      </c>
      <c r="Q1009" s="57">
        <v>1</v>
      </c>
      <c r="R1009" s="58">
        <v>1</v>
      </c>
      <c r="S1009" s="59">
        <v>2</v>
      </c>
      <c r="V1009" s="4" t="s">
        <v>5232</v>
      </c>
      <c r="AL1009" s="60" t="s">
        <v>30</v>
      </c>
      <c r="AQ1009" s="5"/>
    </row>
    <row r="1010" spans="1:43" ht="36" x14ac:dyDescent="0.2">
      <c r="A1010" s="1" t="s">
        <v>5144</v>
      </c>
      <c r="B1010" s="1" t="s">
        <v>5183</v>
      </c>
      <c r="C1010" s="1" t="s">
        <v>5715</v>
      </c>
      <c r="D1010" s="49">
        <v>5</v>
      </c>
      <c r="E1010" s="1">
        <v>1</v>
      </c>
      <c r="F1010" s="1" t="s">
        <v>5149</v>
      </c>
      <c r="G1010" s="1" t="s">
        <v>5184</v>
      </c>
      <c r="H1010" s="1" t="s">
        <v>26</v>
      </c>
      <c r="I1010" s="1" t="s">
        <v>94</v>
      </c>
      <c r="K1010" s="1" t="s">
        <v>5164</v>
      </c>
      <c r="L1010" s="2" t="s">
        <v>5185</v>
      </c>
      <c r="N1010" s="54">
        <v>30</v>
      </c>
      <c r="O1010" s="55">
        <v>5</v>
      </c>
      <c r="Q1010" s="57">
        <v>6</v>
      </c>
      <c r="R1010" s="58">
        <v>3</v>
      </c>
      <c r="S1010" s="59">
        <v>9</v>
      </c>
      <c r="V1010" s="4" t="s">
        <v>5186</v>
      </c>
      <c r="AL1010" s="60" t="s">
        <v>30</v>
      </c>
      <c r="AQ1010" s="5"/>
    </row>
    <row r="1011" spans="1:43" ht="48" x14ac:dyDescent="0.2">
      <c r="A1011" s="1" t="s">
        <v>5144</v>
      </c>
      <c r="B1011" s="1" t="s">
        <v>5187</v>
      </c>
      <c r="C1011" s="1" t="s">
        <v>5715</v>
      </c>
      <c r="D1011" s="49">
        <v>6</v>
      </c>
      <c r="E1011" s="1">
        <v>1</v>
      </c>
      <c r="F1011" s="1" t="s">
        <v>5149</v>
      </c>
      <c r="G1011" s="1" t="s">
        <v>5149</v>
      </c>
      <c r="H1011" s="1" t="s">
        <v>26</v>
      </c>
      <c r="I1011" s="1" t="s">
        <v>104</v>
      </c>
      <c r="K1011" s="1" t="s">
        <v>5178</v>
      </c>
      <c r="L1011" s="2" t="s">
        <v>5188</v>
      </c>
      <c r="O1011" s="55" t="s">
        <v>113</v>
      </c>
      <c r="T1011" s="60">
        <v>6</v>
      </c>
      <c r="U1011" s="1">
        <v>5</v>
      </c>
      <c r="V1011" s="4" t="s">
        <v>5189</v>
      </c>
      <c r="AL1011" s="60" t="s">
        <v>30</v>
      </c>
      <c r="AQ1011" s="5"/>
    </row>
    <row r="1012" spans="1:43" ht="48" x14ac:dyDescent="0.2">
      <c r="A1012" s="1" t="s">
        <v>5144</v>
      </c>
      <c r="B1012" s="1" t="s">
        <v>5190</v>
      </c>
      <c r="C1012" s="1" t="s">
        <v>5715</v>
      </c>
      <c r="D1012" s="49">
        <v>7</v>
      </c>
      <c r="E1012" s="1">
        <v>1</v>
      </c>
      <c r="F1012" s="1" t="s">
        <v>5149</v>
      </c>
      <c r="G1012" s="1" t="s">
        <v>5191</v>
      </c>
      <c r="H1012" s="1" t="s">
        <v>26</v>
      </c>
      <c r="I1012" s="1" t="s">
        <v>104</v>
      </c>
      <c r="K1012" s="1" t="s">
        <v>5192</v>
      </c>
      <c r="O1012" s="55">
        <v>3</v>
      </c>
      <c r="T1012" s="60">
        <v>6</v>
      </c>
      <c r="U1012" s="1">
        <v>1</v>
      </c>
      <c r="V1012" s="4" t="s">
        <v>5193</v>
      </c>
      <c r="AL1012" s="60" t="s">
        <v>30</v>
      </c>
      <c r="AQ1012" s="5"/>
    </row>
    <row r="1013" spans="1:43" ht="48" x14ac:dyDescent="0.2">
      <c r="A1013" s="1" t="s">
        <v>5144</v>
      </c>
      <c r="B1013" s="1" t="s">
        <v>5159</v>
      </c>
      <c r="C1013" s="1" t="s">
        <v>5715</v>
      </c>
      <c r="D1013" s="49">
        <v>8</v>
      </c>
      <c r="E1013" s="1">
        <v>1</v>
      </c>
      <c r="F1013" s="1" t="s">
        <v>5149</v>
      </c>
      <c r="G1013" s="1" t="s">
        <v>5160</v>
      </c>
      <c r="I1013" s="1" t="s">
        <v>88</v>
      </c>
      <c r="K1013" s="1" t="s">
        <v>5152</v>
      </c>
      <c r="V1013" s="4" t="s">
        <v>5161</v>
      </c>
      <c r="AL1013" s="60" t="s">
        <v>30</v>
      </c>
      <c r="AQ1013" s="5"/>
    </row>
    <row r="1014" spans="1:43" ht="48" x14ac:dyDescent="0.2">
      <c r="A1014" s="1" t="s">
        <v>5144</v>
      </c>
      <c r="B1014" s="1" t="s">
        <v>5213</v>
      </c>
      <c r="C1014" s="1" t="s">
        <v>5715</v>
      </c>
      <c r="D1014" s="49">
        <v>9</v>
      </c>
      <c r="E1014" s="1">
        <v>1</v>
      </c>
      <c r="F1014" s="1" t="s">
        <v>5149</v>
      </c>
      <c r="G1014" s="1" t="s">
        <v>5214</v>
      </c>
      <c r="I1014" s="1" t="s">
        <v>88</v>
      </c>
      <c r="K1014" s="1" t="s">
        <v>5152</v>
      </c>
      <c r="V1014" s="4" t="s">
        <v>5215</v>
      </c>
      <c r="AL1014" s="60" t="s">
        <v>30</v>
      </c>
      <c r="AQ1014" s="5"/>
    </row>
    <row r="1015" spans="1:43" ht="24" x14ac:dyDescent="0.2">
      <c r="A1015" s="1" t="s">
        <v>5144</v>
      </c>
      <c r="B1015" s="1" t="s">
        <v>5150</v>
      </c>
      <c r="C1015" s="1" t="s">
        <v>5715</v>
      </c>
      <c r="D1015" s="49">
        <v>10</v>
      </c>
      <c r="E1015" s="1">
        <v>1</v>
      </c>
      <c r="F1015" s="1" t="s">
        <v>5149</v>
      </c>
      <c r="G1015" s="1" t="s">
        <v>5151</v>
      </c>
      <c r="I1015" s="1" t="s">
        <v>88</v>
      </c>
      <c r="K1015" s="1" t="s">
        <v>5152</v>
      </c>
      <c r="V1015" s="4" t="s">
        <v>5153</v>
      </c>
      <c r="AL1015" s="60" t="s">
        <v>30</v>
      </c>
    </row>
    <row r="1016" spans="1:43" ht="48" x14ac:dyDescent="0.2">
      <c r="A1016" s="1" t="s">
        <v>5144</v>
      </c>
      <c r="B1016" s="1" t="s">
        <v>5180</v>
      </c>
      <c r="C1016" s="1" t="s">
        <v>5715</v>
      </c>
      <c r="D1016" s="49">
        <v>11</v>
      </c>
      <c r="E1016" s="1">
        <v>1</v>
      </c>
      <c r="F1016" s="1" t="s">
        <v>5149</v>
      </c>
      <c r="G1016" s="1" t="s">
        <v>5181</v>
      </c>
      <c r="I1016" s="1" t="s">
        <v>88</v>
      </c>
      <c r="K1016" s="1" t="s">
        <v>474</v>
      </c>
      <c r="V1016" s="4" t="s">
        <v>5182</v>
      </c>
      <c r="AL1016" s="60" t="s">
        <v>30</v>
      </c>
      <c r="AQ1016" s="5"/>
    </row>
    <row r="1017" spans="1:43" ht="24" x14ac:dyDescent="0.2">
      <c r="A1017" s="1" t="s">
        <v>5144</v>
      </c>
      <c r="B1017" s="1" t="s">
        <v>5194</v>
      </c>
      <c r="C1017" s="1" t="s">
        <v>5715</v>
      </c>
      <c r="D1017" s="49">
        <v>12</v>
      </c>
      <c r="E1017" s="1">
        <v>2</v>
      </c>
      <c r="F1017" s="1" t="s">
        <v>5149</v>
      </c>
      <c r="G1017" s="1" t="s">
        <v>5195</v>
      </c>
      <c r="I1017" s="1" t="s">
        <v>94</v>
      </c>
      <c r="K1017" s="1" t="s">
        <v>5164</v>
      </c>
      <c r="L1017" s="2" t="s">
        <v>5165</v>
      </c>
      <c r="N1017" s="54">
        <v>27</v>
      </c>
      <c r="O1017" s="55">
        <v>2</v>
      </c>
      <c r="Q1017" s="57">
        <v>4</v>
      </c>
      <c r="R1017" s="58">
        <v>1</v>
      </c>
      <c r="S1017" s="59">
        <v>5</v>
      </c>
      <c r="V1017" s="4" t="s">
        <v>5196</v>
      </c>
      <c r="W1017" s="4" t="s">
        <v>5197</v>
      </c>
      <c r="AL1017" s="60" t="s">
        <v>30</v>
      </c>
      <c r="AQ1017" s="5"/>
    </row>
    <row r="1018" spans="1:43" ht="24" x14ac:dyDescent="0.2">
      <c r="A1018" s="1" t="s">
        <v>5144</v>
      </c>
      <c r="B1018" s="1" t="s">
        <v>5170</v>
      </c>
      <c r="C1018" s="1" t="s">
        <v>5715</v>
      </c>
      <c r="D1018" s="49">
        <v>13</v>
      </c>
      <c r="E1018" s="1">
        <v>4</v>
      </c>
      <c r="F1018" s="1" t="s">
        <v>5149</v>
      </c>
      <c r="G1018" s="1" t="s">
        <v>5171</v>
      </c>
      <c r="I1018" s="1" t="s">
        <v>94</v>
      </c>
      <c r="K1018" s="1" t="s">
        <v>5164</v>
      </c>
      <c r="L1018" s="2" t="s">
        <v>5165</v>
      </c>
      <c r="N1018" s="54">
        <v>12</v>
      </c>
      <c r="O1018" s="55">
        <v>2</v>
      </c>
      <c r="Q1018" s="57">
        <v>3</v>
      </c>
      <c r="R1018" s="58">
        <v>0</v>
      </c>
      <c r="S1018" s="59">
        <v>2</v>
      </c>
      <c r="V1018" s="4" t="s">
        <v>5172</v>
      </c>
      <c r="AL1018" s="60" t="s">
        <v>30</v>
      </c>
      <c r="AQ1018" s="5"/>
    </row>
    <row r="1019" spans="1:43" ht="36" x14ac:dyDescent="0.2">
      <c r="A1019" s="1" t="s">
        <v>5144</v>
      </c>
      <c r="B1019" s="1" t="s">
        <v>5162</v>
      </c>
      <c r="C1019" s="1" t="s">
        <v>5715</v>
      </c>
      <c r="D1019" s="49">
        <v>14</v>
      </c>
      <c r="E1019" s="1">
        <v>3</v>
      </c>
      <c r="F1019" s="1" t="s">
        <v>5149</v>
      </c>
      <c r="G1019" s="1" t="s">
        <v>5163</v>
      </c>
      <c r="I1019" s="1" t="s">
        <v>94</v>
      </c>
      <c r="K1019" s="1" t="s">
        <v>5164</v>
      </c>
      <c r="L1019" s="2" t="s">
        <v>5165</v>
      </c>
      <c r="N1019" s="54">
        <v>35</v>
      </c>
      <c r="O1019" s="55">
        <v>2</v>
      </c>
      <c r="Q1019" s="57">
        <v>2</v>
      </c>
      <c r="R1019" s="58">
        <v>2</v>
      </c>
      <c r="S1019" s="59">
        <v>4</v>
      </c>
      <c r="V1019" s="4" t="s">
        <v>5166</v>
      </c>
      <c r="AL1019" s="60" t="s">
        <v>30</v>
      </c>
      <c r="AQ1019" s="5"/>
    </row>
    <row r="1020" spans="1:43" ht="36" x14ac:dyDescent="0.2">
      <c r="A1020" s="1" t="s">
        <v>5144</v>
      </c>
      <c r="B1020" s="1" t="s">
        <v>5198</v>
      </c>
      <c r="C1020" s="1" t="s">
        <v>5715</v>
      </c>
      <c r="D1020" s="49">
        <v>15</v>
      </c>
      <c r="E1020" s="1">
        <v>2</v>
      </c>
      <c r="F1020" s="1" t="s">
        <v>5149</v>
      </c>
      <c r="G1020" s="1" t="s">
        <v>5199</v>
      </c>
      <c r="I1020" s="1" t="s">
        <v>94</v>
      </c>
      <c r="K1020" s="1" t="s">
        <v>5164</v>
      </c>
      <c r="L1020" s="2" t="s">
        <v>5165</v>
      </c>
      <c r="N1020" s="54">
        <v>42</v>
      </c>
      <c r="O1020" s="55">
        <v>3</v>
      </c>
      <c r="Q1020" s="57">
        <v>4</v>
      </c>
      <c r="R1020" s="58">
        <v>1</v>
      </c>
      <c r="S1020" s="59">
        <v>6</v>
      </c>
      <c r="V1020" s="4" t="s">
        <v>5200</v>
      </c>
      <c r="AL1020" s="60" t="s">
        <v>30</v>
      </c>
      <c r="AQ1020" s="5"/>
    </row>
    <row r="1021" spans="1:43" ht="36" x14ac:dyDescent="0.2">
      <c r="A1021" s="1" t="s">
        <v>5144</v>
      </c>
      <c r="B1021" s="1" t="s">
        <v>5226</v>
      </c>
      <c r="C1021" s="1" t="s">
        <v>5715</v>
      </c>
      <c r="D1021" s="49">
        <v>16</v>
      </c>
      <c r="E1021" s="1">
        <v>3</v>
      </c>
      <c r="F1021" s="1" t="s">
        <v>5149</v>
      </c>
      <c r="G1021" s="1" t="s">
        <v>5227</v>
      </c>
      <c r="I1021" s="1" t="s">
        <v>94</v>
      </c>
      <c r="K1021" s="1" t="s">
        <v>5164</v>
      </c>
      <c r="L1021" s="2" t="s">
        <v>5228</v>
      </c>
      <c r="N1021" s="54">
        <v>23</v>
      </c>
      <c r="O1021" s="55">
        <v>1</v>
      </c>
      <c r="Q1021" s="57">
        <v>2</v>
      </c>
      <c r="R1021" s="58">
        <v>1</v>
      </c>
      <c r="S1021" s="59">
        <v>3</v>
      </c>
      <c r="W1021" s="4" t="s">
        <v>5229</v>
      </c>
      <c r="AL1021" s="60" t="s">
        <v>30</v>
      </c>
      <c r="AQ1021" s="5"/>
    </row>
    <row r="1022" spans="1:43" ht="24" x14ac:dyDescent="0.2">
      <c r="A1022" s="1" t="s">
        <v>5144</v>
      </c>
      <c r="B1022" s="1" t="s">
        <v>5154</v>
      </c>
      <c r="C1022" s="1" t="s">
        <v>5715</v>
      </c>
      <c r="D1022" s="49">
        <v>17</v>
      </c>
      <c r="E1022" s="1">
        <v>2</v>
      </c>
      <c r="F1022" s="1" t="s">
        <v>5149</v>
      </c>
      <c r="G1022" s="1" t="s">
        <v>5155</v>
      </c>
      <c r="I1022" s="1" t="s">
        <v>104</v>
      </c>
      <c r="K1022" s="1" t="s">
        <v>5156</v>
      </c>
      <c r="O1022" s="55">
        <v>2</v>
      </c>
      <c r="T1022" s="60">
        <v>7</v>
      </c>
      <c r="V1022" s="4" t="s">
        <v>5157</v>
      </c>
      <c r="W1022" s="4" t="s">
        <v>5158</v>
      </c>
      <c r="AL1022" s="60" t="s">
        <v>30</v>
      </c>
      <c r="AQ1022" s="5"/>
    </row>
    <row r="1023" spans="1:43" ht="72" x14ac:dyDescent="0.2">
      <c r="A1023" s="1" t="s">
        <v>5144</v>
      </c>
      <c r="B1023" s="1" t="s">
        <v>5204</v>
      </c>
      <c r="C1023" s="1" t="s">
        <v>5715</v>
      </c>
      <c r="D1023" s="49">
        <v>18</v>
      </c>
      <c r="E1023" s="1">
        <v>2</v>
      </c>
      <c r="F1023" s="1" t="s">
        <v>5149</v>
      </c>
      <c r="G1023" s="1" t="s">
        <v>5205</v>
      </c>
      <c r="I1023" s="1" t="s">
        <v>104</v>
      </c>
      <c r="K1023" s="1" t="s">
        <v>5178</v>
      </c>
      <c r="O1023" s="55">
        <v>1</v>
      </c>
      <c r="T1023" s="60">
        <v>3</v>
      </c>
      <c r="V1023" s="4" t="s">
        <v>5206</v>
      </c>
      <c r="AL1023" s="60" t="s">
        <v>30</v>
      </c>
      <c r="AQ1023" s="5"/>
    </row>
    <row r="1024" spans="1:43" ht="36" x14ac:dyDescent="0.2">
      <c r="A1024" s="1" t="s">
        <v>5144</v>
      </c>
      <c r="B1024" s="1" t="s">
        <v>5237</v>
      </c>
      <c r="C1024" s="1" t="s">
        <v>5715</v>
      </c>
      <c r="D1024" s="49">
        <v>19</v>
      </c>
      <c r="E1024" s="1">
        <v>3</v>
      </c>
      <c r="F1024" s="1" t="s">
        <v>5149</v>
      </c>
      <c r="G1024" s="1" t="s">
        <v>5238</v>
      </c>
      <c r="I1024" s="1" t="s">
        <v>104</v>
      </c>
      <c r="K1024" s="1" t="s">
        <v>5178</v>
      </c>
      <c r="O1024" s="55">
        <v>4</v>
      </c>
      <c r="T1024" s="60">
        <v>1</v>
      </c>
      <c r="V1024" s="4" t="s">
        <v>5239</v>
      </c>
      <c r="W1024" s="4" t="s">
        <v>5240</v>
      </c>
      <c r="AL1024" s="60" t="s">
        <v>30</v>
      </c>
      <c r="AQ1024" s="5"/>
    </row>
    <row r="1025" spans="1:43" ht="36" x14ac:dyDescent="0.2">
      <c r="A1025" s="1" t="s">
        <v>5144</v>
      </c>
      <c r="B1025" s="1" t="s">
        <v>5145</v>
      </c>
      <c r="C1025" s="1" t="s">
        <v>5715</v>
      </c>
      <c r="D1025" s="49">
        <v>20</v>
      </c>
      <c r="E1025" s="1">
        <v>2</v>
      </c>
      <c r="F1025" s="1" t="s">
        <v>5149</v>
      </c>
      <c r="G1025" s="1" t="s">
        <v>5146</v>
      </c>
      <c r="I1025" s="1" t="s">
        <v>104</v>
      </c>
      <c r="K1025" s="1" t="s">
        <v>5147</v>
      </c>
      <c r="O1025" s="55">
        <v>1</v>
      </c>
      <c r="T1025" s="60">
        <v>4</v>
      </c>
      <c r="V1025" s="4" t="s">
        <v>5148</v>
      </c>
      <c r="AL1025" s="60" t="s">
        <v>30</v>
      </c>
    </row>
    <row r="1026" spans="1:43" ht="48" x14ac:dyDescent="0.2">
      <c r="A1026" s="1" t="s">
        <v>5144</v>
      </c>
      <c r="B1026" s="1" t="s">
        <v>5176</v>
      </c>
      <c r="C1026" s="1" t="s">
        <v>5715</v>
      </c>
      <c r="D1026" s="49">
        <v>21</v>
      </c>
      <c r="E1026" s="1">
        <v>2</v>
      </c>
      <c r="F1026" s="1" t="s">
        <v>5149</v>
      </c>
      <c r="G1026" s="1" t="s">
        <v>5177</v>
      </c>
      <c r="I1026" s="1" t="s">
        <v>104</v>
      </c>
      <c r="K1026" s="1" t="s">
        <v>5178</v>
      </c>
      <c r="O1026" s="55">
        <v>2</v>
      </c>
      <c r="T1026" s="60">
        <v>3</v>
      </c>
      <c r="V1026" s="4" t="s">
        <v>5179</v>
      </c>
      <c r="AL1026" s="60" t="s">
        <v>30</v>
      </c>
    </row>
    <row r="1027" spans="1:43" ht="60" x14ac:dyDescent="0.2">
      <c r="A1027" s="1" t="s">
        <v>5144</v>
      </c>
      <c r="B1027" s="1" t="s">
        <v>5201</v>
      </c>
      <c r="C1027" s="1" t="s">
        <v>5715</v>
      </c>
      <c r="D1027" s="49">
        <v>22</v>
      </c>
      <c r="E1027" s="1">
        <v>2</v>
      </c>
      <c r="F1027" s="1" t="s">
        <v>5149</v>
      </c>
      <c r="G1027" s="1" t="s">
        <v>5202</v>
      </c>
      <c r="I1027" s="1" t="s">
        <v>82</v>
      </c>
      <c r="V1027" s="4" t="s">
        <v>5203</v>
      </c>
      <c r="W1027" s="4" t="s">
        <v>5197</v>
      </c>
      <c r="AL1027" s="60" t="s">
        <v>30</v>
      </c>
    </row>
    <row r="1028" spans="1:43" ht="36" x14ac:dyDescent="0.2">
      <c r="A1028" s="1" t="s">
        <v>5144</v>
      </c>
      <c r="B1028" s="1" t="s">
        <v>5233</v>
      </c>
      <c r="C1028" s="1" t="s">
        <v>5715</v>
      </c>
      <c r="D1028" s="49">
        <v>23</v>
      </c>
      <c r="E1028" s="1">
        <v>2</v>
      </c>
      <c r="F1028" s="1" t="s">
        <v>5149</v>
      </c>
      <c r="G1028" s="1" t="s">
        <v>5234</v>
      </c>
      <c r="I1028" s="1" t="s">
        <v>82</v>
      </c>
      <c r="V1028" s="4" t="s">
        <v>5235</v>
      </c>
      <c r="W1028" s="4" t="s">
        <v>5236</v>
      </c>
      <c r="AL1028" s="60" t="s">
        <v>30</v>
      </c>
    </row>
    <row r="1029" spans="1:43" ht="60" x14ac:dyDescent="0.2">
      <c r="A1029" s="1" t="s">
        <v>5144</v>
      </c>
      <c r="B1029" s="1" t="s">
        <v>5173</v>
      </c>
      <c r="C1029" s="1" t="s">
        <v>5715</v>
      </c>
      <c r="D1029" s="49">
        <v>24</v>
      </c>
      <c r="E1029" s="1">
        <v>2</v>
      </c>
      <c r="F1029" s="1" t="s">
        <v>5149</v>
      </c>
      <c r="G1029" s="1" t="s">
        <v>5174</v>
      </c>
      <c r="I1029" s="1" t="s">
        <v>82</v>
      </c>
      <c r="V1029" s="4" t="s">
        <v>5175</v>
      </c>
      <c r="AL1029" s="60" t="s">
        <v>30</v>
      </c>
      <c r="AQ1029" s="5"/>
    </row>
    <row r="1030" spans="1:43" ht="48" x14ac:dyDescent="0.2">
      <c r="A1030" s="1" t="s">
        <v>5144</v>
      </c>
      <c r="B1030" s="1" t="s">
        <v>5207</v>
      </c>
      <c r="C1030" s="1" t="s">
        <v>5715</v>
      </c>
      <c r="D1030" s="49">
        <v>25</v>
      </c>
      <c r="E1030" s="1">
        <v>2</v>
      </c>
      <c r="F1030" s="1" t="s">
        <v>5149</v>
      </c>
      <c r="G1030" s="1" t="s">
        <v>5208</v>
      </c>
      <c r="I1030" s="1" t="s">
        <v>82</v>
      </c>
      <c r="V1030" s="4" t="s">
        <v>5209</v>
      </c>
      <c r="AL1030" s="60" t="s">
        <v>30</v>
      </c>
    </row>
    <row r="1031" spans="1:43" ht="24" x14ac:dyDescent="0.2">
      <c r="A1031" s="1" t="s">
        <v>5144</v>
      </c>
      <c r="B1031" s="1" t="s">
        <v>5167</v>
      </c>
      <c r="C1031" s="1" t="s">
        <v>5715</v>
      </c>
      <c r="D1031" s="49">
        <v>26</v>
      </c>
      <c r="E1031" s="1">
        <v>2</v>
      </c>
      <c r="F1031" s="1" t="s">
        <v>5149</v>
      </c>
      <c r="G1031" s="1" t="s">
        <v>5168</v>
      </c>
      <c r="I1031" s="1" t="s">
        <v>82</v>
      </c>
      <c r="V1031" s="4" t="s">
        <v>5169</v>
      </c>
      <c r="AL1031" s="60" t="s">
        <v>30</v>
      </c>
    </row>
    <row r="1032" spans="1:43" x14ac:dyDescent="0.2">
      <c r="A1032" s="1" t="s">
        <v>5144</v>
      </c>
      <c r="B1032" s="1" t="s">
        <v>5210</v>
      </c>
      <c r="C1032" s="1" t="s">
        <v>5715</v>
      </c>
      <c r="D1032" s="49">
        <v>27</v>
      </c>
      <c r="E1032" s="1">
        <v>2</v>
      </c>
      <c r="F1032" s="1" t="s">
        <v>5149</v>
      </c>
      <c r="G1032" s="1" t="s">
        <v>5211</v>
      </c>
      <c r="I1032" s="1" t="s">
        <v>82</v>
      </c>
      <c r="L1032" s="2" t="s">
        <v>3261</v>
      </c>
      <c r="V1032" s="4" t="s">
        <v>5212</v>
      </c>
      <c r="AL1032" s="60" t="s">
        <v>30</v>
      </c>
    </row>
    <row r="1033" spans="1:43" ht="36" x14ac:dyDescent="0.2">
      <c r="A1033" s="117" t="s">
        <v>11288</v>
      </c>
      <c r="B1033" s="117" t="s">
        <v>11289</v>
      </c>
      <c r="C1033" s="117" t="s">
        <v>11449</v>
      </c>
      <c r="D1033" s="117">
        <v>1</v>
      </c>
      <c r="E1033" s="117">
        <v>1</v>
      </c>
      <c r="F1033" s="117" t="s">
        <v>1671</v>
      </c>
      <c r="G1033" s="117" t="s">
        <v>11290</v>
      </c>
      <c r="I1033" s="1" t="s">
        <v>125</v>
      </c>
      <c r="K1033" s="4"/>
      <c r="L1033" s="4"/>
      <c r="M1033" s="18">
        <v>1</v>
      </c>
      <c r="N1033" s="54" t="s">
        <v>9529</v>
      </c>
      <c r="V1033" s="4" t="s">
        <v>11291</v>
      </c>
      <c r="X1033" s="1" t="s">
        <v>1672</v>
      </c>
      <c r="Y1033" s="1" t="s">
        <v>11290</v>
      </c>
      <c r="AA1033" s="1" t="s">
        <v>125</v>
      </c>
      <c r="AE1033" s="1">
        <v>1</v>
      </c>
      <c r="AF1033" s="54" t="s">
        <v>9530</v>
      </c>
      <c r="AL1033" s="60">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4" t="s">
        <v>9529</v>
      </c>
      <c r="V1034" s="4" t="s">
        <v>11295</v>
      </c>
      <c r="Y1034" s="1" t="s">
        <v>11296</v>
      </c>
      <c r="AA1034" s="1" t="s">
        <v>125</v>
      </c>
      <c r="AE1034" s="1">
        <v>2</v>
      </c>
      <c r="AF1034" s="54" t="s">
        <v>9530</v>
      </c>
      <c r="AL1034" s="60"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4" t="s">
        <v>9529</v>
      </c>
      <c r="V1035" s="4" t="s">
        <v>11295</v>
      </c>
      <c r="Y1035" s="1" t="s">
        <v>11299</v>
      </c>
      <c r="AA1035" s="1" t="s">
        <v>125</v>
      </c>
      <c r="AE1035" s="1">
        <v>2</v>
      </c>
      <c r="AF1035" s="54" t="s">
        <v>9530</v>
      </c>
      <c r="AL1035" s="60"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4" t="s">
        <v>9529</v>
      </c>
      <c r="V1036" s="4" t="s">
        <v>11295</v>
      </c>
      <c r="Y1036" s="1" t="s">
        <v>11302</v>
      </c>
      <c r="AA1036" s="1" t="s">
        <v>125</v>
      </c>
      <c r="AE1036" s="1">
        <v>2</v>
      </c>
      <c r="AF1036" s="54" t="s">
        <v>9530</v>
      </c>
      <c r="AL1036" s="60"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4" t="s">
        <v>9529</v>
      </c>
      <c r="V1037" s="4" t="s">
        <v>11295</v>
      </c>
      <c r="Y1037" s="1" t="s">
        <v>11305</v>
      </c>
      <c r="AA1037" s="1" t="s">
        <v>125</v>
      </c>
      <c r="AE1037" s="1">
        <v>2</v>
      </c>
      <c r="AF1037" s="54" t="s">
        <v>9530</v>
      </c>
      <c r="AL1037" s="60"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4" t="s">
        <v>9529</v>
      </c>
      <c r="V1038" s="4" t="s">
        <v>11309</v>
      </c>
      <c r="Y1038" s="1" t="s">
        <v>11308</v>
      </c>
      <c r="AA1038" s="1" t="s">
        <v>125</v>
      </c>
      <c r="AE1038" s="1">
        <v>3</v>
      </c>
      <c r="AF1038" s="54" t="s">
        <v>9530</v>
      </c>
      <c r="AL1038" s="60">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4">
        <v>50</v>
      </c>
      <c r="O1039" s="55">
        <v>3</v>
      </c>
      <c r="Q1039" s="57">
        <v>5</v>
      </c>
      <c r="R1039" s="58">
        <v>4</v>
      </c>
      <c r="S1039" s="59">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4">
        <v>40</v>
      </c>
      <c r="O1040" s="55">
        <v>2</v>
      </c>
      <c r="Q1040" s="57">
        <v>4</v>
      </c>
      <c r="R1040" s="58">
        <v>2</v>
      </c>
      <c r="S1040" s="59">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4">
        <v>30</v>
      </c>
      <c r="O1041" s="55">
        <v>3</v>
      </c>
      <c r="Q1041" s="57">
        <v>3</v>
      </c>
      <c r="R1041" s="58">
        <v>3</v>
      </c>
      <c r="S1041" s="59">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4">
        <v>20</v>
      </c>
      <c r="O1042" s="55">
        <v>1</v>
      </c>
      <c r="Q1042" s="57">
        <v>1</v>
      </c>
      <c r="R1042" s="58">
        <v>0</v>
      </c>
      <c r="S1042" s="59">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5">
        <v>1</v>
      </c>
      <c r="T1043" s="60">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5">
        <v>1</v>
      </c>
      <c r="T1044" s="60">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5">
        <v>2</v>
      </c>
      <c r="T1045" s="60">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5">
        <v>3</v>
      </c>
      <c r="T1046" s="60">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5" t="s">
        <v>113</v>
      </c>
      <c r="T1047" s="60">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5">
        <v>2</v>
      </c>
      <c r="T1048" s="60">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6">
        <v>3</v>
      </c>
      <c r="Q1054" s="57">
        <v>3</v>
      </c>
      <c r="R1054" s="58">
        <v>3</v>
      </c>
      <c r="S1054" s="59">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7"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7" t="s">
        <v>11448</v>
      </c>
      <c r="B1057" s="117" t="s">
        <v>11373</v>
      </c>
      <c r="C1057" s="117" t="s">
        <v>11450</v>
      </c>
      <c r="D1057" s="117">
        <v>1</v>
      </c>
      <c r="E1057" s="117">
        <v>1</v>
      </c>
      <c r="F1057" s="117" t="s">
        <v>11287</v>
      </c>
      <c r="G1057" s="117" t="s">
        <v>11374</v>
      </c>
      <c r="I1057" s="1" t="s">
        <v>125</v>
      </c>
      <c r="K1057" s="4"/>
      <c r="L1057" s="4"/>
      <c r="M1057" s="18">
        <v>1</v>
      </c>
      <c r="N1057" s="54" t="s">
        <v>9529</v>
      </c>
      <c r="V1057" s="4" t="s">
        <v>11375</v>
      </c>
      <c r="Y1057" s="1" t="s">
        <v>11374</v>
      </c>
      <c r="AA1057" s="1" t="s">
        <v>125</v>
      </c>
      <c r="AE1057" s="1">
        <v>1</v>
      </c>
      <c r="AF1057" s="54" t="s">
        <v>9530</v>
      </c>
      <c r="AL1057" s="60">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4" t="s">
        <v>9529</v>
      </c>
      <c r="V1058" s="4" t="s">
        <v>11379</v>
      </c>
      <c r="Y1058" s="1" t="s">
        <v>11378</v>
      </c>
      <c r="AA1058" s="1" t="s">
        <v>125</v>
      </c>
      <c r="AE1058" s="1">
        <v>2</v>
      </c>
      <c r="AF1058" s="54" t="s">
        <v>9530</v>
      </c>
      <c r="AL1058" s="60">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4" t="s">
        <v>9529</v>
      </c>
      <c r="V1059" s="4" t="s">
        <v>11383</v>
      </c>
      <c r="Y1059" s="1" t="s">
        <v>11382</v>
      </c>
      <c r="AA1059" s="1" t="s">
        <v>125</v>
      </c>
      <c r="AE1059" s="1">
        <v>3</v>
      </c>
      <c r="AF1059" s="54" t="s">
        <v>9530</v>
      </c>
      <c r="AL1059" s="60">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4" t="s">
        <v>9529</v>
      </c>
      <c r="V1060" s="4" t="s">
        <v>11387</v>
      </c>
      <c r="Y1060" s="1" t="s">
        <v>11388</v>
      </c>
      <c r="AA1060" s="1" t="s">
        <v>125</v>
      </c>
      <c r="AE1060" s="1">
        <v>4</v>
      </c>
      <c r="AF1060" s="54" t="s">
        <v>9530</v>
      </c>
      <c r="AL1060" s="60">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5">
        <v>3</v>
      </c>
      <c r="T1061" s="60">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5">
        <v>4</v>
      </c>
      <c r="T1062" s="60">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5">
        <v>1</v>
      </c>
      <c r="T1063" s="60">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5" t="s">
        <v>113</v>
      </c>
      <c r="T1064" s="60">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5">
        <v>3</v>
      </c>
      <c r="T1065" s="60">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5">
        <v>2</v>
      </c>
      <c r="T1066" s="60">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4">
        <v>30</v>
      </c>
      <c r="O1067" s="55">
        <v>3</v>
      </c>
      <c r="Q1067" s="57">
        <v>5</v>
      </c>
      <c r="R1067" s="58">
        <v>1</v>
      </c>
      <c r="S1067" s="59">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4">
        <v>35</v>
      </c>
      <c r="O1068" s="55">
        <v>2</v>
      </c>
      <c r="Q1068" s="57">
        <v>4</v>
      </c>
      <c r="R1068" s="58">
        <v>1</v>
      </c>
      <c r="S1068" s="59">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4">
        <v>40</v>
      </c>
      <c r="O1069" s="55">
        <v>2</v>
      </c>
      <c r="Q1069" s="57">
        <v>3</v>
      </c>
      <c r="R1069" s="58">
        <v>1</v>
      </c>
      <c r="S1069" s="59">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6">
        <v>3</v>
      </c>
      <c r="Q1075" s="57">
        <v>3</v>
      </c>
      <c r="R1075" s="58">
        <v>3</v>
      </c>
      <c r="S1075" s="59">
        <v>6</v>
      </c>
      <c r="V1075" s="4" t="s">
        <v>11439</v>
      </c>
      <c r="AP1075" s="1"/>
      <c r="AQ1075" s="1"/>
    </row>
    <row r="1076" spans="1:43" ht="48" x14ac:dyDescent="0.2">
      <c r="A1076" s="1" t="s">
        <v>11448</v>
      </c>
      <c r="B1076" s="138" t="s">
        <v>11440</v>
      </c>
      <c r="C1076" s="1" t="s">
        <v>11450</v>
      </c>
      <c r="D1076" s="138">
        <v>20</v>
      </c>
      <c r="E1076" s="138">
        <v>1</v>
      </c>
      <c r="F1076" s="1" t="s">
        <v>11287</v>
      </c>
      <c r="G1076" s="138"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9" t="s">
        <v>766</v>
      </c>
      <c r="B1078" s="119" t="s">
        <v>767</v>
      </c>
      <c r="C1078" s="119" t="s">
        <v>5717</v>
      </c>
      <c r="D1078" s="120">
        <v>1</v>
      </c>
      <c r="E1078" s="119">
        <v>1</v>
      </c>
      <c r="F1078" s="119" t="s">
        <v>770</v>
      </c>
      <c r="G1078" s="119" t="s">
        <v>661</v>
      </c>
      <c r="I1078" s="1" t="s">
        <v>768</v>
      </c>
      <c r="L1078" s="2" t="s">
        <v>21</v>
      </c>
      <c r="N1078" s="54" t="s">
        <v>9529</v>
      </c>
      <c r="V1078" s="4" t="s">
        <v>769</v>
      </c>
      <c r="X1078" s="1" t="s">
        <v>127</v>
      </c>
      <c r="Y1078" s="1" t="s">
        <v>661</v>
      </c>
      <c r="AA1078" s="1" t="s">
        <v>768</v>
      </c>
      <c r="AF1078" s="54" t="s">
        <v>9530</v>
      </c>
      <c r="AL1078" s="60" t="s">
        <v>30</v>
      </c>
      <c r="AN1078" s="4" t="s">
        <v>771</v>
      </c>
      <c r="AQ1078" s="1"/>
    </row>
    <row r="1079" spans="1:43" ht="24" x14ac:dyDescent="0.2">
      <c r="A1079" s="1" t="s">
        <v>766</v>
      </c>
      <c r="B1079" s="1" t="s">
        <v>871</v>
      </c>
      <c r="C1079" s="1" t="s">
        <v>5717</v>
      </c>
      <c r="D1079" s="48">
        <v>2</v>
      </c>
      <c r="E1079" s="1">
        <v>1</v>
      </c>
      <c r="F1079" s="1" t="s">
        <v>770</v>
      </c>
      <c r="G1079" s="1" t="s">
        <v>586</v>
      </c>
      <c r="I1079" s="1" t="s">
        <v>94</v>
      </c>
      <c r="K1079" s="1" t="s">
        <v>576</v>
      </c>
      <c r="N1079" s="54">
        <v>32</v>
      </c>
      <c r="O1079" s="55">
        <v>3</v>
      </c>
      <c r="Q1079" s="57">
        <v>5</v>
      </c>
      <c r="R1079" s="58">
        <v>3</v>
      </c>
      <c r="S1079" s="59">
        <v>9</v>
      </c>
      <c r="V1079" s="4" t="s">
        <v>872</v>
      </c>
      <c r="W1079" s="4" t="s">
        <v>873</v>
      </c>
      <c r="AL1079" s="60" t="s">
        <v>30</v>
      </c>
      <c r="AQ1079" s="1"/>
    </row>
    <row r="1080" spans="1:43" ht="24" x14ac:dyDescent="0.2">
      <c r="A1080" s="1" t="s">
        <v>766</v>
      </c>
      <c r="B1080" s="1" t="s">
        <v>867</v>
      </c>
      <c r="C1080" s="1" t="s">
        <v>5717</v>
      </c>
      <c r="D1080" s="48">
        <v>3</v>
      </c>
      <c r="E1080" s="1">
        <v>3</v>
      </c>
      <c r="F1080" s="1" t="s">
        <v>770</v>
      </c>
      <c r="G1080" s="1" t="s">
        <v>868</v>
      </c>
      <c r="I1080" s="1" t="s">
        <v>94</v>
      </c>
      <c r="K1080" s="1" t="s">
        <v>576</v>
      </c>
      <c r="N1080" s="54">
        <v>31</v>
      </c>
      <c r="O1080" s="55">
        <v>2</v>
      </c>
      <c r="Q1080" s="57">
        <v>3</v>
      </c>
      <c r="R1080" s="58">
        <v>2</v>
      </c>
      <c r="S1080" s="59">
        <v>5</v>
      </c>
      <c r="V1080" s="4" t="s">
        <v>869</v>
      </c>
      <c r="W1080" s="4" t="s">
        <v>870</v>
      </c>
      <c r="AL1080" s="60" t="s">
        <v>30</v>
      </c>
      <c r="AQ1080" s="1"/>
    </row>
    <row r="1081" spans="1:43" ht="24" x14ac:dyDescent="0.2">
      <c r="A1081" s="1" t="s">
        <v>766</v>
      </c>
      <c r="B1081" s="1" t="s">
        <v>820</v>
      </c>
      <c r="C1081" s="1" t="s">
        <v>5717</v>
      </c>
      <c r="D1081" s="48">
        <v>4</v>
      </c>
      <c r="E1081" s="1">
        <v>3</v>
      </c>
      <c r="F1081" s="1" t="s">
        <v>770</v>
      </c>
      <c r="G1081" s="1" t="s">
        <v>821</v>
      </c>
      <c r="I1081" s="1" t="s">
        <v>94</v>
      </c>
      <c r="K1081" s="1" t="s">
        <v>582</v>
      </c>
      <c r="N1081" s="54">
        <v>27</v>
      </c>
      <c r="O1081" s="55">
        <v>4</v>
      </c>
      <c r="Q1081" s="57">
        <v>1</v>
      </c>
      <c r="R1081" s="58">
        <v>0</v>
      </c>
      <c r="S1081" s="59">
        <v>3</v>
      </c>
      <c r="V1081" s="4" t="s">
        <v>822</v>
      </c>
      <c r="W1081" s="4" t="s">
        <v>823</v>
      </c>
      <c r="AL1081" s="60" t="s">
        <v>30</v>
      </c>
      <c r="AQ1081" s="1"/>
    </row>
    <row r="1082" spans="1:43" ht="24" x14ac:dyDescent="0.2">
      <c r="A1082" s="1" t="s">
        <v>766</v>
      </c>
      <c r="B1082" s="1" t="s">
        <v>850</v>
      </c>
      <c r="C1082" s="1" t="s">
        <v>5717</v>
      </c>
      <c r="D1082" s="48">
        <v>5</v>
      </c>
      <c r="E1082" s="1">
        <v>2</v>
      </c>
      <c r="F1082" s="1" t="s">
        <v>770</v>
      </c>
      <c r="G1082" s="1" t="s">
        <v>579</v>
      </c>
      <c r="I1082" s="1" t="s">
        <v>94</v>
      </c>
      <c r="K1082" s="1" t="s">
        <v>851</v>
      </c>
      <c r="N1082" s="54">
        <v>18</v>
      </c>
      <c r="O1082" s="55">
        <v>3</v>
      </c>
      <c r="Q1082" s="57">
        <v>2</v>
      </c>
      <c r="R1082" s="58">
        <v>2</v>
      </c>
      <c r="S1082" s="59">
        <v>4</v>
      </c>
      <c r="V1082" s="4" t="s">
        <v>852</v>
      </c>
      <c r="W1082" s="4" t="s">
        <v>853</v>
      </c>
      <c r="AL1082" s="60" t="s">
        <v>30</v>
      </c>
      <c r="AQ1082" s="1"/>
    </row>
    <row r="1083" spans="1:43" ht="48" x14ac:dyDescent="0.2">
      <c r="A1083" s="1" t="s">
        <v>766</v>
      </c>
      <c r="B1083" s="1" t="s">
        <v>854</v>
      </c>
      <c r="C1083" s="1" t="s">
        <v>5717</v>
      </c>
      <c r="D1083" s="48">
        <v>6</v>
      </c>
      <c r="E1083" s="1">
        <v>3</v>
      </c>
      <c r="F1083" s="1" t="s">
        <v>770</v>
      </c>
      <c r="G1083" s="1" t="s">
        <v>855</v>
      </c>
      <c r="I1083" s="1" t="s">
        <v>82</v>
      </c>
      <c r="V1083" s="4" t="s">
        <v>856</v>
      </c>
      <c r="AL1083" s="60" t="s">
        <v>30</v>
      </c>
      <c r="AQ1083" s="1"/>
    </row>
    <row r="1084" spans="1:43" ht="24" x14ac:dyDescent="0.2">
      <c r="A1084" s="1" t="s">
        <v>766</v>
      </c>
      <c r="B1084" s="1" t="s">
        <v>791</v>
      </c>
      <c r="C1084" s="1" t="s">
        <v>5717</v>
      </c>
      <c r="D1084" s="48">
        <v>7</v>
      </c>
      <c r="E1084" s="1">
        <v>2</v>
      </c>
      <c r="F1084" s="1" t="s">
        <v>770</v>
      </c>
      <c r="G1084" s="1" t="s">
        <v>792</v>
      </c>
      <c r="I1084" s="1" t="s">
        <v>82</v>
      </c>
      <c r="L1084" s="2" t="s">
        <v>155</v>
      </c>
      <c r="V1084" s="4" t="s">
        <v>793</v>
      </c>
      <c r="W1084" s="4" t="s">
        <v>794</v>
      </c>
      <c r="AL1084" s="60" t="s">
        <v>30</v>
      </c>
      <c r="AQ1084" s="1"/>
    </row>
    <row r="1085" spans="1:43" ht="24" x14ac:dyDescent="0.2">
      <c r="A1085" s="1" t="s">
        <v>766</v>
      </c>
      <c r="B1085" s="1" t="s">
        <v>779</v>
      </c>
      <c r="C1085" s="1" t="s">
        <v>5717</v>
      </c>
      <c r="D1085" s="48">
        <v>8</v>
      </c>
      <c r="E1085" s="1">
        <v>3</v>
      </c>
      <c r="F1085" s="1" t="s">
        <v>770</v>
      </c>
      <c r="G1085" s="1" t="s">
        <v>780</v>
      </c>
      <c r="I1085" s="1" t="s">
        <v>104</v>
      </c>
      <c r="K1085" s="1" t="s">
        <v>781</v>
      </c>
      <c r="L1085" s="2" t="s">
        <v>331</v>
      </c>
      <c r="O1085" s="55">
        <v>2</v>
      </c>
      <c r="T1085" s="60">
        <v>2</v>
      </c>
      <c r="V1085" s="4" t="s">
        <v>782</v>
      </c>
      <c r="W1085" s="4" t="s">
        <v>783</v>
      </c>
      <c r="AL1085" s="60" t="s">
        <v>30</v>
      </c>
      <c r="AQ1085" s="1"/>
    </row>
    <row r="1086" spans="1:43" ht="36" x14ac:dyDescent="0.2">
      <c r="A1086" s="1" t="s">
        <v>766</v>
      </c>
      <c r="B1086" s="1" t="s">
        <v>828</v>
      </c>
      <c r="C1086" s="1" t="s">
        <v>5717</v>
      </c>
      <c r="D1086" s="48">
        <v>9</v>
      </c>
      <c r="E1086" s="1">
        <v>2</v>
      </c>
      <c r="F1086" s="1" t="s">
        <v>770</v>
      </c>
      <c r="G1086" s="1" t="s">
        <v>829</v>
      </c>
      <c r="I1086" s="1" t="s">
        <v>104</v>
      </c>
      <c r="K1086" s="1" t="s">
        <v>781</v>
      </c>
      <c r="O1086" s="55">
        <v>4</v>
      </c>
      <c r="T1086" s="60">
        <v>4</v>
      </c>
      <c r="V1086" s="4" t="s">
        <v>830</v>
      </c>
      <c r="AL1086" s="60" t="s">
        <v>30</v>
      </c>
      <c r="AQ1086" s="1"/>
    </row>
    <row r="1087" spans="1:43" ht="72" x14ac:dyDescent="0.2">
      <c r="A1087" s="1" t="s">
        <v>766</v>
      </c>
      <c r="B1087" s="1" t="s">
        <v>772</v>
      </c>
      <c r="C1087" s="1" t="s">
        <v>5718</v>
      </c>
      <c r="D1087" s="48">
        <v>1</v>
      </c>
      <c r="E1087" s="1">
        <v>1</v>
      </c>
      <c r="F1087" s="1" t="s">
        <v>774</v>
      </c>
      <c r="G1087" s="1" t="s">
        <v>773</v>
      </c>
      <c r="I1087" s="1" t="s">
        <v>768</v>
      </c>
      <c r="L1087" s="2" t="s">
        <v>21</v>
      </c>
      <c r="N1087" s="54" t="s">
        <v>9529</v>
      </c>
      <c r="V1087" s="4" t="s">
        <v>769</v>
      </c>
      <c r="Y1087" s="1" t="s">
        <v>773</v>
      </c>
      <c r="AA1087" s="1" t="s">
        <v>768</v>
      </c>
      <c r="AF1087" s="54" t="s">
        <v>9530</v>
      </c>
      <c r="AL1087" s="60" t="s">
        <v>30</v>
      </c>
      <c r="AN1087" s="4" t="s">
        <v>775</v>
      </c>
      <c r="AQ1087" s="1"/>
    </row>
    <row r="1088" spans="1:43" ht="36" x14ac:dyDescent="0.2">
      <c r="A1088" s="1" t="s">
        <v>766</v>
      </c>
      <c r="B1088" s="1" t="s">
        <v>831</v>
      </c>
      <c r="C1088" s="1" t="s">
        <v>5718</v>
      </c>
      <c r="D1088" s="48">
        <v>2</v>
      </c>
      <c r="E1088" s="1">
        <v>2</v>
      </c>
      <c r="F1088" s="1" t="s">
        <v>774</v>
      </c>
      <c r="G1088" s="1" t="s">
        <v>832</v>
      </c>
      <c r="I1088" s="1" t="s">
        <v>94</v>
      </c>
      <c r="K1088" s="1" t="s">
        <v>726</v>
      </c>
      <c r="N1088" s="54">
        <v>21</v>
      </c>
      <c r="O1088" s="55">
        <v>2</v>
      </c>
      <c r="Q1088" s="57">
        <v>2</v>
      </c>
      <c r="R1088" s="58">
        <v>2</v>
      </c>
      <c r="S1088" s="59">
        <v>8</v>
      </c>
      <c r="V1088" s="4" t="s">
        <v>833</v>
      </c>
      <c r="W1088" s="4" t="s">
        <v>834</v>
      </c>
      <c r="AL1088" s="60" t="s">
        <v>30</v>
      </c>
      <c r="AQ1088" s="1"/>
    </row>
    <row r="1089" spans="1:43" ht="48" x14ac:dyDescent="0.2">
      <c r="A1089" s="1" t="s">
        <v>766</v>
      </c>
      <c r="B1089" s="1" t="s">
        <v>788</v>
      </c>
      <c r="C1089" s="1" t="s">
        <v>5718</v>
      </c>
      <c r="D1089" s="48">
        <v>3</v>
      </c>
      <c r="E1089" s="1">
        <v>3</v>
      </c>
      <c r="F1089" s="1" t="s">
        <v>774</v>
      </c>
      <c r="G1089" s="1" t="s">
        <v>789</v>
      </c>
      <c r="I1089" s="1" t="s">
        <v>94</v>
      </c>
      <c r="K1089" s="1" t="s">
        <v>287</v>
      </c>
      <c r="N1089" s="54">
        <v>26</v>
      </c>
      <c r="O1089" s="55">
        <v>2</v>
      </c>
      <c r="Q1089" s="57">
        <v>4</v>
      </c>
      <c r="R1089" s="58">
        <v>3</v>
      </c>
      <c r="S1089" s="59">
        <v>5</v>
      </c>
      <c r="V1089" s="4" t="s">
        <v>790</v>
      </c>
      <c r="AL1089" s="60" t="s">
        <v>30</v>
      </c>
      <c r="AQ1089" s="1"/>
    </row>
    <row r="1090" spans="1:43" ht="24" x14ac:dyDescent="0.2">
      <c r="A1090" s="1" t="s">
        <v>766</v>
      </c>
      <c r="B1090" s="1" t="s">
        <v>795</v>
      </c>
      <c r="C1090" s="1" t="s">
        <v>5718</v>
      </c>
      <c r="D1090" s="48">
        <v>4</v>
      </c>
      <c r="E1090" s="1">
        <v>3</v>
      </c>
      <c r="F1090" s="1" t="s">
        <v>774</v>
      </c>
      <c r="G1090" s="1" t="s">
        <v>796</v>
      </c>
      <c r="I1090" s="1" t="s">
        <v>94</v>
      </c>
      <c r="K1090" s="1" t="s">
        <v>797</v>
      </c>
      <c r="L1090" s="2" t="s">
        <v>798</v>
      </c>
      <c r="N1090" s="54">
        <v>1</v>
      </c>
      <c r="O1090" s="55">
        <v>1</v>
      </c>
      <c r="Q1090" s="57">
        <v>1</v>
      </c>
      <c r="R1090" s="58">
        <v>1</v>
      </c>
      <c r="S1090" s="59" t="s">
        <v>799</v>
      </c>
      <c r="V1090" s="4" t="s">
        <v>800</v>
      </c>
      <c r="W1090" s="4" t="s">
        <v>801</v>
      </c>
      <c r="AL1090" s="60" t="s">
        <v>30</v>
      </c>
      <c r="AQ1090" s="1"/>
    </row>
    <row r="1091" spans="1:43" ht="24" x14ac:dyDescent="0.2">
      <c r="A1091" s="1" t="s">
        <v>766</v>
      </c>
      <c r="B1091" s="1" t="s">
        <v>784</v>
      </c>
      <c r="C1091" s="1" t="s">
        <v>5718</v>
      </c>
      <c r="D1091" s="48">
        <v>5</v>
      </c>
      <c r="E1091" s="1">
        <v>2</v>
      </c>
      <c r="F1091" s="1" t="s">
        <v>774</v>
      </c>
      <c r="G1091" s="1" t="s">
        <v>785</v>
      </c>
      <c r="I1091" s="1" t="s">
        <v>104</v>
      </c>
      <c r="K1091" s="1" t="s">
        <v>306</v>
      </c>
      <c r="O1091" s="55">
        <v>3</v>
      </c>
      <c r="T1091" s="60">
        <v>6</v>
      </c>
      <c r="V1091" s="4" t="s">
        <v>786</v>
      </c>
      <c r="W1091" s="4" t="s">
        <v>787</v>
      </c>
      <c r="AL1091" s="60" t="s">
        <v>30</v>
      </c>
      <c r="AQ1091" s="1"/>
    </row>
    <row r="1092" spans="1:43" ht="36" x14ac:dyDescent="0.2">
      <c r="A1092" s="1" t="s">
        <v>766</v>
      </c>
      <c r="B1092" s="1" t="s">
        <v>824</v>
      </c>
      <c r="C1092" s="1" t="s">
        <v>5718</v>
      </c>
      <c r="D1092" s="48">
        <v>6</v>
      </c>
      <c r="E1092" s="1">
        <v>3</v>
      </c>
      <c r="F1092" s="1" t="s">
        <v>774</v>
      </c>
      <c r="G1092" s="1" t="s">
        <v>825</v>
      </c>
      <c r="I1092" s="1" t="s">
        <v>104</v>
      </c>
      <c r="K1092" s="1" t="s">
        <v>726</v>
      </c>
      <c r="O1092" s="55">
        <v>10</v>
      </c>
      <c r="T1092" s="60">
        <v>10</v>
      </c>
      <c r="V1092" s="4" t="s">
        <v>826</v>
      </c>
      <c r="W1092" s="4" t="s">
        <v>827</v>
      </c>
      <c r="AL1092" s="60" t="s">
        <v>30</v>
      </c>
      <c r="AQ1092" s="1"/>
    </row>
    <row r="1093" spans="1:43" ht="48" x14ac:dyDescent="0.2">
      <c r="A1093" s="1" t="s">
        <v>766</v>
      </c>
      <c r="B1093" s="1" t="s">
        <v>835</v>
      </c>
      <c r="C1093" s="1" t="s">
        <v>5718</v>
      </c>
      <c r="D1093" s="48">
        <v>7</v>
      </c>
      <c r="E1093" s="1">
        <v>2</v>
      </c>
      <c r="F1093" s="1" t="s">
        <v>774</v>
      </c>
      <c r="G1093" s="1" t="s">
        <v>836</v>
      </c>
      <c r="I1093" s="1" t="s">
        <v>82</v>
      </c>
      <c r="V1093" s="4" t="s">
        <v>837</v>
      </c>
      <c r="AL1093" s="60" t="s">
        <v>30</v>
      </c>
      <c r="AQ1093" s="1"/>
    </row>
    <row r="1094" spans="1:43" ht="36" x14ac:dyDescent="0.2">
      <c r="A1094" s="1" t="s">
        <v>766</v>
      </c>
      <c r="B1094" s="1" t="s">
        <v>863</v>
      </c>
      <c r="C1094" s="1" t="s">
        <v>5718</v>
      </c>
      <c r="D1094" s="48">
        <v>8</v>
      </c>
      <c r="E1094" s="1">
        <v>2</v>
      </c>
      <c r="F1094" s="1" t="s">
        <v>774</v>
      </c>
      <c r="G1094" s="1" t="s">
        <v>864</v>
      </c>
      <c r="I1094" s="1" t="s">
        <v>82</v>
      </c>
      <c r="V1094" s="4" t="s">
        <v>865</v>
      </c>
      <c r="W1094" s="4" t="s">
        <v>866</v>
      </c>
      <c r="AL1094" s="60" t="s">
        <v>30</v>
      </c>
      <c r="AQ1094" s="1"/>
    </row>
    <row r="1095" spans="1:43" ht="48" x14ac:dyDescent="0.2">
      <c r="A1095" s="1" t="s">
        <v>766</v>
      </c>
      <c r="B1095" s="1" t="s">
        <v>841</v>
      </c>
      <c r="C1095" s="1" t="s">
        <v>5718</v>
      </c>
      <c r="D1095" s="48">
        <v>9</v>
      </c>
      <c r="E1095" s="1">
        <v>2</v>
      </c>
      <c r="F1095" s="1" t="s">
        <v>774</v>
      </c>
      <c r="G1095" s="1" t="s">
        <v>842</v>
      </c>
      <c r="I1095" s="1" t="s">
        <v>82</v>
      </c>
      <c r="V1095" s="4" t="s">
        <v>843</v>
      </c>
      <c r="W1095" s="4" t="s">
        <v>844</v>
      </c>
      <c r="AL1095" s="60" t="s">
        <v>30</v>
      </c>
      <c r="AQ1095" s="1"/>
    </row>
    <row r="1096" spans="1:43" ht="96" x14ac:dyDescent="0.2">
      <c r="A1096" s="1" t="s">
        <v>766</v>
      </c>
      <c r="B1096" s="1" t="s">
        <v>776</v>
      </c>
      <c r="C1096" s="1" t="s">
        <v>5735</v>
      </c>
      <c r="D1096" s="48">
        <v>1</v>
      </c>
      <c r="E1096" s="1">
        <v>1</v>
      </c>
      <c r="F1096" s="1" t="s">
        <v>777</v>
      </c>
      <c r="G1096" s="1" t="s">
        <v>677</v>
      </c>
      <c r="I1096" s="1" t="s">
        <v>768</v>
      </c>
      <c r="L1096" s="2" t="s">
        <v>21</v>
      </c>
      <c r="N1096" s="54" t="s">
        <v>9529</v>
      </c>
      <c r="V1096" s="4" t="s">
        <v>769</v>
      </c>
      <c r="X1096" s="1" t="s">
        <v>753</v>
      </c>
      <c r="Y1096" s="1" t="s">
        <v>677</v>
      </c>
      <c r="AA1096" s="1" t="s">
        <v>768</v>
      </c>
      <c r="AF1096" s="54" t="s">
        <v>9530</v>
      </c>
      <c r="AL1096" s="60" t="s">
        <v>30</v>
      </c>
      <c r="AN1096" s="4" t="s">
        <v>778</v>
      </c>
      <c r="AQ1096" s="1"/>
    </row>
    <row r="1097" spans="1:43" ht="36" x14ac:dyDescent="0.2">
      <c r="A1097" s="1" t="s">
        <v>766</v>
      </c>
      <c r="B1097" s="1" t="s">
        <v>860</v>
      </c>
      <c r="C1097" s="1" t="s">
        <v>5735</v>
      </c>
      <c r="D1097" s="48">
        <v>2</v>
      </c>
      <c r="E1097" s="1">
        <v>3</v>
      </c>
      <c r="F1097" s="1" t="s">
        <v>777</v>
      </c>
      <c r="G1097" s="1" t="s">
        <v>861</v>
      </c>
      <c r="I1097" s="1" t="s">
        <v>94</v>
      </c>
      <c r="K1097" s="1" t="s">
        <v>633</v>
      </c>
      <c r="N1097" s="54">
        <v>45</v>
      </c>
      <c r="O1097" s="55">
        <v>5</v>
      </c>
      <c r="Q1097" s="57">
        <v>1</v>
      </c>
      <c r="R1097" s="58">
        <v>2</v>
      </c>
      <c r="S1097" s="59">
        <v>4</v>
      </c>
      <c r="V1097" s="4" t="s">
        <v>804</v>
      </c>
      <c r="W1097" s="4" t="s">
        <v>862</v>
      </c>
      <c r="AL1097" s="60" t="s">
        <v>30</v>
      </c>
      <c r="AQ1097" s="1"/>
    </row>
    <row r="1098" spans="1:43" ht="24" x14ac:dyDescent="0.2">
      <c r="A1098" s="1" t="s">
        <v>766</v>
      </c>
      <c r="B1098" s="1" t="s">
        <v>806</v>
      </c>
      <c r="C1098" s="1" t="s">
        <v>5735</v>
      </c>
      <c r="D1098" s="48">
        <v>3</v>
      </c>
      <c r="E1098" s="1">
        <v>2</v>
      </c>
      <c r="F1098" s="1" t="s">
        <v>777</v>
      </c>
      <c r="G1098" s="1" t="s">
        <v>807</v>
      </c>
      <c r="I1098" s="1" t="s">
        <v>94</v>
      </c>
      <c r="K1098" s="1" t="s">
        <v>808</v>
      </c>
      <c r="L1098" s="2" t="s">
        <v>685</v>
      </c>
      <c r="N1098" s="54">
        <v>13</v>
      </c>
      <c r="O1098" s="55">
        <v>2</v>
      </c>
      <c r="Q1098" s="57">
        <v>1</v>
      </c>
      <c r="R1098" s="58">
        <v>3</v>
      </c>
      <c r="S1098" s="59">
        <v>1</v>
      </c>
      <c r="V1098" s="4" t="s">
        <v>810</v>
      </c>
      <c r="W1098" s="4" t="s">
        <v>811</v>
      </c>
      <c r="AL1098" s="60" t="s">
        <v>30</v>
      </c>
      <c r="AQ1098" s="1"/>
    </row>
    <row r="1099" spans="1:43" ht="24" x14ac:dyDescent="0.2">
      <c r="A1099" s="1" t="s">
        <v>766</v>
      </c>
      <c r="B1099" s="1" t="s">
        <v>845</v>
      </c>
      <c r="C1099" s="1" t="s">
        <v>5735</v>
      </c>
      <c r="D1099" s="48">
        <v>4</v>
      </c>
      <c r="E1099" s="1">
        <v>3</v>
      </c>
      <c r="F1099" s="1" t="s">
        <v>777</v>
      </c>
      <c r="G1099" s="1" t="s">
        <v>846</v>
      </c>
      <c r="I1099" s="1" t="s">
        <v>94</v>
      </c>
      <c r="K1099" s="1" t="s">
        <v>847</v>
      </c>
      <c r="N1099" s="54">
        <v>28</v>
      </c>
      <c r="O1099" s="55">
        <v>3</v>
      </c>
      <c r="Q1099" s="57">
        <v>3</v>
      </c>
      <c r="R1099" s="58">
        <v>3</v>
      </c>
      <c r="S1099" s="59">
        <v>6</v>
      </c>
      <c r="V1099" s="4" t="s">
        <v>848</v>
      </c>
      <c r="W1099" s="4" t="s">
        <v>849</v>
      </c>
      <c r="AL1099" s="60" t="s">
        <v>30</v>
      </c>
      <c r="AQ1099" s="1"/>
    </row>
    <row r="1100" spans="1:43" ht="60" x14ac:dyDescent="0.2">
      <c r="A1100" s="1" t="s">
        <v>766</v>
      </c>
      <c r="B1100" s="1" t="s">
        <v>857</v>
      </c>
      <c r="C1100" s="1" t="s">
        <v>5735</v>
      </c>
      <c r="D1100" s="48">
        <v>5</v>
      </c>
      <c r="E1100" s="1">
        <v>2</v>
      </c>
      <c r="F1100" s="1" t="s">
        <v>777</v>
      </c>
      <c r="G1100" s="1" t="s">
        <v>858</v>
      </c>
      <c r="I1100" s="1" t="s">
        <v>104</v>
      </c>
      <c r="K1100" s="1" t="s">
        <v>818</v>
      </c>
      <c r="O1100" s="55">
        <v>3</v>
      </c>
      <c r="T1100" s="60">
        <v>6</v>
      </c>
      <c r="V1100" s="4" t="s">
        <v>859</v>
      </c>
      <c r="AL1100" s="60" t="s">
        <v>30</v>
      </c>
      <c r="AQ1100" s="1"/>
    </row>
    <row r="1101" spans="1:43" ht="60" x14ac:dyDescent="0.2">
      <c r="A1101" s="1" t="s">
        <v>766</v>
      </c>
      <c r="B1101" s="1" t="s">
        <v>816</v>
      </c>
      <c r="C1101" s="1" t="s">
        <v>5735</v>
      </c>
      <c r="D1101" s="48">
        <v>6</v>
      </c>
      <c r="E1101" s="1">
        <v>3</v>
      </c>
      <c r="F1101" s="1" t="s">
        <v>777</v>
      </c>
      <c r="G1101" s="1" t="s">
        <v>817</v>
      </c>
      <c r="I1101" s="1" t="s">
        <v>104</v>
      </c>
      <c r="K1101" s="1" t="s">
        <v>818</v>
      </c>
      <c r="O1101" s="55">
        <v>1</v>
      </c>
      <c r="T1101" s="60">
        <v>4</v>
      </c>
      <c r="V1101" s="4" t="s">
        <v>819</v>
      </c>
      <c r="AL1101" s="60" t="s">
        <v>30</v>
      </c>
      <c r="AQ1101" s="1"/>
    </row>
    <row r="1102" spans="1:43" ht="60" x14ac:dyDescent="0.2">
      <c r="A1102" s="1" t="s">
        <v>766</v>
      </c>
      <c r="B1102" s="1" t="s">
        <v>838</v>
      </c>
      <c r="C1102" s="1" t="s">
        <v>5735</v>
      </c>
      <c r="D1102" s="48">
        <v>7</v>
      </c>
      <c r="E1102" s="1">
        <v>2</v>
      </c>
      <c r="F1102" s="1" t="s">
        <v>777</v>
      </c>
      <c r="G1102" s="1" t="s">
        <v>839</v>
      </c>
      <c r="I1102" s="1" t="s">
        <v>82</v>
      </c>
      <c r="V1102" s="4" t="s">
        <v>840</v>
      </c>
      <c r="AL1102" s="60" t="s">
        <v>30</v>
      </c>
      <c r="AQ1102" s="1"/>
    </row>
    <row r="1103" spans="1:43" ht="48" x14ac:dyDescent="0.2">
      <c r="A1103" s="1" t="s">
        <v>766</v>
      </c>
      <c r="B1103" s="1" t="s">
        <v>802</v>
      </c>
      <c r="C1103" s="1" t="s">
        <v>5735</v>
      </c>
      <c r="D1103" s="48">
        <v>8</v>
      </c>
      <c r="E1103" s="1">
        <v>2</v>
      </c>
      <c r="F1103" s="1" t="s">
        <v>777</v>
      </c>
      <c r="G1103" s="1" t="s">
        <v>803</v>
      </c>
      <c r="I1103" s="1" t="s">
        <v>82</v>
      </c>
      <c r="L1103" s="2" t="s">
        <v>155</v>
      </c>
      <c r="V1103" s="4" t="s">
        <v>804</v>
      </c>
      <c r="W1103" s="4" t="s">
        <v>805</v>
      </c>
      <c r="AL1103" s="60" t="s">
        <v>30</v>
      </c>
      <c r="AQ1103" s="1"/>
    </row>
    <row r="1104" spans="1:43" ht="36" x14ac:dyDescent="0.2">
      <c r="A1104" s="1" t="s">
        <v>766</v>
      </c>
      <c r="B1104" s="1" t="s">
        <v>812</v>
      </c>
      <c r="C1104" s="1" t="s">
        <v>5735</v>
      </c>
      <c r="D1104" s="48">
        <v>9</v>
      </c>
      <c r="E1104" s="1">
        <v>2</v>
      </c>
      <c r="F1104" s="1" t="s">
        <v>777</v>
      </c>
      <c r="G1104" s="1" t="s">
        <v>813</v>
      </c>
      <c r="I1104" s="1" t="s">
        <v>82</v>
      </c>
      <c r="V1104" s="4" t="s">
        <v>814</v>
      </c>
      <c r="W1104" s="4" t="s">
        <v>815</v>
      </c>
      <c r="AL1104" s="60" t="s">
        <v>30</v>
      </c>
      <c r="AQ1104" s="1"/>
    </row>
    <row r="1105" spans="1:48" ht="108" x14ac:dyDescent="0.2">
      <c r="A1105" s="119" t="s">
        <v>3165</v>
      </c>
      <c r="B1105" s="119" t="s">
        <v>3271</v>
      </c>
      <c r="C1105" s="119" t="s">
        <v>5739</v>
      </c>
      <c r="D1105" s="120">
        <v>1</v>
      </c>
      <c r="E1105" s="119">
        <v>1</v>
      </c>
      <c r="F1105" s="119" t="s">
        <v>3272</v>
      </c>
      <c r="G1105" s="119" t="s">
        <v>3169</v>
      </c>
      <c r="I1105" s="1" t="s">
        <v>768</v>
      </c>
      <c r="N1105" s="54" t="s">
        <v>9529</v>
      </c>
      <c r="V1105" s="4" t="s">
        <v>769</v>
      </c>
      <c r="Y1105" s="1" t="s">
        <v>3169</v>
      </c>
      <c r="AA1105" s="1" t="s">
        <v>768</v>
      </c>
      <c r="AF1105" s="54" t="s">
        <v>9530</v>
      </c>
      <c r="AL1105" s="60" t="s">
        <v>30</v>
      </c>
      <c r="AN1105" s="4" t="s">
        <v>3273</v>
      </c>
      <c r="AQ1105" s="1"/>
    </row>
    <row r="1106" spans="1:48" ht="48" x14ac:dyDescent="0.2">
      <c r="A1106" s="1" t="s">
        <v>3165</v>
      </c>
      <c r="B1106" s="1" t="s">
        <v>3285</v>
      </c>
      <c r="C1106" s="1" t="s">
        <v>5739</v>
      </c>
      <c r="D1106" s="48">
        <v>2</v>
      </c>
      <c r="E1106" s="1">
        <v>3</v>
      </c>
      <c r="F1106" s="1" t="s">
        <v>3272</v>
      </c>
      <c r="G1106" s="1" t="s">
        <v>3286</v>
      </c>
      <c r="I1106" s="1" t="s">
        <v>94</v>
      </c>
      <c r="K1106" s="1" t="s">
        <v>95</v>
      </c>
      <c r="N1106" s="54">
        <v>42</v>
      </c>
      <c r="O1106" s="55">
        <v>2</v>
      </c>
      <c r="Q1106" s="57">
        <v>3</v>
      </c>
      <c r="R1106" s="58">
        <v>3</v>
      </c>
      <c r="S1106" s="59">
        <v>3</v>
      </c>
      <c r="V1106" s="4" t="s">
        <v>3287</v>
      </c>
      <c r="AL1106" s="60" t="s">
        <v>30</v>
      </c>
      <c r="AQ1106" s="1"/>
    </row>
    <row r="1107" spans="1:48" ht="48" x14ac:dyDescent="0.2">
      <c r="A1107" s="1" t="s">
        <v>3165</v>
      </c>
      <c r="B1107" s="1" t="s">
        <v>3288</v>
      </c>
      <c r="C1107" s="1" t="s">
        <v>5739</v>
      </c>
      <c r="D1107" s="48">
        <v>3</v>
      </c>
      <c r="E1107" s="1">
        <v>2</v>
      </c>
      <c r="F1107" s="1" t="s">
        <v>3272</v>
      </c>
      <c r="G1107" s="1" t="s">
        <v>3289</v>
      </c>
      <c r="I1107" s="1" t="s">
        <v>94</v>
      </c>
      <c r="K1107" s="1" t="s">
        <v>3290</v>
      </c>
      <c r="N1107" s="54">
        <v>15</v>
      </c>
      <c r="O1107" s="55">
        <v>1</v>
      </c>
      <c r="Q1107" s="57">
        <v>3</v>
      </c>
      <c r="R1107" s="58">
        <v>2</v>
      </c>
      <c r="S1107" s="59">
        <v>3</v>
      </c>
      <c r="V1107" s="4" t="s">
        <v>3291</v>
      </c>
      <c r="AL1107" s="60" t="s">
        <v>30</v>
      </c>
      <c r="AQ1107" s="1"/>
    </row>
    <row r="1108" spans="1:48" ht="24" x14ac:dyDescent="0.2">
      <c r="A1108" s="1" t="s">
        <v>3165</v>
      </c>
      <c r="B1108" s="1" t="s">
        <v>3292</v>
      </c>
      <c r="C1108" s="1" t="s">
        <v>5739</v>
      </c>
      <c r="D1108" s="48">
        <v>4</v>
      </c>
      <c r="E1108" s="1">
        <v>2</v>
      </c>
      <c r="F1108" s="1" t="s">
        <v>3272</v>
      </c>
      <c r="G1108" s="1" t="s">
        <v>3293</v>
      </c>
      <c r="I1108" s="1" t="s">
        <v>104</v>
      </c>
      <c r="K1108" s="1" t="s">
        <v>2506</v>
      </c>
      <c r="O1108" s="55">
        <v>3</v>
      </c>
      <c r="T1108" s="60">
        <v>4</v>
      </c>
      <c r="V1108" s="4" t="s">
        <v>3294</v>
      </c>
      <c r="W1108" s="4" t="s">
        <v>3295</v>
      </c>
      <c r="AL1108" s="60" t="s">
        <v>30</v>
      </c>
      <c r="AQ1108" s="1"/>
    </row>
    <row r="1109" spans="1:48" ht="24" x14ac:dyDescent="0.2">
      <c r="A1109" s="1" t="s">
        <v>3165</v>
      </c>
      <c r="B1109" s="1" t="s">
        <v>3296</v>
      </c>
      <c r="C1109" s="1" t="s">
        <v>5739</v>
      </c>
      <c r="D1109" s="48">
        <v>5</v>
      </c>
      <c r="E1109" s="1">
        <v>2</v>
      </c>
      <c r="F1109" s="1" t="s">
        <v>3272</v>
      </c>
      <c r="G1109" s="1" t="s">
        <v>3297</v>
      </c>
      <c r="I1109" s="1" t="s">
        <v>104</v>
      </c>
      <c r="K1109" s="1" t="s">
        <v>306</v>
      </c>
      <c r="O1109" s="55">
        <v>2</v>
      </c>
      <c r="T1109" s="60">
        <v>6</v>
      </c>
      <c r="V1109" s="4" t="s">
        <v>3298</v>
      </c>
      <c r="W1109" s="4" t="s">
        <v>3299</v>
      </c>
      <c r="AL1109" s="60" t="s">
        <v>30</v>
      </c>
      <c r="AQ1109" s="1"/>
    </row>
    <row r="1110" spans="1:48" ht="72" x14ac:dyDescent="0.2">
      <c r="A1110" s="1" t="s">
        <v>3165</v>
      </c>
      <c r="B1110" s="1" t="s">
        <v>3300</v>
      </c>
      <c r="C1110" s="1" t="s">
        <v>5739</v>
      </c>
      <c r="D1110" s="48">
        <v>6</v>
      </c>
      <c r="E1110" s="1">
        <v>3</v>
      </c>
      <c r="F1110" s="1" t="s">
        <v>3272</v>
      </c>
      <c r="G1110" s="1" t="s">
        <v>3301</v>
      </c>
      <c r="I1110" s="1" t="s">
        <v>104</v>
      </c>
      <c r="K1110" s="1" t="s">
        <v>726</v>
      </c>
      <c r="O1110" s="55">
        <v>3</v>
      </c>
      <c r="T1110" s="60">
        <v>2</v>
      </c>
      <c r="V1110" s="4" t="s">
        <v>3302</v>
      </c>
      <c r="AL1110" s="60" t="s">
        <v>30</v>
      </c>
      <c r="AQ1110" s="1"/>
    </row>
    <row r="1111" spans="1:48" ht="36" x14ac:dyDescent="0.2">
      <c r="A1111" s="1" t="s">
        <v>3165</v>
      </c>
      <c r="B1111" s="1" t="s">
        <v>3274</v>
      </c>
      <c r="C1111" s="1" t="s">
        <v>5739</v>
      </c>
      <c r="D1111" s="48">
        <v>7</v>
      </c>
      <c r="E1111" s="1">
        <v>2</v>
      </c>
      <c r="F1111" s="1" t="s">
        <v>3272</v>
      </c>
      <c r="G1111" s="1" t="s">
        <v>3275</v>
      </c>
      <c r="I1111" s="1" t="s">
        <v>82</v>
      </c>
      <c r="V1111" s="4" t="s">
        <v>3276</v>
      </c>
      <c r="W1111" s="4" t="s">
        <v>3277</v>
      </c>
      <c r="AL1111" s="60" t="s">
        <v>30</v>
      </c>
      <c r="AQ1111" s="1"/>
    </row>
    <row r="1112" spans="1:48" ht="24" x14ac:dyDescent="0.2">
      <c r="A1112" s="1" t="s">
        <v>3165</v>
      </c>
      <c r="B1112" s="1" t="s">
        <v>3278</v>
      </c>
      <c r="C1112" s="1" t="s">
        <v>5739</v>
      </c>
      <c r="D1112" s="48">
        <v>8</v>
      </c>
      <c r="E1112" s="1">
        <v>3</v>
      </c>
      <c r="F1112" s="1" t="s">
        <v>3272</v>
      </c>
      <c r="G1112" s="1" t="s">
        <v>3279</v>
      </c>
      <c r="I1112" s="1" t="s">
        <v>82</v>
      </c>
      <c r="L1112" s="2" t="s">
        <v>155</v>
      </c>
      <c r="V1112" s="4" t="s">
        <v>3280</v>
      </c>
      <c r="W1112" s="4" t="s">
        <v>3281</v>
      </c>
      <c r="AL1112" s="60" t="s">
        <v>30</v>
      </c>
      <c r="AQ1112" s="1"/>
    </row>
    <row r="1113" spans="1:48" ht="84" x14ac:dyDescent="0.2">
      <c r="A1113" s="1" t="s">
        <v>3165</v>
      </c>
      <c r="B1113" s="1" t="s">
        <v>3282</v>
      </c>
      <c r="C1113" s="1" t="s">
        <v>5739</v>
      </c>
      <c r="D1113" s="48">
        <v>9</v>
      </c>
      <c r="E1113" s="1">
        <v>2</v>
      </c>
      <c r="F1113" s="1" t="s">
        <v>3272</v>
      </c>
      <c r="G1113" s="1" t="s">
        <v>3283</v>
      </c>
      <c r="I1113" s="1" t="s">
        <v>82</v>
      </c>
      <c r="V1113" s="4" t="s">
        <v>3284</v>
      </c>
      <c r="AL1113" s="60" t="s">
        <v>30</v>
      </c>
      <c r="AQ1113" s="1"/>
    </row>
    <row r="1114" spans="1:48" ht="156" x14ac:dyDescent="0.2">
      <c r="A1114" s="1" t="s">
        <v>3165</v>
      </c>
      <c r="B1114" s="1" t="s">
        <v>3332</v>
      </c>
      <c r="C1114" s="1" t="s">
        <v>5741</v>
      </c>
      <c r="D1114" s="48">
        <v>1</v>
      </c>
      <c r="E1114" s="1">
        <v>1</v>
      </c>
      <c r="F1114" s="1" t="s">
        <v>3333</v>
      </c>
      <c r="G1114" s="1" t="s">
        <v>248</v>
      </c>
      <c r="I1114" s="1" t="s">
        <v>768</v>
      </c>
      <c r="N1114" s="54" t="s">
        <v>9529</v>
      </c>
      <c r="V1114" s="4" t="s">
        <v>769</v>
      </c>
      <c r="X1114" s="1" t="s">
        <v>3334</v>
      </c>
      <c r="Y1114" s="1" t="s">
        <v>248</v>
      </c>
      <c r="AA1114" s="1" t="s">
        <v>768</v>
      </c>
      <c r="AF1114" s="54" t="s">
        <v>9530</v>
      </c>
      <c r="AL1114" s="60" t="s">
        <v>30</v>
      </c>
      <c r="AN1114" s="4" t="s">
        <v>3335</v>
      </c>
      <c r="AQ1114" s="1"/>
    </row>
    <row r="1115" spans="1:48" ht="24" x14ac:dyDescent="0.2">
      <c r="A1115" s="1" t="s">
        <v>3165</v>
      </c>
      <c r="B1115" s="1" t="s">
        <v>3339</v>
      </c>
      <c r="C1115" s="1" t="s">
        <v>5741</v>
      </c>
      <c r="D1115" s="48">
        <v>2</v>
      </c>
      <c r="E1115" s="1">
        <v>4</v>
      </c>
      <c r="F1115" s="1" t="s">
        <v>3333</v>
      </c>
      <c r="G1115" s="1" t="s">
        <v>3340</v>
      </c>
      <c r="I1115" s="1" t="s">
        <v>94</v>
      </c>
      <c r="K1115" s="1" t="s">
        <v>287</v>
      </c>
      <c r="N1115" s="54">
        <v>21</v>
      </c>
      <c r="O1115" s="55">
        <v>1</v>
      </c>
      <c r="Q1115" s="57">
        <v>3</v>
      </c>
      <c r="R1115" s="58">
        <v>2</v>
      </c>
      <c r="S1115" s="59">
        <v>6</v>
      </c>
      <c r="U1115" s="1">
        <v>1</v>
      </c>
      <c r="V1115" s="4" t="s">
        <v>3341</v>
      </c>
      <c r="W1115" s="4" t="s">
        <v>3342</v>
      </c>
      <c r="AL1115" s="60" t="s">
        <v>30</v>
      </c>
      <c r="AQ1115" s="1"/>
    </row>
    <row r="1116" spans="1:48" ht="36" x14ac:dyDescent="0.2">
      <c r="A1116" s="1" t="s">
        <v>3165</v>
      </c>
      <c r="B1116" s="1" t="s">
        <v>3343</v>
      </c>
      <c r="C1116" s="1" t="s">
        <v>5741</v>
      </c>
      <c r="D1116" s="48">
        <v>3</v>
      </c>
      <c r="E1116" s="1">
        <v>1</v>
      </c>
      <c r="F1116" s="1" t="s">
        <v>3333</v>
      </c>
      <c r="G1116" s="1" t="s">
        <v>3344</v>
      </c>
      <c r="H1116" s="1" t="s">
        <v>26</v>
      </c>
      <c r="I1116" s="1" t="s">
        <v>94</v>
      </c>
      <c r="K1116" s="1" t="s">
        <v>287</v>
      </c>
      <c r="N1116" s="54">
        <v>34</v>
      </c>
      <c r="O1116" s="55">
        <v>4</v>
      </c>
      <c r="Q1116" s="57">
        <v>5</v>
      </c>
      <c r="R1116" s="58">
        <v>4</v>
      </c>
      <c r="S1116" s="59">
        <v>10</v>
      </c>
      <c r="V1116" s="4" t="s">
        <v>3345</v>
      </c>
      <c r="AL1116" s="60" t="s">
        <v>30</v>
      </c>
    </row>
    <row r="1117" spans="1:48" ht="72" x14ac:dyDescent="0.2">
      <c r="A1117" s="1" t="s">
        <v>3165</v>
      </c>
      <c r="B1117" s="1" t="s">
        <v>3346</v>
      </c>
      <c r="C1117" s="1" t="s">
        <v>5741</v>
      </c>
      <c r="D1117" s="48">
        <v>4</v>
      </c>
      <c r="E1117" s="1">
        <v>1</v>
      </c>
      <c r="F1117" s="1" t="s">
        <v>3333</v>
      </c>
      <c r="G1117" s="1" t="s">
        <v>286</v>
      </c>
      <c r="H1117" s="1" t="s">
        <v>26</v>
      </c>
      <c r="I1117" s="1" t="s">
        <v>94</v>
      </c>
      <c r="K1117" s="1" t="s">
        <v>287</v>
      </c>
      <c r="N1117" s="54">
        <v>34</v>
      </c>
      <c r="O1117" s="55">
        <v>4</v>
      </c>
      <c r="Q1117" s="57">
        <v>4</v>
      </c>
      <c r="R1117" s="58">
        <v>2</v>
      </c>
      <c r="S1117" s="59">
        <v>10</v>
      </c>
      <c r="U1117" s="1">
        <v>2</v>
      </c>
      <c r="V1117" s="4" t="s">
        <v>3347</v>
      </c>
      <c r="AL1117" s="60" t="s">
        <v>30</v>
      </c>
    </row>
    <row r="1118" spans="1:48" ht="48" x14ac:dyDescent="0.2">
      <c r="A1118" s="1" t="s">
        <v>3165</v>
      </c>
      <c r="B1118" s="1" t="s">
        <v>3348</v>
      </c>
      <c r="C1118" s="1" t="s">
        <v>5741</v>
      </c>
      <c r="D1118" s="48">
        <v>5</v>
      </c>
      <c r="E1118" s="1">
        <v>1</v>
      </c>
      <c r="F1118" s="1" t="s">
        <v>3333</v>
      </c>
      <c r="G1118" s="1" t="s">
        <v>290</v>
      </c>
      <c r="H1118" s="1" t="s">
        <v>26</v>
      </c>
      <c r="I1118" s="1" t="s">
        <v>94</v>
      </c>
      <c r="K1118" s="1" t="s">
        <v>287</v>
      </c>
      <c r="N1118" s="54">
        <v>34</v>
      </c>
      <c r="O1118" s="55">
        <v>3</v>
      </c>
      <c r="Q1118" s="57">
        <v>5</v>
      </c>
      <c r="R1118" s="58">
        <v>2</v>
      </c>
      <c r="S1118" s="59">
        <v>10</v>
      </c>
      <c r="U1118" s="1">
        <v>2</v>
      </c>
      <c r="V1118" s="4" t="s">
        <v>3349</v>
      </c>
      <c r="AL1118" s="60" t="s">
        <v>30</v>
      </c>
    </row>
    <row r="1119" spans="1:48" ht="48" x14ac:dyDescent="0.2">
      <c r="A1119" s="1" t="s">
        <v>3165</v>
      </c>
      <c r="B1119" s="1" t="s">
        <v>3350</v>
      </c>
      <c r="C1119" s="1" t="s">
        <v>5741</v>
      </c>
      <c r="D1119" s="48">
        <v>6</v>
      </c>
      <c r="E1119" s="1">
        <v>1</v>
      </c>
      <c r="F1119" s="1" t="s">
        <v>3333</v>
      </c>
      <c r="G1119" s="1" t="s">
        <v>313</v>
      </c>
      <c r="H1119" s="1" t="s">
        <v>26</v>
      </c>
      <c r="I1119" s="1" t="s">
        <v>94</v>
      </c>
      <c r="K1119" s="1" t="s">
        <v>287</v>
      </c>
      <c r="N1119" s="54">
        <v>34</v>
      </c>
      <c r="O1119" s="55">
        <v>2</v>
      </c>
      <c r="Q1119" s="57">
        <v>5</v>
      </c>
      <c r="R1119" s="58">
        <v>3</v>
      </c>
      <c r="S1119" s="59">
        <v>10</v>
      </c>
      <c r="U1119" s="1">
        <v>2</v>
      </c>
      <c r="V1119" s="4" t="s">
        <v>3351</v>
      </c>
      <c r="AL1119" s="60" t="s">
        <v>30</v>
      </c>
    </row>
    <row r="1120" spans="1:48" ht="48" x14ac:dyDescent="0.2">
      <c r="A1120" s="1" t="s">
        <v>3165</v>
      </c>
      <c r="B1120" s="1" t="s">
        <v>3352</v>
      </c>
      <c r="C1120" s="1" t="s">
        <v>5741</v>
      </c>
      <c r="D1120" s="48">
        <v>7</v>
      </c>
      <c r="E1120" s="1">
        <v>1</v>
      </c>
      <c r="F1120" s="1" t="s">
        <v>3333</v>
      </c>
      <c r="G1120" s="1" t="s">
        <v>327</v>
      </c>
      <c r="H1120" s="1" t="s">
        <v>26</v>
      </c>
      <c r="I1120" s="1" t="s">
        <v>94</v>
      </c>
      <c r="K1120" s="1" t="s">
        <v>287</v>
      </c>
      <c r="N1120" s="54">
        <v>34</v>
      </c>
      <c r="O1120" s="55">
        <v>2</v>
      </c>
      <c r="Q1120" s="57">
        <v>4</v>
      </c>
      <c r="R1120" s="58">
        <v>4</v>
      </c>
      <c r="S1120" s="59">
        <v>10</v>
      </c>
      <c r="U1120" s="1">
        <v>2</v>
      </c>
      <c r="V1120" s="4" t="s">
        <v>3353</v>
      </c>
      <c r="AL1120" s="60" t="s">
        <v>30</v>
      </c>
      <c r="AU1120" s="1" t="s">
        <v>6223</v>
      </c>
      <c r="AV1120" s="1" t="s">
        <v>6224</v>
      </c>
    </row>
    <row r="1121" spans="1:48" ht="24" x14ac:dyDescent="0.2">
      <c r="A1121" s="1" t="s">
        <v>3165</v>
      </c>
      <c r="B1121" s="1" t="s">
        <v>3357</v>
      </c>
      <c r="C1121" s="1" t="s">
        <v>5741</v>
      </c>
      <c r="D1121" s="48">
        <v>8</v>
      </c>
      <c r="E1121" s="1">
        <v>3</v>
      </c>
      <c r="F1121" s="1" t="s">
        <v>3333</v>
      </c>
      <c r="G1121" s="1" t="s">
        <v>3358</v>
      </c>
      <c r="I1121" s="1" t="s">
        <v>104</v>
      </c>
      <c r="K1121" s="1" t="s">
        <v>105</v>
      </c>
      <c r="O1121" s="55">
        <v>2</v>
      </c>
      <c r="T1121" s="60">
        <v>5</v>
      </c>
      <c r="V1121" s="4" t="s">
        <v>3359</v>
      </c>
      <c r="W1121" s="4" t="s">
        <v>3360</v>
      </c>
      <c r="AL1121" s="60" t="s">
        <v>30</v>
      </c>
      <c r="AU1121" s="1" t="s">
        <v>6225</v>
      </c>
    </row>
    <row r="1122" spans="1:48" ht="24" x14ac:dyDescent="0.2">
      <c r="A1122" s="1" t="s">
        <v>3165</v>
      </c>
      <c r="B1122" s="1" t="s">
        <v>3361</v>
      </c>
      <c r="C1122" s="1" t="s">
        <v>5741</v>
      </c>
      <c r="D1122" s="48">
        <v>9</v>
      </c>
      <c r="E1122" s="1">
        <v>3</v>
      </c>
      <c r="F1122" s="1" t="s">
        <v>3333</v>
      </c>
      <c r="G1122" s="1" t="s">
        <v>3362</v>
      </c>
      <c r="I1122" s="1" t="s">
        <v>104</v>
      </c>
      <c r="K1122" s="1" t="s">
        <v>253</v>
      </c>
      <c r="O1122" s="55">
        <v>3</v>
      </c>
      <c r="T1122" s="60">
        <v>3</v>
      </c>
      <c r="V1122" s="4" t="s">
        <v>3363</v>
      </c>
      <c r="W1122" s="4" t="s">
        <v>3364</v>
      </c>
      <c r="AL1122" s="60" t="s">
        <v>30</v>
      </c>
    </row>
    <row r="1123" spans="1:48" ht="60" x14ac:dyDescent="0.2">
      <c r="A1123" s="1" t="s">
        <v>3165</v>
      </c>
      <c r="B1123" s="1" t="s">
        <v>3354</v>
      </c>
      <c r="C1123" s="1" t="s">
        <v>5741</v>
      </c>
      <c r="D1123" s="48">
        <v>10</v>
      </c>
      <c r="E1123" s="1">
        <v>3</v>
      </c>
      <c r="F1123" s="1" t="s">
        <v>3333</v>
      </c>
      <c r="G1123" s="1" t="s">
        <v>3355</v>
      </c>
      <c r="I1123" s="1" t="s">
        <v>82</v>
      </c>
      <c r="V1123" s="4" t="s">
        <v>3356</v>
      </c>
      <c r="AL1123" s="60" t="s">
        <v>30</v>
      </c>
    </row>
    <row r="1124" spans="1:48" ht="48" x14ac:dyDescent="0.2">
      <c r="A1124" s="1" t="s">
        <v>3165</v>
      </c>
      <c r="B1124" s="1" t="s">
        <v>3336</v>
      </c>
      <c r="C1124" s="1" t="s">
        <v>5741</v>
      </c>
      <c r="D1124" s="48">
        <v>11</v>
      </c>
      <c r="E1124" s="1">
        <v>1</v>
      </c>
      <c r="F1124" s="1" t="s">
        <v>3333</v>
      </c>
      <c r="G1124" s="1" t="s">
        <v>9685</v>
      </c>
      <c r="I1124" s="1" t="s">
        <v>125</v>
      </c>
      <c r="M1124" s="18">
        <v>3</v>
      </c>
      <c r="N1124" s="54" t="s">
        <v>9529</v>
      </c>
      <c r="V1124" s="4" t="s">
        <v>3337</v>
      </c>
      <c r="Y1124" s="1" t="s">
        <v>9685</v>
      </c>
      <c r="AA1124" s="1" t="s">
        <v>125</v>
      </c>
      <c r="AE1124" s="1">
        <v>3</v>
      </c>
      <c r="AF1124" s="54" t="s">
        <v>9530</v>
      </c>
      <c r="AL1124" s="60" t="s">
        <v>30</v>
      </c>
      <c r="AN1124" s="4" t="s">
        <v>3338</v>
      </c>
    </row>
    <row r="1125" spans="1:48" ht="108" x14ac:dyDescent="0.2">
      <c r="A1125" s="1" t="s">
        <v>3165</v>
      </c>
      <c r="B1125" s="1" t="s">
        <v>3303</v>
      </c>
      <c r="C1125" s="1" t="s">
        <v>5737</v>
      </c>
      <c r="D1125" s="48">
        <v>1</v>
      </c>
      <c r="E1125" s="1">
        <v>1</v>
      </c>
      <c r="F1125" s="1" t="s">
        <v>3304</v>
      </c>
      <c r="G1125" s="1" t="s">
        <v>85</v>
      </c>
      <c r="I1125" s="1" t="s">
        <v>768</v>
      </c>
      <c r="N1125" s="54" t="s">
        <v>9529</v>
      </c>
      <c r="V1125" s="4" t="s">
        <v>769</v>
      </c>
      <c r="X1125" s="1" t="s">
        <v>2486</v>
      </c>
      <c r="Y1125" s="1" t="s">
        <v>85</v>
      </c>
      <c r="AA1125" s="1" t="s">
        <v>768</v>
      </c>
      <c r="AF1125" s="54" t="s">
        <v>9530</v>
      </c>
      <c r="AL1125" s="60" t="s">
        <v>30</v>
      </c>
      <c r="AN1125" s="4" t="s">
        <v>3305</v>
      </c>
    </row>
    <row r="1126" spans="1:48" ht="36" x14ac:dyDescent="0.2">
      <c r="A1126" s="1" t="s">
        <v>3165</v>
      </c>
      <c r="B1126" s="1" t="s">
        <v>3306</v>
      </c>
      <c r="C1126" s="1" t="s">
        <v>5737</v>
      </c>
      <c r="D1126" s="48">
        <v>2</v>
      </c>
      <c r="E1126" s="1">
        <v>3</v>
      </c>
      <c r="F1126" s="1" t="s">
        <v>3304</v>
      </c>
      <c r="G1126" s="1" t="s">
        <v>3307</v>
      </c>
      <c r="I1126" s="1" t="s">
        <v>94</v>
      </c>
      <c r="K1126" s="1" t="s">
        <v>604</v>
      </c>
      <c r="N1126" s="54">
        <v>48</v>
      </c>
      <c r="O1126" s="55">
        <v>2</v>
      </c>
      <c r="Q1126" s="57">
        <v>5</v>
      </c>
      <c r="R1126" s="58">
        <v>3</v>
      </c>
      <c r="S1126" s="59">
        <v>4</v>
      </c>
      <c r="V1126" s="4" t="s">
        <v>3308</v>
      </c>
      <c r="W1126" s="4" t="s">
        <v>3309</v>
      </c>
      <c r="AL1126" s="60" t="s">
        <v>30</v>
      </c>
      <c r="AU1126" s="1" t="s">
        <v>6226</v>
      </c>
      <c r="AV1126" s="1" t="s">
        <v>6227</v>
      </c>
    </row>
    <row r="1127" spans="1:48" ht="60" x14ac:dyDescent="0.2">
      <c r="A1127" s="1" t="s">
        <v>3165</v>
      </c>
      <c r="B1127" s="1" t="s">
        <v>3329</v>
      </c>
      <c r="C1127" s="1" t="s">
        <v>5737</v>
      </c>
      <c r="D1127" s="48">
        <v>3</v>
      </c>
      <c r="E1127" s="1">
        <v>2</v>
      </c>
      <c r="F1127" s="1" t="s">
        <v>3304</v>
      </c>
      <c r="G1127" s="1" t="s">
        <v>3330</v>
      </c>
      <c r="I1127" s="1" t="s">
        <v>94</v>
      </c>
      <c r="K1127" s="1" t="s">
        <v>576</v>
      </c>
      <c r="N1127" s="54">
        <v>11</v>
      </c>
      <c r="O1127" s="55">
        <v>2</v>
      </c>
      <c r="Q1127" s="57">
        <v>4</v>
      </c>
      <c r="R1127" s="58">
        <v>3</v>
      </c>
      <c r="S1127" s="59">
        <v>5</v>
      </c>
      <c r="V1127" s="4" t="s">
        <v>3331</v>
      </c>
      <c r="AL1127" s="60" t="s">
        <v>30</v>
      </c>
    </row>
    <row r="1128" spans="1:48" ht="24" x14ac:dyDescent="0.2">
      <c r="A1128" s="1" t="s">
        <v>3165</v>
      </c>
      <c r="B1128" s="1" t="s">
        <v>3314</v>
      </c>
      <c r="C1128" s="1" t="s">
        <v>5737</v>
      </c>
      <c r="D1128" s="48">
        <v>4</v>
      </c>
      <c r="E1128" s="1">
        <v>3</v>
      </c>
      <c r="F1128" s="1" t="s">
        <v>3304</v>
      </c>
      <c r="G1128" s="1" t="s">
        <v>3315</v>
      </c>
      <c r="I1128" s="1" t="s">
        <v>104</v>
      </c>
      <c r="K1128" s="1" t="s">
        <v>105</v>
      </c>
      <c r="O1128" s="55">
        <v>3</v>
      </c>
      <c r="T1128" s="60">
        <v>4</v>
      </c>
      <c r="V1128" s="4" t="s">
        <v>3316</v>
      </c>
      <c r="W1128" s="4" t="s">
        <v>3317</v>
      </c>
      <c r="AL1128" s="60" t="s">
        <v>30</v>
      </c>
      <c r="AU1128" s="1" t="s">
        <v>6228</v>
      </c>
    </row>
    <row r="1129" spans="1:48" ht="24" x14ac:dyDescent="0.2">
      <c r="A1129" s="1" t="s">
        <v>3165</v>
      </c>
      <c r="B1129" s="1" t="s">
        <v>3321</v>
      </c>
      <c r="C1129" s="1" t="s">
        <v>5737</v>
      </c>
      <c r="D1129" s="48">
        <v>5</v>
      </c>
      <c r="E1129" s="1">
        <v>3</v>
      </c>
      <c r="F1129" s="1" t="s">
        <v>3304</v>
      </c>
      <c r="G1129" s="1" t="s">
        <v>3322</v>
      </c>
      <c r="I1129" s="1" t="s">
        <v>104</v>
      </c>
      <c r="K1129" s="1" t="s">
        <v>105</v>
      </c>
      <c r="O1129" s="55">
        <v>2</v>
      </c>
      <c r="T1129" s="60">
        <v>5</v>
      </c>
      <c r="V1129" s="4" t="s">
        <v>3323</v>
      </c>
      <c r="W1129" s="4" t="s">
        <v>3324</v>
      </c>
      <c r="AL1129" s="60" t="s">
        <v>30</v>
      </c>
      <c r="AU1129" s="1" t="s">
        <v>6228</v>
      </c>
    </row>
    <row r="1130" spans="1:48" ht="24" x14ac:dyDescent="0.2">
      <c r="A1130" s="1" t="s">
        <v>3165</v>
      </c>
      <c r="B1130" s="1" t="s">
        <v>3325</v>
      </c>
      <c r="C1130" s="1" t="s">
        <v>5737</v>
      </c>
      <c r="D1130" s="48">
        <v>6</v>
      </c>
      <c r="E1130" s="1">
        <v>2</v>
      </c>
      <c r="F1130" s="1" t="s">
        <v>3304</v>
      </c>
      <c r="G1130" s="1" t="s">
        <v>3326</v>
      </c>
      <c r="I1130" s="1" t="s">
        <v>104</v>
      </c>
      <c r="K1130" s="1" t="s">
        <v>105</v>
      </c>
      <c r="O1130" s="55">
        <v>4</v>
      </c>
      <c r="T1130" s="60">
        <v>2</v>
      </c>
      <c r="V1130" s="4" t="s">
        <v>3327</v>
      </c>
      <c r="W1130" s="4" t="s">
        <v>3328</v>
      </c>
      <c r="AL1130" s="60" t="s">
        <v>30</v>
      </c>
      <c r="AU1130" s="1" t="s">
        <v>6228</v>
      </c>
    </row>
    <row r="1131" spans="1:48" ht="36" x14ac:dyDescent="0.2">
      <c r="A1131" s="1" t="s">
        <v>3165</v>
      </c>
      <c r="B1131" s="1" t="s">
        <v>3310</v>
      </c>
      <c r="C1131" s="1" t="s">
        <v>5737</v>
      </c>
      <c r="D1131" s="48">
        <v>7</v>
      </c>
      <c r="E1131" s="1">
        <v>3</v>
      </c>
      <c r="F1131" s="1" t="s">
        <v>3304</v>
      </c>
      <c r="G1131" s="1" t="s">
        <v>3311</v>
      </c>
      <c r="I1131" s="1" t="s">
        <v>82</v>
      </c>
      <c r="L1131" s="2" t="s">
        <v>155</v>
      </c>
      <c r="V1131" s="4" t="s">
        <v>3312</v>
      </c>
      <c r="W1131" s="4" t="s">
        <v>3313</v>
      </c>
      <c r="AL1131" s="60" t="s">
        <v>30</v>
      </c>
    </row>
    <row r="1132" spans="1:48" ht="48" x14ac:dyDescent="0.2">
      <c r="A1132" s="1" t="s">
        <v>3165</v>
      </c>
      <c r="B1132" s="1" t="s">
        <v>3318</v>
      </c>
      <c r="C1132" s="1" t="s">
        <v>5737</v>
      </c>
      <c r="D1132" s="48">
        <v>8</v>
      </c>
      <c r="E1132" s="1">
        <v>3</v>
      </c>
      <c r="F1132" s="1" t="s">
        <v>3304</v>
      </c>
      <c r="G1132" s="1" t="s">
        <v>3319</v>
      </c>
      <c r="I1132" s="1" t="s">
        <v>82</v>
      </c>
      <c r="L1132" s="2" t="s">
        <v>155</v>
      </c>
      <c r="V1132" s="4" t="s">
        <v>3320</v>
      </c>
      <c r="AL1132" s="60" t="s">
        <v>30</v>
      </c>
      <c r="AU1132" s="1" t="s">
        <v>6229</v>
      </c>
      <c r="AV1132" s="1" t="s">
        <v>6230</v>
      </c>
    </row>
    <row r="1133" spans="1:48" ht="48" x14ac:dyDescent="0.2">
      <c r="A1133" s="1" t="s">
        <v>3165</v>
      </c>
      <c r="B1133" s="1" t="s">
        <v>3166</v>
      </c>
      <c r="C1133" s="1" t="s">
        <v>5742</v>
      </c>
      <c r="D1133" s="48">
        <v>1</v>
      </c>
      <c r="E1133" s="1">
        <v>1</v>
      </c>
      <c r="F1133" s="1" t="s">
        <v>3168</v>
      </c>
      <c r="G1133" s="1" t="s">
        <v>3167</v>
      </c>
      <c r="I1133" s="1" t="s">
        <v>768</v>
      </c>
      <c r="N1133" s="54" t="s">
        <v>9529</v>
      </c>
      <c r="V1133" s="4" t="s">
        <v>769</v>
      </c>
      <c r="X1133" s="1" t="s">
        <v>127</v>
      </c>
      <c r="Y1133" s="1" t="s">
        <v>3169</v>
      </c>
      <c r="AA1133" s="1" t="s">
        <v>768</v>
      </c>
      <c r="AF1133" s="54" t="s">
        <v>9530</v>
      </c>
      <c r="AL1133" s="60" t="s">
        <v>30</v>
      </c>
      <c r="AN1133" s="4" t="s">
        <v>3170</v>
      </c>
    </row>
    <row r="1134" spans="1:48" ht="60" x14ac:dyDescent="0.2">
      <c r="A1134" s="1" t="s">
        <v>3165</v>
      </c>
      <c r="B1134" s="1" t="s">
        <v>3171</v>
      </c>
      <c r="C1134" s="1" t="s">
        <v>5742</v>
      </c>
      <c r="D1134" s="48">
        <v>2</v>
      </c>
      <c r="E1134" s="1">
        <v>3</v>
      </c>
      <c r="F1134" s="1" t="s">
        <v>3168</v>
      </c>
      <c r="G1134" s="1" t="s">
        <v>3172</v>
      </c>
      <c r="I1134" s="1" t="s">
        <v>94</v>
      </c>
      <c r="K1134" s="1" t="s">
        <v>2338</v>
      </c>
      <c r="N1134" s="54">
        <v>50</v>
      </c>
      <c r="O1134" s="55">
        <v>4</v>
      </c>
      <c r="Q1134" s="57">
        <v>6</v>
      </c>
      <c r="R1134" s="58">
        <v>4</v>
      </c>
      <c r="S1134" s="59">
        <v>10</v>
      </c>
      <c r="V1134" s="4" t="s">
        <v>3173</v>
      </c>
      <c r="AL1134" s="60" t="s">
        <v>30</v>
      </c>
    </row>
    <row r="1135" spans="1:48" ht="48" x14ac:dyDescent="0.2">
      <c r="A1135" s="1" t="s">
        <v>3165</v>
      </c>
      <c r="B1135" s="1" t="s">
        <v>3174</v>
      </c>
      <c r="C1135" s="1" t="s">
        <v>5742</v>
      </c>
      <c r="D1135" s="48">
        <v>3</v>
      </c>
      <c r="E1135" s="1">
        <v>2</v>
      </c>
      <c r="F1135" s="1" t="s">
        <v>3168</v>
      </c>
      <c r="G1135" s="1" t="s">
        <v>3175</v>
      </c>
      <c r="I1135" s="1" t="s">
        <v>94</v>
      </c>
      <c r="K1135" s="1" t="s">
        <v>2558</v>
      </c>
      <c r="N1135" s="54">
        <v>39</v>
      </c>
      <c r="O1135" s="55">
        <v>2</v>
      </c>
      <c r="Q1135" s="57">
        <v>2</v>
      </c>
      <c r="R1135" s="58">
        <v>3</v>
      </c>
      <c r="S1135" s="59">
        <v>5</v>
      </c>
      <c r="V1135" s="4" t="s">
        <v>3176</v>
      </c>
      <c r="AL1135" s="60" t="s">
        <v>30</v>
      </c>
    </row>
    <row r="1136" spans="1:48" ht="36" x14ac:dyDescent="0.2">
      <c r="A1136" s="1" t="s">
        <v>3165</v>
      </c>
      <c r="B1136" s="1" t="s">
        <v>3177</v>
      </c>
      <c r="C1136" s="1" t="s">
        <v>5742</v>
      </c>
      <c r="D1136" s="48">
        <v>4</v>
      </c>
      <c r="E1136" s="1">
        <v>3</v>
      </c>
      <c r="F1136" s="1" t="s">
        <v>3168</v>
      </c>
      <c r="G1136" s="1" t="s">
        <v>3178</v>
      </c>
      <c r="I1136" s="1" t="s">
        <v>104</v>
      </c>
      <c r="K1136" s="1" t="s">
        <v>3179</v>
      </c>
      <c r="O1136" s="55">
        <v>3</v>
      </c>
      <c r="T1136" s="60">
        <v>5</v>
      </c>
      <c r="U1136" s="1">
        <v>3</v>
      </c>
      <c r="V1136" s="4" t="s">
        <v>3180</v>
      </c>
      <c r="AL1136" s="60" t="s">
        <v>30</v>
      </c>
    </row>
    <row r="1137" spans="1:48" ht="24" x14ac:dyDescent="0.2">
      <c r="A1137" s="1" t="s">
        <v>3165</v>
      </c>
      <c r="B1137" s="1" t="s">
        <v>3181</v>
      </c>
      <c r="C1137" s="1" t="s">
        <v>5742</v>
      </c>
      <c r="D1137" s="48">
        <v>5</v>
      </c>
      <c r="E1137" s="1">
        <v>2</v>
      </c>
      <c r="F1137" s="1" t="s">
        <v>3168</v>
      </c>
      <c r="G1137" s="1" t="s">
        <v>3182</v>
      </c>
      <c r="I1137" s="1" t="s">
        <v>104</v>
      </c>
      <c r="K1137" s="1" t="s">
        <v>3179</v>
      </c>
      <c r="O1137" s="55">
        <v>5</v>
      </c>
      <c r="T1137" s="60">
        <v>5</v>
      </c>
      <c r="U1137" s="1">
        <v>2</v>
      </c>
      <c r="V1137" s="4" t="s">
        <v>3183</v>
      </c>
      <c r="AL1137" s="60" t="s">
        <v>30</v>
      </c>
      <c r="AU1137" s="1" t="s">
        <v>6231</v>
      </c>
      <c r="AV1137" s="1" t="s">
        <v>6232</v>
      </c>
    </row>
    <row r="1138" spans="1:48" ht="36" x14ac:dyDescent="0.2">
      <c r="A1138" s="1" t="s">
        <v>3165</v>
      </c>
      <c r="B1138" s="1" t="s">
        <v>3184</v>
      </c>
      <c r="C1138" s="1" t="s">
        <v>5742</v>
      </c>
      <c r="D1138" s="48">
        <v>6</v>
      </c>
      <c r="E1138" s="1">
        <v>2</v>
      </c>
      <c r="F1138" s="1" t="s">
        <v>3168</v>
      </c>
      <c r="G1138" s="1" t="s">
        <v>3185</v>
      </c>
      <c r="I1138" s="1" t="s">
        <v>82</v>
      </c>
      <c r="K1138" s="1" t="s">
        <v>2713</v>
      </c>
      <c r="V1138" s="4" t="s">
        <v>3186</v>
      </c>
      <c r="W1138" s="4" t="s">
        <v>3187</v>
      </c>
      <c r="AL1138" s="60" t="s">
        <v>30</v>
      </c>
    </row>
    <row r="1139" spans="1:48" ht="36" x14ac:dyDescent="0.2">
      <c r="A1139" s="1" t="s">
        <v>3165</v>
      </c>
      <c r="B1139" s="1" t="s">
        <v>3188</v>
      </c>
      <c r="C1139" s="1" t="s">
        <v>5742</v>
      </c>
      <c r="D1139" s="48">
        <v>7</v>
      </c>
      <c r="E1139" s="1">
        <v>3</v>
      </c>
      <c r="F1139" s="1" t="s">
        <v>3168</v>
      </c>
      <c r="G1139" s="1" t="s">
        <v>3189</v>
      </c>
      <c r="I1139" s="1" t="s">
        <v>82</v>
      </c>
      <c r="K1139" s="1" t="s">
        <v>2713</v>
      </c>
      <c r="L1139" s="2" t="s">
        <v>1233</v>
      </c>
      <c r="V1139" s="4" t="s">
        <v>3190</v>
      </c>
      <c r="W1139" s="4" t="s">
        <v>3191</v>
      </c>
      <c r="AL1139" s="60" t="s">
        <v>30</v>
      </c>
      <c r="AU1139" s="1" t="s">
        <v>6233</v>
      </c>
    </row>
    <row r="1140" spans="1:48" ht="36" x14ac:dyDescent="0.2">
      <c r="A1140" s="1" t="s">
        <v>3165</v>
      </c>
      <c r="B1140" s="1" t="s">
        <v>3192</v>
      </c>
      <c r="C1140" s="1" t="s">
        <v>5742</v>
      </c>
      <c r="D1140" s="48">
        <v>8</v>
      </c>
      <c r="E1140" s="1">
        <v>2</v>
      </c>
      <c r="F1140" s="1" t="s">
        <v>3168</v>
      </c>
      <c r="G1140" s="1" t="s">
        <v>3193</v>
      </c>
      <c r="I1140" s="1" t="s">
        <v>82</v>
      </c>
      <c r="L1140" s="2" t="s">
        <v>3194</v>
      </c>
      <c r="V1140" s="4" t="s">
        <v>3195</v>
      </c>
      <c r="W1140" s="4" t="s">
        <v>3196</v>
      </c>
      <c r="AL1140" s="60" t="s">
        <v>30</v>
      </c>
      <c r="AU1140" s="1" t="s">
        <v>6234</v>
      </c>
    </row>
    <row r="1141" spans="1:48" ht="24" x14ac:dyDescent="0.2">
      <c r="A1141" s="1" t="s">
        <v>3165</v>
      </c>
      <c r="B1141" s="1" t="s">
        <v>3197</v>
      </c>
      <c r="C1141" s="1" t="s">
        <v>5742</v>
      </c>
      <c r="D1141" s="48">
        <v>9</v>
      </c>
      <c r="E1141" s="1">
        <v>2</v>
      </c>
      <c r="F1141" s="1" t="s">
        <v>3168</v>
      </c>
      <c r="G1141" s="1" t="s">
        <v>3198</v>
      </c>
      <c r="I1141" s="1" t="s">
        <v>82</v>
      </c>
      <c r="L1141" s="2" t="s">
        <v>155</v>
      </c>
      <c r="V1141" s="4" t="s">
        <v>3199</v>
      </c>
      <c r="AL1141" s="60" t="s">
        <v>30</v>
      </c>
      <c r="AU1141" s="1" t="s">
        <v>6234</v>
      </c>
    </row>
    <row r="1142" spans="1:48" ht="108" x14ac:dyDescent="0.2">
      <c r="A1142" s="1" t="s">
        <v>3165</v>
      </c>
      <c r="B1142" s="1" t="s">
        <v>3200</v>
      </c>
      <c r="C1142" s="1" t="s">
        <v>5740</v>
      </c>
      <c r="D1142" s="48">
        <v>1</v>
      </c>
      <c r="E1142" s="1">
        <v>1</v>
      </c>
      <c r="F1142" s="1" t="s">
        <v>3202</v>
      </c>
      <c r="G1142" s="1" t="s">
        <v>3201</v>
      </c>
      <c r="I1142" s="1" t="s">
        <v>768</v>
      </c>
      <c r="N1142" s="54" t="s">
        <v>9529</v>
      </c>
      <c r="V1142" s="4" t="s">
        <v>769</v>
      </c>
      <c r="X1142" s="1" t="s">
        <v>127</v>
      </c>
      <c r="Y1142" s="1" t="s">
        <v>3201</v>
      </c>
      <c r="AA1142" s="1" t="s">
        <v>768</v>
      </c>
      <c r="AF1142" s="54" t="s">
        <v>9530</v>
      </c>
      <c r="AL1142" s="60" t="s">
        <v>30</v>
      </c>
      <c r="AN1142" s="4" t="s">
        <v>3203</v>
      </c>
      <c r="AU1142" s="1" t="s">
        <v>6234</v>
      </c>
    </row>
    <row r="1143" spans="1:48" ht="108" x14ac:dyDescent="0.2">
      <c r="A1143" s="1" t="s">
        <v>3165</v>
      </c>
      <c r="B1143" s="1" t="s">
        <v>3204</v>
      </c>
      <c r="C1143" s="1" t="s">
        <v>5740</v>
      </c>
      <c r="D1143" s="48">
        <v>2</v>
      </c>
      <c r="E1143" s="1">
        <v>1</v>
      </c>
      <c r="F1143" s="1" t="s">
        <v>3202</v>
      </c>
      <c r="G1143" s="1" t="s">
        <v>3205</v>
      </c>
      <c r="H1143" s="1" t="s">
        <v>26</v>
      </c>
      <c r="I1143" s="1" t="s">
        <v>104</v>
      </c>
      <c r="K1143" s="1" t="s">
        <v>3206</v>
      </c>
      <c r="O1143" s="55" t="s">
        <v>113</v>
      </c>
      <c r="T1143" s="60" t="s">
        <v>799</v>
      </c>
      <c r="V1143" s="4" t="s">
        <v>3207</v>
      </c>
      <c r="AL1143" s="60" t="s">
        <v>30</v>
      </c>
    </row>
    <row r="1144" spans="1:48" ht="48" x14ac:dyDescent="0.2">
      <c r="A1144" s="1" t="s">
        <v>3165</v>
      </c>
      <c r="B1144" s="1" t="s">
        <v>3208</v>
      </c>
      <c r="C1144" s="1" t="s">
        <v>5740</v>
      </c>
      <c r="D1144" s="48">
        <v>3</v>
      </c>
      <c r="E1144" s="1">
        <v>3</v>
      </c>
      <c r="F1144" s="1" t="s">
        <v>3202</v>
      </c>
      <c r="G1144" s="1" t="s">
        <v>3209</v>
      </c>
      <c r="I1144" s="1" t="s">
        <v>104</v>
      </c>
      <c r="K1144" s="1" t="s">
        <v>3206</v>
      </c>
      <c r="O1144" s="55">
        <v>3</v>
      </c>
      <c r="T1144" s="60">
        <v>5</v>
      </c>
      <c r="V1144" s="4" t="s">
        <v>3210</v>
      </c>
      <c r="W1144" s="4" t="s">
        <v>3211</v>
      </c>
      <c r="AL1144" s="60" t="s">
        <v>30</v>
      </c>
    </row>
    <row r="1145" spans="1:48" ht="24" x14ac:dyDescent="0.2">
      <c r="A1145" s="1" t="s">
        <v>3165</v>
      </c>
      <c r="B1145" s="1" t="s">
        <v>3212</v>
      </c>
      <c r="C1145" s="1" t="s">
        <v>5740</v>
      </c>
      <c r="D1145" s="48">
        <v>4</v>
      </c>
      <c r="E1145" s="1">
        <v>3</v>
      </c>
      <c r="F1145" s="1" t="s">
        <v>3202</v>
      </c>
      <c r="G1145" s="1" t="s">
        <v>3213</v>
      </c>
      <c r="I1145" s="1" t="s">
        <v>94</v>
      </c>
      <c r="K1145" s="1" t="s">
        <v>684</v>
      </c>
      <c r="N1145" s="54">
        <v>50</v>
      </c>
      <c r="O1145" s="55">
        <v>3</v>
      </c>
      <c r="Q1145" s="57">
        <v>4</v>
      </c>
      <c r="R1145" s="58">
        <v>2</v>
      </c>
      <c r="S1145" s="59">
        <v>8</v>
      </c>
      <c r="V1145" s="4" t="s">
        <v>3214</v>
      </c>
      <c r="W1145" s="4" t="s">
        <v>3215</v>
      </c>
      <c r="AL1145" s="60" t="s">
        <v>30</v>
      </c>
    </row>
    <row r="1146" spans="1:48" ht="48" x14ac:dyDescent="0.2">
      <c r="A1146" s="1" t="s">
        <v>3165</v>
      </c>
      <c r="B1146" s="1" t="s">
        <v>3216</v>
      </c>
      <c r="C1146" s="1" t="s">
        <v>5740</v>
      </c>
      <c r="D1146" s="48">
        <v>5</v>
      </c>
      <c r="E1146" s="1">
        <v>2</v>
      </c>
      <c r="F1146" s="1" t="s">
        <v>3202</v>
      </c>
      <c r="G1146" s="1" t="s">
        <v>3217</v>
      </c>
      <c r="I1146" s="1" t="s">
        <v>94</v>
      </c>
      <c r="K1146" s="1" t="s">
        <v>2117</v>
      </c>
      <c r="N1146" s="54">
        <v>40</v>
      </c>
      <c r="O1146" s="55">
        <v>4</v>
      </c>
      <c r="Q1146" s="57">
        <v>3</v>
      </c>
      <c r="R1146" s="58">
        <v>2</v>
      </c>
      <c r="S1146" s="59">
        <v>5</v>
      </c>
      <c r="V1146" s="4" t="s">
        <v>3218</v>
      </c>
      <c r="AL1146" s="60" t="s">
        <v>30</v>
      </c>
    </row>
    <row r="1147" spans="1:48" ht="36" x14ac:dyDescent="0.2">
      <c r="A1147" s="1" t="s">
        <v>3165</v>
      </c>
      <c r="B1147" s="1" t="s">
        <v>3219</v>
      </c>
      <c r="C1147" s="1" t="s">
        <v>5740</v>
      </c>
      <c r="D1147" s="48">
        <v>6</v>
      </c>
      <c r="E1147" s="1">
        <v>3</v>
      </c>
      <c r="F1147" s="1" t="s">
        <v>3202</v>
      </c>
      <c r="G1147" s="1" t="s">
        <v>3220</v>
      </c>
      <c r="I1147" s="1" t="s">
        <v>94</v>
      </c>
      <c r="K1147" s="1" t="s">
        <v>3221</v>
      </c>
      <c r="N1147" s="54">
        <v>30</v>
      </c>
      <c r="O1147" s="55">
        <v>1</v>
      </c>
      <c r="Q1147" s="57">
        <v>5</v>
      </c>
      <c r="R1147" s="58">
        <v>2</v>
      </c>
      <c r="S1147" s="59">
        <v>3</v>
      </c>
      <c r="V1147" s="4" t="s">
        <v>3222</v>
      </c>
      <c r="AL1147" s="60" t="s">
        <v>30</v>
      </c>
    </row>
    <row r="1148" spans="1:48" ht="24" x14ac:dyDescent="0.2">
      <c r="A1148" s="1" t="s">
        <v>3165</v>
      </c>
      <c r="B1148" s="1" t="s">
        <v>3223</v>
      </c>
      <c r="C1148" s="1" t="s">
        <v>5740</v>
      </c>
      <c r="D1148" s="48">
        <v>7</v>
      </c>
      <c r="E1148" s="1">
        <v>3</v>
      </c>
      <c r="F1148" s="1" t="s">
        <v>3202</v>
      </c>
      <c r="G1148" s="1" t="s">
        <v>3224</v>
      </c>
      <c r="I1148" s="1" t="s">
        <v>94</v>
      </c>
      <c r="K1148" s="1" t="s">
        <v>3221</v>
      </c>
      <c r="N1148" s="54">
        <v>18</v>
      </c>
      <c r="O1148" s="55">
        <v>2</v>
      </c>
      <c r="Q1148" s="57">
        <v>2</v>
      </c>
      <c r="R1148" s="58">
        <v>3</v>
      </c>
      <c r="S1148" s="59">
        <v>7</v>
      </c>
      <c r="V1148" s="4" t="s">
        <v>3225</v>
      </c>
      <c r="W1148" s="4" t="s">
        <v>3226</v>
      </c>
      <c r="AL1148" s="60" t="s">
        <v>30</v>
      </c>
    </row>
    <row r="1149" spans="1:48" ht="60" x14ac:dyDescent="0.2">
      <c r="A1149" s="1" t="s">
        <v>3165</v>
      </c>
      <c r="B1149" s="1" t="s">
        <v>3227</v>
      </c>
      <c r="C1149" s="1" t="s">
        <v>5740</v>
      </c>
      <c r="D1149" s="48">
        <v>8</v>
      </c>
      <c r="E1149" s="1">
        <v>1</v>
      </c>
      <c r="F1149" s="1" t="s">
        <v>3202</v>
      </c>
      <c r="G1149" s="1" t="s">
        <v>3228</v>
      </c>
      <c r="I1149" s="1" t="s">
        <v>82</v>
      </c>
      <c r="K1149" s="1" t="s">
        <v>3229</v>
      </c>
      <c r="V1149" s="4" t="s">
        <v>3230</v>
      </c>
      <c r="AL1149" s="60" t="s">
        <v>30</v>
      </c>
    </row>
    <row r="1150" spans="1:48" ht="72" x14ac:dyDescent="0.2">
      <c r="A1150" s="1" t="s">
        <v>3165</v>
      </c>
      <c r="B1150" s="1" t="s">
        <v>3231</v>
      </c>
      <c r="C1150" s="1" t="s">
        <v>5740</v>
      </c>
      <c r="D1150" s="48">
        <v>9</v>
      </c>
      <c r="E1150" s="1">
        <v>2</v>
      </c>
      <c r="F1150" s="1" t="s">
        <v>3202</v>
      </c>
      <c r="G1150" s="1" t="s">
        <v>3232</v>
      </c>
      <c r="I1150" s="1" t="s">
        <v>82</v>
      </c>
      <c r="K1150" s="1" t="s">
        <v>3229</v>
      </c>
      <c r="V1150" s="4" t="s">
        <v>3233</v>
      </c>
      <c r="AL1150" s="60" t="s">
        <v>30</v>
      </c>
      <c r="AU1150" s="1" t="s">
        <v>6235</v>
      </c>
      <c r="AV1150" s="1" t="s">
        <v>6236</v>
      </c>
    </row>
    <row r="1151" spans="1:48" ht="72" x14ac:dyDescent="0.2">
      <c r="A1151" s="1" t="s">
        <v>3165</v>
      </c>
      <c r="B1151" s="1" t="s">
        <v>3234</v>
      </c>
      <c r="C1151" s="1" t="s">
        <v>5740</v>
      </c>
      <c r="D1151" s="48">
        <v>10</v>
      </c>
      <c r="E1151" s="1">
        <v>1</v>
      </c>
      <c r="F1151" s="1" t="s">
        <v>3202</v>
      </c>
      <c r="G1151" s="1" t="s">
        <v>3235</v>
      </c>
      <c r="I1151" s="1" t="s">
        <v>82</v>
      </c>
      <c r="K1151" s="1" t="s">
        <v>3236</v>
      </c>
      <c r="V1151" s="4" t="s">
        <v>3237</v>
      </c>
      <c r="AL1151" s="60" t="s">
        <v>30</v>
      </c>
      <c r="AU1151" s="1" t="s">
        <v>6237</v>
      </c>
      <c r="AV1151" s="1" t="s">
        <v>6238</v>
      </c>
    </row>
    <row r="1152" spans="1:48" ht="108" x14ac:dyDescent="0.2">
      <c r="A1152" s="1" t="s">
        <v>3165</v>
      </c>
      <c r="B1152" s="1" t="s">
        <v>3238</v>
      </c>
      <c r="C1152" s="1" t="s">
        <v>5736</v>
      </c>
      <c r="D1152" s="48">
        <v>1</v>
      </c>
      <c r="E1152" s="1">
        <v>1</v>
      </c>
      <c r="F1152" s="1" t="s">
        <v>3239</v>
      </c>
      <c r="G1152" s="1" t="s">
        <v>2923</v>
      </c>
      <c r="I1152" s="1" t="s">
        <v>768</v>
      </c>
      <c r="N1152" s="54" t="s">
        <v>9529</v>
      </c>
      <c r="V1152" s="4" t="s">
        <v>769</v>
      </c>
      <c r="X1152" s="1" t="s">
        <v>1629</v>
      </c>
      <c r="Y1152" s="1" t="s">
        <v>2923</v>
      </c>
      <c r="AA1152" s="1" t="s">
        <v>768</v>
      </c>
      <c r="AF1152" s="54" t="s">
        <v>9530</v>
      </c>
      <c r="AL1152" s="60" t="s">
        <v>30</v>
      </c>
      <c r="AN1152" s="4" t="s">
        <v>3240</v>
      </c>
      <c r="AU1152" s="1" t="s">
        <v>6239</v>
      </c>
    </row>
    <row r="1153" spans="1:47" ht="24" x14ac:dyDescent="0.2">
      <c r="A1153" s="1" t="s">
        <v>3165</v>
      </c>
      <c r="B1153" s="1" t="s">
        <v>3241</v>
      </c>
      <c r="C1153" s="1" t="s">
        <v>5736</v>
      </c>
      <c r="D1153" s="48">
        <v>2</v>
      </c>
      <c r="E1153" s="1">
        <v>3</v>
      </c>
      <c r="F1153" s="1" t="s">
        <v>3239</v>
      </c>
      <c r="G1153" s="1" t="s">
        <v>3242</v>
      </c>
      <c r="I1153" s="1" t="s">
        <v>94</v>
      </c>
      <c r="K1153" s="1" t="s">
        <v>2558</v>
      </c>
      <c r="N1153" s="54">
        <v>28</v>
      </c>
      <c r="O1153" s="55">
        <v>2</v>
      </c>
      <c r="Q1153" s="57">
        <v>4</v>
      </c>
      <c r="R1153" s="58">
        <v>3</v>
      </c>
      <c r="S1153" s="59">
        <v>7</v>
      </c>
      <c r="V1153" s="4" t="s">
        <v>3243</v>
      </c>
      <c r="AL1153" s="60" t="s">
        <v>30</v>
      </c>
      <c r="AU1153" s="1" t="s">
        <v>6239</v>
      </c>
    </row>
    <row r="1154" spans="1:47" ht="36" x14ac:dyDescent="0.2">
      <c r="A1154" s="1" t="s">
        <v>3165</v>
      </c>
      <c r="B1154" s="1" t="s">
        <v>3244</v>
      </c>
      <c r="C1154" s="1" t="s">
        <v>5736</v>
      </c>
      <c r="D1154" s="48">
        <v>3</v>
      </c>
      <c r="E1154" s="1">
        <v>2</v>
      </c>
      <c r="F1154" s="1" t="s">
        <v>3239</v>
      </c>
      <c r="G1154" s="1" t="s">
        <v>3245</v>
      </c>
      <c r="I1154" s="1" t="s">
        <v>94</v>
      </c>
      <c r="K1154" s="1" t="s">
        <v>604</v>
      </c>
      <c r="L1154" s="2" t="s">
        <v>3246</v>
      </c>
      <c r="N1154" s="54">
        <v>48</v>
      </c>
      <c r="O1154" s="55">
        <v>3</v>
      </c>
      <c r="Q1154" s="57">
        <v>4</v>
      </c>
      <c r="R1154" s="58">
        <v>2</v>
      </c>
      <c r="S1154" s="59">
        <v>4</v>
      </c>
      <c r="V1154" s="4" t="s">
        <v>3247</v>
      </c>
      <c r="AL1154" s="60" t="s">
        <v>30</v>
      </c>
      <c r="AU1154" s="1" t="s">
        <v>6240</v>
      </c>
    </row>
    <row r="1155" spans="1:47" ht="24" x14ac:dyDescent="0.2">
      <c r="A1155" s="1" t="s">
        <v>3165</v>
      </c>
      <c r="B1155" s="1" t="s">
        <v>3248</v>
      </c>
      <c r="C1155" s="1" t="s">
        <v>5736</v>
      </c>
      <c r="D1155" s="48">
        <v>4</v>
      </c>
      <c r="E1155" s="1">
        <v>3</v>
      </c>
      <c r="F1155" s="1" t="s">
        <v>3239</v>
      </c>
      <c r="G1155" s="1" t="s">
        <v>3249</v>
      </c>
      <c r="I1155" s="1" t="s">
        <v>94</v>
      </c>
      <c r="K1155" s="1" t="s">
        <v>576</v>
      </c>
      <c r="N1155" s="54">
        <v>33</v>
      </c>
      <c r="O1155" s="55">
        <v>3</v>
      </c>
      <c r="Q1155" s="57">
        <v>3</v>
      </c>
      <c r="R1155" s="58">
        <v>2</v>
      </c>
      <c r="S1155" s="59">
        <v>5</v>
      </c>
      <c r="V1155" s="4" t="s">
        <v>3250</v>
      </c>
      <c r="W1155" s="4" t="s">
        <v>3251</v>
      </c>
      <c r="AL1155" s="60" t="s">
        <v>30</v>
      </c>
      <c r="AU1155" s="1" t="s">
        <v>6239</v>
      </c>
    </row>
    <row r="1156" spans="1:47" ht="84" x14ac:dyDescent="0.2">
      <c r="A1156" s="1" t="s">
        <v>3165</v>
      </c>
      <c r="B1156" s="1" t="s">
        <v>3252</v>
      </c>
      <c r="C1156" s="1" t="s">
        <v>5736</v>
      </c>
      <c r="D1156" s="48">
        <v>5</v>
      </c>
      <c r="E1156" s="1">
        <v>2</v>
      </c>
      <c r="F1156" s="1" t="s">
        <v>3239</v>
      </c>
      <c r="G1156" s="1" t="s">
        <v>3253</v>
      </c>
      <c r="I1156" s="1" t="s">
        <v>104</v>
      </c>
      <c r="K1156" s="1" t="s">
        <v>105</v>
      </c>
      <c r="O1156" s="55">
        <v>4</v>
      </c>
      <c r="T1156" s="60">
        <v>1</v>
      </c>
      <c r="V1156" s="4" t="s">
        <v>3254</v>
      </c>
      <c r="AL1156" s="60" t="s">
        <v>30</v>
      </c>
      <c r="AU1156" s="1" t="s">
        <v>6239</v>
      </c>
    </row>
    <row r="1157" spans="1:47" ht="24" x14ac:dyDescent="0.2">
      <c r="A1157" s="1" t="s">
        <v>3165</v>
      </c>
      <c r="B1157" s="1" t="s">
        <v>3255</v>
      </c>
      <c r="C1157" s="1" t="s">
        <v>5736</v>
      </c>
      <c r="D1157" s="48">
        <v>6</v>
      </c>
      <c r="E1157" s="1">
        <v>3</v>
      </c>
      <c r="F1157" s="1" t="s">
        <v>3239</v>
      </c>
      <c r="G1157" s="1" t="s">
        <v>3256</v>
      </c>
      <c r="I1157" s="1" t="s">
        <v>104</v>
      </c>
      <c r="K1157" s="1" t="s">
        <v>105</v>
      </c>
      <c r="O1157" s="55">
        <v>3</v>
      </c>
      <c r="T1157" s="60">
        <v>6</v>
      </c>
      <c r="V1157" s="4" t="s">
        <v>3257</v>
      </c>
      <c r="W1157" s="4" t="s">
        <v>3258</v>
      </c>
      <c r="AL1157" s="60" t="s">
        <v>30</v>
      </c>
      <c r="AU1157" s="1" t="s">
        <v>6239</v>
      </c>
    </row>
    <row r="1158" spans="1:47" ht="48" x14ac:dyDescent="0.2">
      <c r="A1158" s="1" t="s">
        <v>3165</v>
      </c>
      <c r="B1158" s="1" t="s">
        <v>3259</v>
      </c>
      <c r="C1158" s="1" t="s">
        <v>5736</v>
      </c>
      <c r="D1158" s="48">
        <v>7</v>
      </c>
      <c r="E1158" s="1">
        <v>2</v>
      </c>
      <c r="F1158" s="1" t="s">
        <v>3239</v>
      </c>
      <c r="G1158" s="1" t="s">
        <v>3260</v>
      </c>
      <c r="I1158" s="1" t="s">
        <v>82</v>
      </c>
      <c r="L1158" s="2" t="s">
        <v>3261</v>
      </c>
      <c r="V1158" s="4" t="s">
        <v>3262</v>
      </c>
      <c r="AL1158" s="60" t="s">
        <v>30</v>
      </c>
      <c r="AU1158" s="1" t="s">
        <v>6240</v>
      </c>
    </row>
    <row r="1159" spans="1:47" ht="48" x14ac:dyDescent="0.2">
      <c r="A1159" s="1" t="s">
        <v>3165</v>
      </c>
      <c r="B1159" s="1" t="s">
        <v>3263</v>
      </c>
      <c r="C1159" s="1" t="s">
        <v>5736</v>
      </c>
      <c r="D1159" s="48">
        <v>8</v>
      </c>
      <c r="E1159" s="1">
        <v>2</v>
      </c>
      <c r="F1159" s="1" t="s">
        <v>3239</v>
      </c>
      <c r="G1159" s="1" t="s">
        <v>3264</v>
      </c>
      <c r="I1159" s="1" t="s">
        <v>82</v>
      </c>
      <c r="K1159" s="1" t="s">
        <v>2951</v>
      </c>
      <c r="V1159" s="4" t="s">
        <v>3265</v>
      </c>
      <c r="W1159" s="4" t="s">
        <v>3266</v>
      </c>
      <c r="AL1159" s="60" t="s">
        <v>30</v>
      </c>
    </row>
    <row r="1160" spans="1:47" ht="36" x14ac:dyDescent="0.2">
      <c r="A1160" s="1" t="s">
        <v>3165</v>
      </c>
      <c r="B1160" s="1" t="s">
        <v>3267</v>
      </c>
      <c r="C1160" s="1" t="s">
        <v>5736</v>
      </c>
      <c r="D1160" s="48">
        <v>9</v>
      </c>
      <c r="E1160" s="1">
        <v>2</v>
      </c>
      <c r="F1160" s="1" t="s">
        <v>3239</v>
      </c>
      <c r="G1160" s="1" t="s">
        <v>3268</v>
      </c>
      <c r="I1160" s="1" t="s">
        <v>82</v>
      </c>
      <c r="K1160" s="1" t="s">
        <v>2951</v>
      </c>
      <c r="V1160" s="4" t="s">
        <v>3269</v>
      </c>
      <c r="W1160" s="4" t="s">
        <v>3270</v>
      </c>
      <c r="AL1160" s="60" t="s">
        <v>30</v>
      </c>
    </row>
    <row r="1161" spans="1:47" ht="60" x14ac:dyDescent="0.2">
      <c r="A1161" s="119" t="s">
        <v>5801</v>
      </c>
      <c r="B1161" s="119" t="s">
        <v>5802</v>
      </c>
      <c r="C1161" s="119" t="s">
        <v>5747</v>
      </c>
      <c r="D1161" s="120">
        <v>1</v>
      </c>
      <c r="E1161" s="119">
        <v>1</v>
      </c>
      <c r="F1161" s="119" t="s">
        <v>7747</v>
      </c>
      <c r="G1161" s="119" t="s">
        <v>2671</v>
      </c>
      <c r="I1161" s="1" t="s">
        <v>768</v>
      </c>
      <c r="K1161" s="3"/>
      <c r="L1161" s="4"/>
      <c r="M1161" s="20"/>
      <c r="N1161" s="54" t="s">
        <v>9529</v>
      </c>
      <c r="T1161" s="67"/>
      <c r="V1161" s="4" t="s">
        <v>769</v>
      </c>
      <c r="Y1161" s="1" t="s">
        <v>2671</v>
      </c>
      <c r="AA1161" s="1" t="s">
        <v>768</v>
      </c>
      <c r="AF1161" s="54" t="s">
        <v>9530</v>
      </c>
      <c r="AL1161" s="67" t="s">
        <v>30</v>
      </c>
      <c r="AN1161" s="4" t="s">
        <v>5799</v>
      </c>
    </row>
    <row r="1162" spans="1:47" ht="48" x14ac:dyDescent="0.2">
      <c r="A1162" s="1" t="s">
        <v>5801</v>
      </c>
      <c r="B1162" s="1" t="s">
        <v>5803</v>
      </c>
      <c r="C1162" s="1" t="s">
        <v>5747</v>
      </c>
      <c r="D1162" s="48">
        <v>2</v>
      </c>
      <c r="E1162" s="1">
        <v>1</v>
      </c>
      <c r="F1162" s="1" t="s">
        <v>7747</v>
      </c>
      <c r="G1162" s="1" t="s">
        <v>9624</v>
      </c>
      <c r="I1162" s="1" t="s">
        <v>125</v>
      </c>
      <c r="K1162" s="3"/>
      <c r="L1162" s="4"/>
      <c r="M1162" s="20">
        <v>2</v>
      </c>
      <c r="N1162" s="54" t="s">
        <v>9529</v>
      </c>
      <c r="T1162" s="67"/>
      <c r="V1162" s="4" t="s">
        <v>5794</v>
      </c>
      <c r="Y1162" s="1" t="s">
        <v>9624</v>
      </c>
      <c r="AA1162" s="1" t="s">
        <v>125</v>
      </c>
      <c r="AE1162" s="1">
        <v>2</v>
      </c>
      <c r="AF1162" s="54" t="s">
        <v>9530</v>
      </c>
      <c r="AL1162" s="67" t="s">
        <v>113</v>
      </c>
      <c r="AN1162" s="4" t="s">
        <v>5793</v>
      </c>
    </row>
    <row r="1163" spans="1:47" ht="24" x14ac:dyDescent="0.2">
      <c r="A1163" s="1" t="s">
        <v>5801</v>
      </c>
      <c r="B1163" s="1" t="s">
        <v>5804</v>
      </c>
      <c r="C1163" s="1" t="s">
        <v>5747</v>
      </c>
      <c r="D1163" s="48">
        <v>3</v>
      </c>
      <c r="E1163" s="1">
        <v>4</v>
      </c>
      <c r="F1163" s="1" t="s">
        <v>7747</v>
      </c>
      <c r="G1163" s="1" t="s">
        <v>5786</v>
      </c>
      <c r="I1163" s="1" t="s">
        <v>94</v>
      </c>
      <c r="K1163" s="3" t="s">
        <v>604</v>
      </c>
      <c r="L1163" s="4"/>
      <c r="M1163" s="20"/>
      <c r="N1163" s="54">
        <v>20</v>
      </c>
      <c r="O1163" s="55">
        <v>1</v>
      </c>
      <c r="Q1163" s="57">
        <v>4</v>
      </c>
      <c r="R1163" s="58">
        <v>3</v>
      </c>
      <c r="S1163" s="59">
        <v>5</v>
      </c>
      <c r="T1163" s="67"/>
      <c r="V1163" s="4" t="s">
        <v>5788</v>
      </c>
      <c r="W1163" s="4" t="s">
        <v>5790</v>
      </c>
      <c r="AL1163" s="67" t="s">
        <v>30</v>
      </c>
      <c r="AN1163" s="5"/>
      <c r="AO1163" s="5"/>
      <c r="AP1163" s="5"/>
    </row>
    <row r="1164" spans="1:47" ht="36" x14ac:dyDescent="0.2">
      <c r="A1164" s="1" t="s">
        <v>5801</v>
      </c>
      <c r="B1164" s="1" t="s">
        <v>5805</v>
      </c>
      <c r="C1164" s="1" t="s">
        <v>5747</v>
      </c>
      <c r="D1164" s="48">
        <v>4</v>
      </c>
      <c r="E1164" s="1">
        <v>3</v>
      </c>
      <c r="F1164" s="1" t="s">
        <v>7747</v>
      </c>
      <c r="G1164" s="1" t="s">
        <v>5748</v>
      </c>
      <c r="I1164" s="1" t="s">
        <v>94</v>
      </c>
      <c r="K1164" s="3" t="s">
        <v>604</v>
      </c>
      <c r="L1164" s="4"/>
      <c r="M1164" s="20"/>
      <c r="N1164" s="54">
        <v>50</v>
      </c>
      <c r="O1164" s="55">
        <v>3</v>
      </c>
      <c r="Q1164" s="57">
        <v>2</v>
      </c>
      <c r="R1164" s="58">
        <v>2</v>
      </c>
      <c r="S1164" s="59">
        <v>4</v>
      </c>
      <c r="T1164" s="67"/>
      <c r="V1164" s="4" t="s">
        <v>5830</v>
      </c>
      <c r="W1164" s="4" t="s">
        <v>5838</v>
      </c>
      <c r="AL1164" s="67" t="s">
        <v>30</v>
      </c>
      <c r="AN1164" s="5"/>
      <c r="AO1164" s="5"/>
      <c r="AP1164" s="5"/>
    </row>
    <row r="1165" spans="1:47" ht="24" x14ac:dyDescent="0.2">
      <c r="A1165" s="1" t="s">
        <v>5801</v>
      </c>
      <c r="B1165" s="1" t="s">
        <v>5806</v>
      </c>
      <c r="C1165" s="1" t="s">
        <v>5747</v>
      </c>
      <c r="D1165" s="48">
        <v>5</v>
      </c>
      <c r="E1165" s="1">
        <v>2</v>
      </c>
      <c r="F1165" s="1" t="s">
        <v>7747</v>
      </c>
      <c r="G1165" s="1" t="s">
        <v>5749</v>
      </c>
      <c r="I1165" s="1" t="s">
        <v>94</v>
      </c>
      <c r="K1165" s="3" t="s">
        <v>95</v>
      </c>
      <c r="L1165" s="4" t="s">
        <v>155</v>
      </c>
      <c r="M1165" s="20"/>
      <c r="N1165" s="54">
        <v>0</v>
      </c>
      <c r="O1165" s="55">
        <v>1</v>
      </c>
      <c r="Q1165" s="57">
        <v>7</v>
      </c>
      <c r="R1165" s="58">
        <v>7</v>
      </c>
      <c r="S1165" s="59">
        <v>8</v>
      </c>
      <c r="T1165" s="67"/>
      <c r="V1165" s="4" t="s">
        <v>5750</v>
      </c>
      <c r="W1165" s="4" t="s">
        <v>5751</v>
      </c>
      <c r="AL1165" s="67" t="s">
        <v>30</v>
      </c>
      <c r="AN1165" s="5"/>
      <c r="AO1165" s="5"/>
      <c r="AP1165" s="5"/>
    </row>
    <row r="1166" spans="1:47" ht="36" x14ac:dyDescent="0.2">
      <c r="A1166" s="1" t="s">
        <v>5801</v>
      </c>
      <c r="B1166" s="1" t="s">
        <v>5807</v>
      </c>
      <c r="C1166" s="1" t="s">
        <v>5747</v>
      </c>
      <c r="D1166" s="48">
        <v>6</v>
      </c>
      <c r="E1166" s="1">
        <v>3</v>
      </c>
      <c r="F1166" s="1" t="s">
        <v>7747</v>
      </c>
      <c r="G1166" s="1" t="s">
        <v>5752</v>
      </c>
      <c r="I1166" s="1" t="s">
        <v>104</v>
      </c>
      <c r="K1166" s="3" t="s">
        <v>1592</v>
      </c>
      <c r="L1166" s="4"/>
      <c r="M1166" s="20"/>
      <c r="O1166" s="55" t="s">
        <v>113</v>
      </c>
      <c r="T1166" s="67" t="s">
        <v>113</v>
      </c>
      <c r="V1166" s="4" t="s">
        <v>5753</v>
      </c>
      <c r="W1166" s="4" t="s">
        <v>5839</v>
      </c>
      <c r="AL1166" s="67" t="s">
        <v>30</v>
      </c>
      <c r="AN1166" s="5"/>
      <c r="AO1166" s="5"/>
      <c r="AP1166" s="5"/>
    </row>
    <row r="1167" spans="1:47" ht="36" x14ac:dyDescent="0.2">
      <c r="A1167" s="1" t="s">
        <v>5801</v>
      </c>
      <c r="B1167" s="1" t="s">
        <v>5808</v>
      </c>
      <c r="C1167" s="1" t="s">
        <v>5747</v>
      </c>
      <c r="D1167" s="48">
        <v>7</v>
      </c>
      <c r="E1167" s="1">
        <v>3</v>
      </c>
      <c r="F1167" s="1" t="s">
        <v>7747</v>
      </c>
      <c r="G1167" s="1" t="s">
        <v>5754</v>
      </c>
      <c r="I1167" s="1" t="s">
        <v>104</v>
      </c>
      <c r="K1167" s="3" t="s">
        <v>2742</v>
      </c>
      <c r="L1167" s="4" t="s">
        <v>685</v>
      </c>
      <c r="M1167" s="20"/>
      <c r="O1167" s="55">
        <v>3</v>
      </c>
      <c r="T1167" s="67">
        <v>1</v>
      </c>
      <c r="V1167" s="4" t="s">
        <v>5755</v>
      </c>
      <c r="AL1167" s="67" t="s">
        <v>30</v>
      </c>
      <c r="AN1167" s="5"/>
      <c r="AO1167" s="5"/>
      <c r="AP1167" s="5"/>
    </row>
    <row r="1168" spans="1:47" ht="36" x14ac:dyDescent="0.2">
      <c r="A1168" s="1" t="s">
        <v>5801</v>
      </c>
      <c r="B1168" s="1" t="s">
        <v>5809</v>
      </c>
      <c r="C1168" s="1" t="s">
        <v>5747</v>
      </c>
      <c r="D1168" s="48">
        <v>8</v>
      </c>
      <c r="E1168" s="1">
        <v>3</v>
      </c>
      <c r="F1168" s="1" t="s">
        <v>7747</v>
      </c>
      <c r="G1168" s="1" t="s">
        <v>5756</v>
      </c>
      <c r="I1168" s="1" t="s">
        <v>82</v>
      </c>
      <c r="K1168" s="3"/>
      <c r="L1168" s="4" t="s">
        <v>155</v>
      </c>
      <c r="M1168" s="20"/>
      <c r="T1168" s="67"/>
      <c r="V1168" s="4" t="s">
        <v>5757</v>
      </c>
      <c r="W1168" s="4" t="s">
        <v>5837</v>
      </c>
      <c r="AL1168" s="67" t="s">
        <v>30</v>
      </c>
      <c r="AN1168" s="5"/>
      <c r="AO1168" s="5"/>
      <c r="AP1168" s="5"/>
    </row>
    <row r="1169" spans="1:42" ht="84" x14ac:dyDescent="0.2">
      <c r="A1169" s="111" t="s">
        <v>5801</v>
      </c>
      <c r="B1169" s="111" t="s">
        <v>5810</v>
      </c>
      <c r="C1169" s="111" t="s">
        <v>5758</v>
      </c>
      <c r="D1169" s="112">
        <v>1</v>
      </c>
      <c r="E1169" s="111">
        <v>1</v>
      </c>
      <c r="F1169" s="111" t="s">
        <v>7748</v>
      </c>
      <c r="G1169" s="111" t="s">
        <v>2696</v>
      </c>
      <c r="I1169" s="1" t="s">
        <v>768</v>
      </c>
      <c r="K1169" s="3"/>
      <c r="L1169" s="4"/>
      <c r="M1169" s="20"/>
      <c r="N1169" s="54" t="s">
        <v>9529</v>
      </c>
      <c r="T1169" s="67"/>
      <c r="V1169" s="4" t="s">
        <v>769</v>
      </c>
      <c r="X1169" s="1" t="s">
        <v>1672</v>
      </c>
      <c r="Y1169" s="1" t="s">
        <v>2696</v>
      </c>
      <c r="AA1169" s="1" t="s">
        <v>768</v>
      </c>
      <c r="AF1169" s="54" t="s">
        <v>9530</v>
      </c>
      <c r="AL1169" s="67" t="s">
        <v>30</v>
      </c>
      <c r="AN1169" s="4" t="s">
        <v>5800</v>
      </c>
    </row>
    <row r="1170" spans="1:42" ht="48" x14ac:dyDescent="0.2">
      <c r="A1170" s="1" t="s">
        <v>5801</v>
      </c>
      <c r="B1170" s="1" t="s">
        <v>5811</v>
      </c>
      <c r="C1170" s="1" t="s">
        <v>5758</v>
      </c>
      <c r="D1170" s="48">
        <v>2</v>
      </c>
      <c r="E1170" s="1">
        <v>1</v>
      </c>
      <c r="F1170" s="1" t="s">
        <v>7748</v>
      </c>
      <c r="G1170" s="1" t="s">
        <v>5759</v>
      </c>
      <c r="H1170" s="1" t="s">
        <v>26</v>
      </c>
      <c r="I1170" s="1" t="s">
        <v>94</v>
      </c>
      <c r="K1170" s="3" t="s">
        <v>2558</v>
      </c>
      <c r="L1170" s="4"/>
      <c r="M1170" s="20"/>
      <c r="N1170" s="54">
        <v>20</v>
      </c>
      <c r="O1170" s="55">
        <v>3</v>
      </c>
      <c r="Q1170" s="57">
        <v>3</v>
      </c>
      <c r="R1170" s="58">
        <v>3</v>
      </c>
      <c r="S1170" s="59">
        <v>12</v>
      </c>
      <c r="T1170" s="67"/>
      <c r="U1170" s="1">
        <v>5</v>
      </c>
      <c r="V1170" s="4" t="s">
        <v>5831</v>
      </c>
      <c r="AL1170" s="67" t="s">
        <v>30</v>
      </c>
      <c r="AN1170" s="5"/>
      <c r="AO1170" s="5"/>
      <c r="AP1170" s="5"/>
    </row>
    <row r="1171" spans="1:42" ht="60" x14ac:dyDescent="0.2">
      <c r="A1171" s="1" t="s">
        <v>5801</v>
      </c>
      <c r="B1171" s="1" t="s">
        <v>5812</v>
      </c>
      <c r="C1171" s="1" t="s">
        <v>5758</v>
      </c>
      <c r="D1171" s="48">
        <v>3</v>
      </c>
      <c r="E1171" s="1">
        <v>1</v>
      </c>
      <c r="F1171" s="1" t="s">
        <v>7748</v>
      </c>
      <c r="G1171" s="1" t="s">
        <v>5760</v>
      </c>
      <c r="H1171" s="1" t="s">
        <v>26</v>
      </c>
      <c r="I1171" s="1" t="s">
        <v>104</v>
      </c>
      <c r="K1171" s="3" t="s">
        <v>1112</v>
      </c>
      <c r="L1171" s="4"/>
      <c r="M1171" s="20"/>
      <c r="O1171" s="55">
        <v>5</v>
      </c>
      <c r="T1171" s="67">
        <v>8</v>
      </c>
      <c r="U1171" s="1">
        <v>5</v>
      </c>
      <c r="V1171" s="4" t="s">
        <v>5761</v>
      </c>
      <c r="AL1171" s="67" t="s">
        <v>30</v>
      </c>
      <c r="AN1171" s="5"/>
      <c r="AO1171" s="5"/>
      <c r="AP1171" s="5"/>
    </row>
    <row r="1172" spans="1:42" ht="48" x14ac:dyDescent="0.2">
      <c r="A1172" s="1" t="s">
        <v>5801</v>
      </c>
      <c r="B1172" s="1" t="s">
        <v>5813</v>
      </c>
      <c r="C1172" s="1" t="s">
        <v>5758</v>
      </c>
      <c r="D1172" s="48">
        <v>4</v>
      </c>
      <c r="E1172" s="1">
        <v>2</v>
      </c>
      <c r="F1172" s="1" t="s">
        <v>7748</v>
      </c>
      <c r="G1172" s="1" t="s">
        <v>5762</v>
      </c>
      <c r="I1172" s="1" t="s">
        <v>94</v>
      </c>
      <c r="K1172" s="3" t="s">
        <v>2558</v>
      </c>
      <c r="L1172" s="4"/>
      <c r="M1172" s="20"/>
      <c r="N1172" s="54">
        <v>44</v>
      </c>
      <c r="O1172" s="55">
        <v>1</v>
      </c>
      <c r="Q1172" s="57">
        <v>4</v>
      </c>
      <c r="R1172" s="58">
        <v>4</v>
      </c>
      <c r="S1172" s="59">
        <v>6</v>
      </c>
      <c r="T1172" s="67"/>
      <c r="V1172" s="4" t="s">
        <v>5763</v>
      </c>
      <c r="AL1172" s="67" t="s">
        <v>30</v>
      </c>
      <c r="AN1172" s="5"/>
      <c r="AO1172" s="5"/>
      <c r="AP1172" s="5"/>
    </row>
    <row r="1173" spans="1:42" ht="24" x14ac:dyDescent="0.2">
      <c r="A1173" s="1" t="s">
        <v>5801</v>
      </c>
      <c r="B1173" s="1" t="s">
        <v>5814</v>
      </c>
      <c r="C1173" s="1" t="s">
        <v>5758</v>
      </c>
      <c r="D1173" s="48">
        <v>5</v>
      </c>
      <c r="E1173" s="1">
        <v>3</v>
      </c>
      <c r="F1173" s="1" t="s">
        <v>7748</v>
      </c>
      <c r="G1173" s="1" t="s">
        <v>5764</v>
      </c>
      <c r="I1173" s="1" t="s">
        <v>94</v>
      </c>
      <c r="K1173" s="3" t="s">
        <v>604</v>
      </c>
      <c r="L1173" s="4"/>
      <c r="M1173" s="20"/>
      <c r="N1173" s="54">
        <v>15</v>
      </c>
      <c r="O1173" s="55">
        <v>2</v>
      </c>
      <c r="Q1173" s="57">
        <v>4</v>
      </c>
      <c r="R1173" s="58">
        <v>2</v>
      </c>
      <c r="S1173" s="59">
        <v>3</v>
      </c>
      <c r="T1173" s="67"/>
      <c r="V1173" s="4" t="s">
        <v>5832</v>
      </c>
      <c r="W1173" s="4" t="s">
        <v>5765</v>
      </c>
      <c r="AL1173" s="67" t="s">
        <v>30</v>
      </c>
      <c r="AN1173" s="5"/>
      <c r="AO1173" s="5"/>
      <c r="AP1173" s="5"/>
    </row>
    <row r="1174" spans="1:42" x14ac:dyDescent="0.2">
      <c r="A1174" s="1" t="s">
        <v>5801</v>
      </c>
      <c r="B1174" s="1" t="s">
        <v>5815</v>
      </c>
      <c r="C1174" s="1" t="s">
        <v>5758</v>
      </c>
      <c r="D1174" s="48">
        <v>6</v>
      </c>
      <c r="E1174" s="1">
        <v>2</v>
      </c>
      <c r="F1174" s="1" t="s">
        <v>7748</v>
      </c>
      <c r="G1174" s="1" t="s">
        <v>5766</v>
      </c>
      <c r="I1174" s="1" t="s">
        <v>94</v>
      </c>
      <c r="K1174" s="3" t="s">
        <v>604</v>
      </c>
      <c r="L1174" s="4"/>
      <c r="M1174" s="20"/>
      <c r="N1174" s="54">
        <v>36</v>
      </c>
      <c r="O1174" s="55">
        <v>3</v>
      </c>
      <c r="Q1174" s="57">
        <v>2</v>
      </c>
      <c r="R1174" s="58">
        <v>1</v>
      </c>
      <c r="S1174" s="59">
        <v>4</v>
      </c>
      <c r="T1174" s="67"/>
      <c r="V1174" s="4" t="s">
        <v>5767</v>
      </c>
      <c r="W1174" s="4" t="s">
        <v>5768</v>
      </c>
      <c r="AL1174" s="67" t="s">
        <v>30</v>
      </c>
      <c r="AN1174" s="5"/>
      <c r="AO1174" s="5"/>
      <c r="AP1174" s="5"/>
    </row>
    <row r="1175" spans="1:42" ht="24" x14ac:dyDescent="0.2">
      <c r="A1175" s="1" t="s">
        <v>5801</v>
      </c>
      <c r="B1175" s="1" t="s">
        <v>5816</v>
      </c>
      <c r="C1175" s="1" t="s">
        <v>5758</v>
      </c>
      <c r="D1175" s="48">
        <v>7</v>
      </c>
      <c r="E1175" s="1">
        <v>3</v>
      </c>
      <c r="F1175" s="1" t="s">
        <v>7748</v>
      </c>
      <c r="G1175" s="1" t="s">
        <v>5769</v>
      </c>
      <c r="I1175" s="1" t="s">
        <v>104</v>
      </c>
      <c r="K1175" s="3" t="s">
        <v>1112</v>
      </c>
      <c r="L1175" s="4"/>
      <c r="M1175" s="20"/>
      <c r="O1175" s="55">
        <v>2</v>
      </c>
      <c r="T1175" s="67">
        <v>6</v>
      </c>
      <c r="V1175" s="4" t="s">
        <v>5770</v>
      </c>
      <c r="W1175" s="4" t="s">
        <v>5836</v>
      </c>
      <c r="AL1175" s="67" t="s">
        <v>30</v>
      </c>
      <c r="AN1175" s="5"/>
      <c r="AO1175" s="5"/>
      <c r="AP1175" s="5"/>
    </row>
    <row r="1176" spans="1:42" ht="36" x14ac:dyDescent="0.2">
      <c r="A1176" s="1" t="s">
        <v>5801</v>
      </c>
      <c r="B1176" s="1" t="s">
        <v>5817</v>
      </c>
      <c r="C1176" s="1" t="s">
        <v>5758</v>
      </c>
      <c r="D1176" s="48">
        <v>8</v>
      </c>
      <c r="E1176" s="1">
        <v>2</v>
      </c>
      <c r="F1176" s="1" t="s">
        <v>7748</v>
      </c>
      <c r="G1176" s="1" t="s">
        <v>5771</v>
      </c>
      <c r="I1176" s="1" t="s">
        <v>104</v>
      </c>
      <c r="K1176" s="3" t="s">
        <v>1112</v>
      </c>
      <c r="L1176" s="4"/>
      <c r="M1176" s="20"/>
      <c r="O1176" s="55">
        <v>4</v>
      </c>
      <c r="T1176" s="67">
        <v>4</v>
      </c>
      <c r="V1176" s="4" t="s">
        <v>7743</v>
      </c>
      <c r="AL1176" s="67" t="s">
        <v>30</v>
      </c>
      <c r="AN1176" s="5"/>
      <c r="AO1176" s="5"/>
      <c r="AP1176" s="5"/>
    </row>
    <row r="1177" spans="1:42" x14ac:dyDescent="0.2">
      <c r="A1177" s="1" t="s">
        <v>5801</v>
      </c>
      <c r="B1177" s="1" t="s">
        <v>5818</v>
      </c>
      <c r="C1177" s="1" t="s">
        <v>5758</v>
      </c>
      <c r="D1177" s="48">
        <v>9</v>
      </c>
      <c r="E1177" s="1">
        <v>3</v>
      </c>
      <c r="F1177" s="1" t="s">
        <v>7748</v>
      </c>
      <c r="G1177" s="1" t="s">
        <v>5772</v>
      </c>
      <c r="I1177" s="1" t="s">
        <v>82</v>
      </c>
      <c r="K1177" s="3"/>
      <c r="L1177" s="4" t="s">
        <v>5774</v>
      </c>
      <c r="M1177" s="20"/>
      <c r="T1177" s="67"/>
      <c r="V1177" s="4" t="s">
        <v>5773</v>
      </c>
      <c r="W1177" s="4" t="s">
        <v>5768</v>
      </c>
      <c r="AL1177" s="67" t="s">
        <v>30</v>
      </c>
      <c r="AN1177" s="5"/>
      <c r="AO1177" s="5"/>
      <c r="AP1177" s="5"/>
    </row>
    <row r="1178" spans="1:42" ht="48" x14ac:dyDescent="0.2">
      <c r="A1178" s="1" t="s">
        <v>5801</v>
      </c>
      <c r="B1178" s="1" t="s">
        <v>5819</v>
      </c>
      <c r="C1178" s="1" t="s">
        <v>5758</v>
      </c>
      <c r="D1178" s="48">
        <v>10</v>
      </c>
      <c r="E1178" s="1">
        <v>2</v>
      </c>
      <c r="F1178" s="1" t="s">
        <v>7748</v>
      </c>
      <c r="G1178" s="1" t="s">
        <v>5775</v>
      </c>
      <c r="I1178" s="1" t="s">
        <v>82</v>
      </c>
      <c r="K1178" s="3"/>
      <c r="L1178" s="4"/>
      <c r="M1178" s="20"/>
      <c r="T1178" s="67"/>
      <c r="V1178" s="4" t="s">
        <v>5776</v>
      </c>
      <c r="AL1178" s="67" t="s">
        <v>30</v>
      </c>
      <c r="AN1178" s="5"/>
      <c r="AO1178" s="5"/>
      <c r="AP1178" s="5"/>
    </row>
    <row r="1179" spans="1:42" ht="72" x14ac:dyDescent="0.2">
      <c r="A1179" s="111" t="s">
        <v>5801</v>
      </c>
      <c r="B1179" s="111" t="s">
        <v>5820</v>
      </c>
      <c r="C1179" s="111" t="s">
        <v>5777</v>
      </c>
      <c r="D1179" s="112">
        <v>1</v>
      </c>
      <c r="E1179" s="111">
        <v>1</v>
      </c>
      <c r="F1179" s="111" t="s">
        <v>7746</v>
      </c>
      <c r="G1179" s="111" t="s">
        <v>2665</v>
      </c>
      <c r="I1179" s="1" t="s">
        <v>768</v>
      </c>
      <c r="K1179" s="3"/>
      <c r="L1179" s="4"/>
      <c r="M1179" s="20"/>
      <c r="N1179" s="54" t="s">
        <v>9529</v>
      </c>
      <c r="T1179" s="67"/>
      <c r="V1179" s="4" t="s">
        <v>769</v>
      </c>
      <c r="Y1179" s="1" t="s">
        <v>2665</v>
      </c>
      <c r="AA1179" s="1" t="s">
        <v>768</v>
      </c>
      <c r="AF1179" s="54" t="s">
        <v>9530</v>
      </c>
      <c r="AL1179" s="67" t="s">
        <v>30</v>
      </c>
      <c r="AN1179" s="4" t="s">
        <v>7744</v>
      </c>
    </row>
    <row r="1180" spans="1:42" ht="72" x14ac:dyDescent="0.2">
      <c r="A1180" s="1" t="s">
        <v>5801</v>
      </c>
      <c r="B1180" s="1" t="s">
        <v>5821</v>
      </c>
      <c r="C1180" s="1" t="s">
        <v>5777</v>
      </c>
      <c r="D1180" s="48">
        <v>2</v>
      </c>
      <c r="E1180" s="1">
        <v>1</v>
      </c>
      <c r="F1180" s="1" t="s">
        <v>7746</v>
      </c>
      <c r="G1180" s="1" t="s">
        <v>9598</v>
      </c>
      <c r="I1180" s="1" t="s">
        <v>125</v>
      </c>
      <c r="K1180" s="3"/>
      <c r="L1180" s="4"/>
      <c r="M1180" s="20">
        <v>2</v>
      </c>
      <c r="N1180" s="54" t="s">
        <v>9529</v>
      </c>
      <c r="T1180" s="67"/>
      <c r="V1180" s="4" t="s">
        <v>2854</v>
      </c>
      <c r="Y1180" s="1" t="s">
        <v>737</v>
      </c>
      <c r="AA1180" s="1" t="s">
        <v>125</v>
      </c>
      <c r="AE1180" s="1">
        <v>2</v>
      </c>
      <c r="AF1180" s="54" t="s">
        <v>9530</v>
      </c>
      <c r="AL1180" s="67">
        <v>5</v>
      </c>
      <c r="AN1180" s="4" t="s">
        <v>5797</v>
      </c>
    </row>
    <row r="1181" spans="1:42" ht="108" x14ac:dyDescent="0.2">
      <c r="A1181" s="1" t="s">
        <v>5801</v>
      </c>
      <c r="B1181" s="1" t="s">
        <v>5822</v>
      </c>
      <c r="C1181" s="1" t="s">
        <v>5777</v>
      </c>
      <c r="D1181" s="48">
        <v>3</v>
      </c>
      <c r="E1181" s="1">
        <v>1</v>
      </c>
      <c r="F1181" s="1" t="s">
        <v>7746</v>
      </c>
      <c r="G1181" s="1" t="s">
        <v>9598</v>
      </c>
      <c r="I1181" s="1" t="s">
        <v>125</v>
      </c>
      <c r="K1181" s="3"/>
      <c r="L1181" s="4"/>
      <c r="M1181" s="20">
        <v>2</v>
      </c>
      <c r="N1181" s="54" t="s">
        <v>9529</v>
      </c>
      <c r="T1181" s="67"/>
      <c r="V1181" s="4" t="s">
        <v>2854</v>
      </c>
      <c r="Y1181" s="1" t="s">
        <v>9652</v>
      </c>
      <c r="AA1181" s="1" t="s">
        <v>125</v>
      </c>
      <c r="AE1181" s="1">
        <v>2</v>
      </c>
      <c r="AF1181" s="54" t="s">
        <v>9530</v>
      </c>
      <c r="AL1181" s="67" t="s">
        <v>799</v>
      </c>
      <c r="AN1181" s="4" t="s">
        <v>5798</v>
      </c>
    </row>
    <row r="1182" spans="1:42" ht="24" x14ac:dyDescent="0.2">
      <c r="A1182" s="1" t="s">
        <v>5801</v>
      </c>
      <c r="B1182" s="1" t="s">
        <v>5823</v>
      </c>
      <c r="C1182" s="1" t="s">
        <v>5777</v>
      </c>
      <c r="D1182" s="48">
        <v>4</v>
      </c>
      <c r="E1182" s="1">
        <v>1</v>
      </c>
      <c r="F1182" s="1" t="s">
        <v>7746</v>
      </c>
      <c r="G1182" s="1" t="s">
        <v>9598</v>
      </c>
      <c r="I1182" s="1" t="s">
        <v>125</v>
      </c>
      <c r="K1182" s="3"/>
      <c r="L1182" s="4"/>
      <c r="M1182" s="20">
        <v>2</v>
      </c>
      <c r="N1182" s="54" t="s">
        <v>9529</v>
      </c>
      <c r="T1182" s="67"/>
      <c r="V1182" s="4" t="s">
        <v>2854</v>
      </c>
      <c r="Y1182" s="1" t="s">
        <v>9653</v>
      </c>
      <c r="AA1182" s="1" t="s">
        <v>125</v>
      </c>
      <c r="AE1182" s="1">
        <v>2</v>
      </c>
      <c r="AF1182" s="54" t="s">
        <v>9530</v>
      </c>
      <c r="AL1182" s="67">
        <v>1</v>
      </c>
      <c r="AN1182" s="4" t="s">
        <v>7745</v>
      </c>
    </row>
    <row r="1183" spans="1:42" ht="36" x14ac:dyDescent="0.2">
      <c r="A1183" s="1" t="s">
        <v>5801</v>
      </c>
      <c r="B1183" s="1" t="s">
        <v>5824</v>
      </c>
      <c r="C1183" s="1" t="s">
        <v>5777</v>
      </c>
      <c r="D1183" s="48">
        <v>5</v>
      </c>
      <c r="E1183" s="1">
        <v>3</v>
      </c>
      <c r="F1183" s="1" t="s">
        <v>7746</v>
      </c>
      <c r="G1183" s="1" t="s">
        <v>5778</v>
      </c>
      <c r="I1183" s="1" t="s">
        <v>94</v>
      </c>
      <c r="K1183" s="3" t="s">
        <v>604</v>
      </c>
      <c r="L1183" s="4" t="s">
        <v>155</v>
      </c>
      <c r="M1183" s="20"/>
      <c r="N1183" s="54">
        <v>10</v>
      </c>
      <c r="O1183" s="55">
        <v>1</v>
      </c>
      <c r="Q1183" s="57">
        <v>3</v>
      </c>
      <c r="R1183" s="58">
        <v>1</v>
      </c>
      <c r="S1183" s="59">
        <v>6</v>
      </c>
      <c r="T1183" s="67"/>
      <c r="V1183" s="4" t="s">
        <v>5779</v>
      </c>
      <c r="AL1183" s="67" t="s">
        <v>30</v>
      </c>
      <c r="AN1183" s="5"/>
      <c r="AO1183" s="5"/>
      <c r="AP1183" s="5"/>
    </row>
    <row r="1184" spans="1:42" ht="24" x14ac:dyDescent="0.2">
      <c r="A1184" s="1" t="s">
        <v>5801</v>
      </c>
      <c r="B1184" s="1" t="s">
        <v>5825</v>
      </c>
      <c r="C1184" s="1" t="s">
        <v>5777</v>
      </c>
      <c r="D1184" s="48">
        <v>6</v>
      </c>
      <c r="E1184" s="1">
        <v>3</v>
      </c>
      <c r="F1184" s="1" t="s">
        <v>7746</v>
      </c>
      <c r="G1184" s="1" t="s">
        <v>5780</v>
      </c>
      <c r="I1184" s="1" t="s">
        <v>94</v>
      </c>
      <c r="K1184" s="1" t="s">
        <v>944</v>
      </c>
      <c r="N1184" s="54">
        <v>34</v>
      </c>
      <c r="O1184" s="55" t="s">
        <v>113</v>
      </c>
      <c r="Q1184" s="57" t="s">
        <v>113</v>
      </c>
      <c r="R1184" s="58">
        <v>3</v>
      </c>
      <c r="S1184" s="59">
        <v>5</v>
      </c>
      <c r="V1184" s="4" t="s">
        <v>5781</v>
      </c>
      <c r="W1184" s="4" t="s">
        <v>5835</v>
      </c>
      <c r="AL1184" s="60" t="s">
        <v>30</v>
      </c>
    </row>
    <row r="1185" spans="1:48" ht="36" x14ac:dyDescent="0.2">
      <c r="A1185" s="1" t="s">
        <v>5801</v>
      </c>
      <c r="B1185" s="1" t="s">
        <v>5826</v>
      </c>
      <c r="C1185" s="1" t="s">
        <v>5777</v>
      </c>
      <c r="D1185" s="48">
        <v>7</v>
      </c>
      <c r="E1185" s="1">
        <v>4</v>
      </c>
      <c r="F1185" s="1" t="s">
        <v>7746</v>
      </c>
      <c r="G1185" s="1" t="s">
        <v>5782</v>
      </c>
      <c r="I1185" s="1" t="s">
        <v>104</v>
      </c>
      <c r="K1185" s="1" t="s">
        <v>1592</v>
      </c>
      <c r="O1185" s="55">
        <v>4</v>
      </c>
      <c r="T1185" s="60">
        <v>6</v>
      </c>
      <c r="V1185" s="4" t="s">
        <v>5783</v>
      </c>
      <c r="W1185" s="4" t="s">
        <v>5784</v>
      </c>
      <c r="AL1185" s="60" t="s">
        <v>30</v>
      </c>
    </row>
    <row r="1186" spans="1:48" ht="36" x14ac:dyDescent="0.2">
      <c r="A1186" s="1" t="s">
        <v>5801</v>
      </c>
      <c r="B1186" s="1" t="s">
        <v>5827</v>
      </c>
      <c r="C1186" s="1" t="s">
        <v>5777</v>
      </c>
      <c r="D1186" s="48">
        <v>8</v>
      </c>
      <c r="E1186" s="1">
        <v>3</v>
      </c>
      <c r="F1186" s="1" t="s">
        <v>7746</v>
      </c>
      <c r="G1186" s="1" t="s">
        <v>5785</v>
      </c>
      <c r="I1186" s="1" t="s">
        <v>82</v>
      </c>
      <c r="V1186" s="4" t="s">
        <v>5833</v>
      </c>
      <c r="W1186" s="4" t="s">
        <v>5834</v>
      </c>
      <c r="AL1186" s="60" t="s">
        <v>30</v>
      </c>
    </row>
    <row r="1187" spans="1:48" ht="24" x14ac:dyDescent="0.2">
      <c r="A1187" s="1" t="s">
        <v>5801</v>
      </c>
      <c r="B1187" s="1" t="s">
        <v>5828</v>
      </c>
      <c r="C1187" s="1" t="s">
        <v>5777</v>
      </c>
      <c r="D1187" s="48">
        <v>9</v>
      </c>
      <c r="E1187" s="1">
        <v>3</v>
      </c>
      <c r="F1187" s="1" t="s">
        <v>7746</v>
      </c>
      <c r="G1187" s="1" t="s">
        <v>5787</v>
      </c>
      <c r="I1187" s="1" t="s">
        <v>82</v>
      </c>
      <c r="L1187" s="2" t="s">
        <v>5774</v>
      </c>
      <c r="V1187" s="4" t="s">
        <v>5789</v>
      </c>
      <c r="W1187" s="4" t="s">
        <v>5791</v>
      </c>
      <c r="AL1187" s="60" t="s">
        <v>30</v>
      </c>
    </row>
    <row r="1188" spans="1:48" ht="96" x14ac:dyDescent="0.2">
      <c r="A1188" s="119" t="s">
        <v>10413</v>
      </c>
      <c r="B1188" s="119" t="s">
        <v>10415</v>
      </c>
      <c r="C1188" s="119" t="s">
        <v>5738</v>
      </c>
      <c r="D1188" s="119">
        <v>1</v>
      </c>
      <c r="E1188" s="119">
        <v>1</v>
      </c>
      <c r="F1188" s="119" t="s">
        <v>10500</v>
      </c>
      <c r="G1188" s="119" t="s">
        <v>4958</v>
      </c>
      <c r="I1188" s="1" t="s">
        <v>768</v>
      </c>
      <c r="K1188" s="4"/>
      <c r="L1188" s="4"/>
      <c r="N1188" s="54" t="s">
        <v>9529</v>
      </c>
      <c r="V1188" s="4" t="s">
        <v>769</v>
      </c>
      <c r="X1188" s="1" t="s">
        <v>279</v>
      </c>
      <c r="Y1188" s="1" t="s">
        <v>4958</v>
      </c>
      <c r="AA1188" s="1" t="s">
        <v>768</v>
      </c>
      <c r="AF1188" s="54"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4">
        <v>20</v>
      </c>
      <c r="O1189" s="55">
        <v>2</v>
      </c>
      <c r="Q1189" s="57">
        <v>3</v>
      </c>
      <c r="R1189" s="58">
        <v>2</v>
      </c>
      <c r="S1189" s="59">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4">
        <v>28</v>
      </c>
      <c r="O1190" s="55">
        <v>2</v>
      </c>
      <c r="Q1190" s="57">
        <v>3</v>
      </c>
      <c r="R1190" s="58">
        <v>3</v>
      </c>
      <c r="S1190" s="59">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4">
        <v>42</v>
      </c>
      <c r="O1191" s="55">
        <v>4</v>
      </c>
      <c r="Q1191" s="57">
        <v>6</v>
      </c>
      <c r="R1191" s="58">
        <v>4</v>
      </c>
      <c r="S1191" s="59">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5" t="s">
        <v>113</v>
      </c>
      <c r="T1192" s="60">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5">
        <v>3</v>
      </c>
      <c r="T1193" s="60">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1" t="s">
        <v>10413</v>
      </c>
      <c r="B1196" s="111" t="s">
        <v>10440</v>
      </c>
      <c r="C1196" s="111" t="s">
        <v>5743</v>
      </c>
      <c r="D1196" s="111">
        <v>1</v>
      </c>
      <c r="E1196" s="111">
        <v>1</v>
      </c>
      <c r="F1196" s="111" t="s">
        <v>10441</v>
      </c>
      <c r="G1196" s="111" t="s">
        <v>2997</v>
      </c>
      <c r="I1196" s="1" t="s">
        <v>768</v>
      </c>
      <c r="K1196" s="4"/>
      <c r="L1196" s="4"/>
      <c r="N1196" s="54" t="s">
        <v>9529</v>
      </c>
      <c r="V1196" s="4" t="s">
        <v>769</v>
      </c>
      <c r="X1196" s="1" t="s">
        <v>1681</v>
      </c>
      <c r="Y1196" s="1" t="s">
        <v>2997</v>
      </c>
      <c r="AA1196" s="1" t="s">
        <v>768</v>
      </c>
      <c r="AF1196" s="54"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4" t="s">
        <v>9529</v>
      </c>
      <c r="V1197" s="4" t="s">
        <v>10444</v>
      </c>
      <c r="Y1197" s="1" t="s">
        <v>10443</v>
      </c>
      <c r="AA1197" s="1" t="s">
        <v>125</v>
      </c>
      <c r="AE1197" s="1">
        <v>2</v>
      </c>
      <c r="AF1197" s="54" t="s">
        <v>9530</v>
      </c>
      <c r="AL1197" s="60">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4">
        <v>5</v>
      </c>
      <c r="O1198" s="55">
        <v>3</v>
      </c>
      <c r="Q1198" s="57">
        <v>5</v>
      </c>
      <c r="R1198" s="58">
        <v>3</v>
      </c>
      <c r="S1198" s="59">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4">
        <v>30</v>
      </c>
      <c r="O1199" s="55">
        <v>3</v>
      </c>
      <c r="Q1199" s="57">
        <v>3</v>
      </c>
      <c r="R1199" s="58">
        <v>2</v>
      </c>
      <c r="S1199" s="59">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4">
        <v>34</v>
      </c>
      <c r="O1200" s="55">
        <v>2</v>
      </c>
      <c r="Q1200" s="57">
        <v>5</v>
      </c>
      <c r="R1200" s="58">
        <v>1</v>
      </c>
      <c r="S1200" s="59">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4">
        <v>16</v>
      </c>
      <c r="O1201" s="55">
        <v>1</v>
      </c>
      <c r="Q1201" s="57">
        <v>3</v>
      </c>
      <c r="R1201" s="58">
        <v>2</v>
      </c>
      <c r="S1201" s="59">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5">
        <v>1</v>
      </c>
      <c r="T1202" s="60">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5">
        <v>4</v>
      </c>
      <c r="T1203" s="60">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1" t="s">
        <v>10413</v>
      </c>
      <c r="B1205" s="111" t="s">
        <v>10471</v>
      </c>
      <c r="C1205" s="111" t="s">
        <v>5744</v>
      </c>
      <c r="D1205" s="111">
        <v>1</v>
      </c>
      <c r="E1205" s="111">
        <v>1</v>
      </c>
      <c r="F1205" s="111" t="s">
        <v>10472</v>
      </c>
      <c r="G1205" s="111" t="s">
        <v>5248</v>
      </c>
      <c r="I1205" s="1" t="s">
        <v>768</v>
      </c>
      <c r="K1205" s="4"/>
      <c r="L1205" s="4"/>
      <c r="N1205" s="54" t="s">
        <v>9529</v>
      </c>
      <c r="V1205" s="4" t="s">
        <v>10608</v>
      </c>
      <c r="X1205" s="1" t="s">
        <v>1672</v>
      </c>
      <c r="Y1205" s="1" t="s">
        <v>5248</v>
      </c>
      <c r="AA1205" s="1" t="s">
        <v>768</v>
      </c>
      <c r="AF1205" s="54"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4">
        <v>50</v>
      </c>
      <c r="O1206" s="55">
        <v>4</v>
      </c>
      <c r="Q1206" s="57">
        <v>7</v>
      </c>
      <c r="R1206" s="58">
        <v>7</v>
      </c>
      <c r="S1206" s="59">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4">
        <v>46</v>
      </c>
      <c r="O1207" s="55">
        <v>4</v>
      </c>
      <c r="Q1207" s="57">
        <v>4</v>
      </c>
      <c r="R1207" s="58">
        <v>0</v>
      </c>
      <c r="S1207" s="59">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4">
        <v>10</v>
      </c>
      <c r="O1208" s="55">
        <v>2</v>
      </c>
      <c r="Q1208" s="57">
        <v>5</v>
      </c>
      <c r="R1208" s="58">
        <v>1</v>
      </c>
      <c r="S1208" s="59">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5">
        <v>3</v>
      </c>
      <c r="T1209" s="60">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5">
        <v>3</v>
      </c>
      <c r="T1210" s="60">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1" t="s">
        <v>10413</v>
      </c>
      <c r="B1213" s="111" t="s">
        <v>10654</v>
      </c>
      <c r="C1213" s="111" t="s">
        <v>10497</v>
      </c>
      <c r="D1213" s="111">
        <v>1</v>
      </c>
      <c r="E1213" s="111">
        <v>1</v>
      </c>
      <c r="F1213" s="111" t="s">
        <v>10584</v>
      </c>
      <c r="G1213" s="111" t="s">
        <v>4701</v>
      </c>
      <c r="I1213" s="1" t="s">
        <v>768</v>
      </c>
      <c r="K1213" s="4"/>
      <c r="L1213" s="4"/>
      <c r="N1213" s="54" t="s">
        <v>9529</v>
      </c>
      <c r="V1213" s="4" t="s">
        <v>10607</v>
      </c>
      <c r="X1213" s="1" t="s">
        <v>1681</v>
      </c>
      <c r="Y1213" s="1" t="s">
        <v>4701</v>
      </c>
      <c r="AA1213" s="1" t="s">
        <v>768</v>
      </c>
      <c r="AF1213" s="54"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4">
        <v>28</v>
      </c>
      <c r="O1214" s="55">
        <v>3</v>
      </c>
      <c r="Q1214" s="57">
        <v>2</v>
      </c>
      <c r="R1214" s="58">
        <v>2</v>
      </c>
      <c r="S1214" s="59">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4">
        <v>42</v>
      </c>
      <c r="O1215" s="55">
        <v>4</v>
      </c>
      <c r="Q1215" s="57">
        <v>5</v>
      </c>
      <c r="R1215" s="58">
        <v>3</v>
      </c>
      <c r="S1215" s="59">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4">
        <v>12</v>
      </c>
      <c r="O1216" s="55">
        <v>2</v>
      </c>
      <c r="Q1216" s="57">
        <v>4</v>
      </c>
      <c r="R1216" s="58">
        <v>2</v>
      </c>
      <c r="S1216" s="59">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5">
        <v>5</v>
      </c>
      <c r="T1217" s="60">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5">
        <v>3</v>
      </c>
      <c r="T1218" s="60">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1" t="s">
        <v>10413</v>
      </c>
      <c r="B1221" s="111" t="s">
        <v>10662</v>
      </c>
      <c r="C1221" s="111" t="s">
        <v>10498</v>
      </c>
      <c r="D1221" s="111">
        <v>1</v>
      </c>
      <c r="E1221" s="111">
        <v>1</v>
      </c>
      <c r="F1221" s="111" t="s">
        <v>10609</v>
      </c>
      <c r="G1221" s="111" t="s">
        <v>2309</v>
      </c>
      <c r="I1221" s="1" t="s">
        <v>768</v>
      </c>
      <c r="K1221" s="4"/>
      <c r="L1221" s="4"/>
      <c r="N1221" s="54" t="s">
        <v>9529</v>
      </c>
      <c r="V1221" s="4" t="s">
        <v>10607</v>
      </c>
      <c r="X1221" s="1" t="s">
        <v>1681</v>
      </c>
      <c r="Y1221" s="1" t="s">
        <v>2309</v>
      </c>
      <c r="AA1221" s="1" t="s">
        <v>768</v>
      </c>
      <c r="AF1221" s="54" t="s">
        <v>9530</v>
      </c>
      <c r="AN1221" s="4" t="s">
        <v>10610</v>
      </c>
      <c r="AP1221" s="1"/>
      <c r="AU1221" s="1" t="s">
        <v>6250</v>
      </c>
    </row>
    <row r="1222" spans="1:47" ht="48" x14ac:dyDescent="0.2">
      <c r="A1222" s="1" t="s">
        <v>10413</v>
      </c>
      <c r="B1222" s="50" t="s">
        <v>10663</v>
      </c>
      <c r="C1222" s="1" t="s">
        <v>10498</v>
      </c>
      <c r="D1222" s="1">
        <v>2</v>
      </c>
      <c r="E1222" s="1">
        <v>3</v>
      </c>
      <c r="F1222" s="1" t="s">
        <v>10609</v>
      </c>
      <c r="G1222" s="1" t="s">
        <v>10611</v>
      </c>
      <c r="I1222" s="1" t="s">
        <v>94</v>
      </c>
      <c r="K1222" s="4" t="s">
        <v>604</v>
      </c>
      <c r="L1222" s="4"/>
      <c r="N1222" s="54">
        <v>18</v>
      </c>
      <c r="O1222" s="55">
        <v>2</v>
      </c>
      <c r="Q1222" s="57">
        <v>2</v>
      </c>
      <c r="R1222" s="58">
        <v>2</v>
      </c>
      <c r="S1222" s="59">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4">
        <v>28</v>
      </c>
      <c r="O1223" s="55">
        <v>3</v>
      </c>
      <c r="Q1223" s="57">
        <v>3</v>
      </c>
      <c r="R1223" s="58">
        <v>5</v>
      </c>
      <c r="S1223" s="59">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4">
        <v>15</v>
      </c>
      <c r="O1224" s="55">
        <v>5</v>
      </c>
      <c r="Q1224" s="57" t="s">
        <v>113</v>
      </c>
      <c r="R1224" s="58">
        <v>5</v>
      </c>
      <c r="S1224" s="59"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4">
        <v>45</v>
      </c>
      <c r="O1225" s="55">
        <v>6</v>
      </c>
      <c r="Q1225" s="57" t="s">
        <v>113</v>
      </c>
      <c r="R1225" s="58">
        <v>6</v>
      </c>
      <c r="S1225" s="59"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5">
        <v>4</v>
      </c>
      <c r="T1226" s="60">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5">
        <v>3</v>
      </c>
      <c r="T1227" s="60">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1" t="s">
        <v>10413</v>
      </c>
      <c r="B1229" s="111" t="s">
        <v>10670</v>
      </c>
      <c r="C1229" s="111" t="s">
        <v>10499</v>
      </c>
      <c r="D1229" s="111">
        <v>1</v>
      </c>
      <c r="E1229" s="111">
        <v>1</v>
      </c>
      <c r="F1229" s="111" t="s">
        <v>10624</v>
      </c>
      <c r="G1229" s="111" t="s">
        <v>3077</v>
      </c>
      <c r="I1229" s="1" t="s">
        <v>768</v>
      </c>
      <c r="K1229" s="4"/>
      <c r="L1229" s="4"/>
      <c r="N1229" s="54" t="s">
        <v>9529</v>
      </c>
      <c r="V1229" s="4" t="s">
        <v>10607</v>
      </c>
      <c r="X1229" s="1" t="s">
        <v>3129</v>
      </c>
      <c r="Y1229" s="1" t="s">
        <v>3077</v>
      </c>
      <c r="AA1229" s="1" t="s">
        <v>768</v>
      </c>
      <c r="AF1229" s="54"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4">
        <v>12</v>
      </c>
      <c r="O1235" s="55">
        <v>3</v>
      </c>
      <c r="Q1235" s="57">
        <v>3</v>
      </c>
      <c r="R1235" s="58">
        <v>2</v>
      </c>
      <c r="S1235" s="59">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4">
        <v>42</v>
      </c>
      <c r="O1236" s="55">
        <v>4</v>
      </c>
      <c r="Q1236" s="57">
        <v>4</v>
      </c>
      <c r="R1236" s="58">
        <v>3</v>
      </c>
      <c r="S1236" s="59">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5">
        <v>5</v>
      </c>
      <c r="T1237" s="60">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5">
        <v>2</v>
      </c>
      <c r="T1238" s="60">
        <v>7</v>
      </c>
      <c r="V1238" s="4" t="s">
        <v>10647</v>
      </c>
      <c r="W1238" s="4" t="s">
        <v>10648</v>
      </c>
      <c r="AP1238" s="1"/>
    </row>
    <row r="1239" spans="1:48" ht="36" x14ac:dyDescent="0.2">
      <c r="A1239" s="119" t="s">
        <v>4566</v>
      </c>
      <c r="B1239" s="119" t="s">
        <v>4576</v>
      </c>
      <c r="C1239" s="119" t="s">
        <v>10651</v>
      </c>
      <c r="D1239" s="120">
        <v>1</v>
      </c>
      <c r="E1239" s="119">
        <v>1</v>
      </c>
      <c r="F1239" s="119" t="s">
        <v>4570</v>
      </c>
      <c r="G1239" s="119" t="s">
        <v>4298</v>
      </c>
      <c r="I1239" s="1" t="s">
        <v>768</v>
      </c>
      <c r="N1239" s="54" t="s">
        <v>9529</v>
      </c>
      <c r="V1239" s="4" t="s">
        <v>769</v>
      </c>
      <c r="X1239" s="1" t="s">
        <v>4334</v>
      </c>
      <c r="Y1239" s="1" t="s">
        <v>4298</v>
      </c>
      <c r="AA1239" s="1" t="s">
        <v>768</v>
      </c>
      <c r="AF1239" s="54" t="s">
        <v>9530</v>
      </c>
      <c r="AL1239" s="60" t="s">
        <v>30</v>
      </c>
      <c r="AN1239" s="4" t="s">
        <v>5568</v>
      </c>
    </row>
    <row r="1240" spans="1:48" ht="60" x14ac:dyDescent="0.2">
      <c r="A1240" s="1" t="s">
        <v>4566</v>
      </c>
      <c r="B1240" s="1" t="s">
        <v>4584</v>
      </c>
      <c r="C1240" s="1" t="s">
        <v>10651</v>
      </c>
      <c r="D1240" s="48">
        <v>2</v>
      </c>
      <c r="E1240" s="1">
        <v>3</v>
      </c>
      <c r="F1240" s="1" t="s">
        <v>4570</v>
      </c>
      <c r="G1240" s="1" t="s">
        <v>4585</v>
      </c>
      <c r="I1240" s="1" t="s">
        <v>94</v>
      </c>
      <c r="K1240" s="1" t="s">
        <v>95</v>
      </c>
      <c r="N1240" s="54">
        <v>50</v>
      </c>
      <c r="O1240" s="55">
        <v>4</v>
      </c>
      <c r="Q1240" s="57">
        <v>4</v>
      </c>
      <c r="R1240" s="58">
        <v>1</v>
      </c>
      <c r="S1240" s="59">
        <v>3</v>
      </c>
      <c r="V1240" s="4" t="s">
        <v>5573</v>
      </c>
      <c r="AL1240" s="60" t="s">
        <v>30</v>
      </c>
    </row>
    <row r="1241" spans="1:48" ht="36" x14ac:dyDescent="0.2">
      <c r="A1241" s="1" t="s">
        <v>4566</v>
      </c>
      <c r="B1241" s="1" t="s">
        <v>4567</v>
      </c>
      <c r="C1241" s="1" t="s">
        <v>10651</v>
      </c>
      <c r="D1241" s="48">
        <v>3</v>
      </c>
      <c r="E1241" s="1">
        <v>3</v>
      </c>
      <c r="F1241" s="1" t="s">
        <v>4570</v>
      </c>
      <c r="G1241" s="1" t="s">
        <v>4568</v>
      </c>
      <c r="I1241" s="1" t="s">
        <v>104</v>
      </c>
      <c r="K1241" s="1" t="s">
        <v>4569</v>
      </c>
      <c r="O1241" s="55">
        <v>2</v>
      </c>
      <c r="T1241" s="60">
        <v>5</v>
      </c>
      <c r="V1241" s="4" t="s">
        <v>5564</v>
      </c>
      <c r="AL1241" s="60" t="s">
        <v>30</v>
      </c>
    </row>
    <row r="1242" spans="1:48" ht="36" x14ac:dyDescent="0.2">
      <c r="A1242" s="1" t="s">
        <v>4566</v>
      </c>
      <c r="B1242" s="1" t="s">
        <v>4606</v>
      </c>
      <c r="C1242" s="1" t="s">
        <v>10651</v>
      </c>
      <c r="D1242" s="48">
        <v>4</v>
      </c>
      <c r="E1242" s="1">
        <v>3</v>
      </c>
      <c r="F1242" s="1" t="s">
        <v>4570</v>
      </c>
      <c r="G1242" s="1" t="s">
        <v>4607</v>
      </c>
      <c r="I1242" s="1" t="s">
        <v>104</v>
      </c>
      <c r="K1242" s="1" t="s">
        <v>4608</v>
      </c>
      <c r="O1242" s="55">
        <v>3</v>
      </c>
      <c r="T1242" s="60">
        <v>5</v>
      </c>
      <c r="V1242" s="4" t="s">
        <v>5588</v>
      </c>
      <c r="W1242" s="4" t="s">
        <v>5589</v>
      </c>
      <c r="AL1242" s="60" t="s">
        <v>30</v>
      </c>
    </row>
    <row r="1243" spans="1:48" ht="72" x14ac:dyDescent="0.2">
      <c r="A1243" s="1" t="s">
        <v>4566</v>
      </c>
      <c r="B1243" s="1" t="s">
        <v>4609</v>
      </c>
      <c r="C1243" s="1" t="s">
        <v>10651</v>
      </c>
      <c r="D1243" s="48">
        <v>5</v>
      </c>
      <c r="E1243" s="1">
        <v>3</v>
      </c>
      <c r="F1243" s="1" t="s">
        <v>4570</v>
      </c>
      <c r="G1243" s="1" t="s">
        <v>4610</v>
      </c>
      <c r="I1243" s="1" t="s">
        <v>104</v>
      </c>
      <c r="K1243" s="1" t="s">
        <v>4611</v>
      </c>
      <c r="O1243" s="55">
        <v>5</v>
      </c>
      <c r="T1243" s="60" t="s">
        <v>799</v>
      </c>
      <c r="V1243" s="4" t="s">
        <v>5590</v>
      </c>
      <c r="AL1243" s="60" t="s">
        <v>30</v>
      </c>
    </row>
    <row r="1244" spans="1:48" ht="24" x14ac:dyDescent="0.2">
      <c r="A1244" s="1" t="s">
        <v>4566</v>
      </c>
      <c r="B1244" s="1" t="s">
        <v>4599</v>
      </c>
      <c r="C1244" s="1" t="s">
        <v>10651</v>
      </c>
      <c r="D1244" s="48">
        <v>6</v>
      </c>
      <c r="E1244" s="1">
        <v>3</v>
      </c>
      <c r="F1244" s="1" t="s">
        <v>4570</v>
      </c>
      <c r="G1244" s="1" t="s">
        <v>4600</v>
      </c>
      <c r="I1244" s="1" t="s">
        <v>82</v>
      </c>
      <c r="V1244" s="4" t="s">
        <v>5583</v>
      </c>
      <c r="W1244" s="4" t="s">
        <v>5584</v>
      </c>
      <c r="AL1244" s="60" t="s">
        <v>30</v>
      </c>
    </row>
    <row r="1245" spans="1:48" ht="72" x14ac:dyDescent="0.2">
      <c r="A1245" s="1" t="s">
        <v>4566</v>
      </c>
      <c r="B1245" s="1" t="s">
        <v>4577</v>
      </c>
      <c r="C1245" s="1" t="s">
        <v>10651</v>
      </c>
      <c r="D1245" s="48">
        <v>7</v>
      </c>
      <c r="E1245" s="1">
        <v>2</v>
      </c>
      <c r="F1245" s="1" t="s">
        <v>4570</v>
      </c>
      <c r="G1245" s="1" t="s">
        <v>4578</v>
      </c>
      <c r="I1245" s="1" t="s">
        <v>82</v>
      </c>
      <c r="V1245" s="4" t="s">
        <v>5569</v>
      </c>
      <c r="AL1245" s="60" t="s">
        <v>30</v>
      </c>
    </row>
    <row r="1246" spans="1:48" ht="36" x14ac:dyDescent="0.2">
      <c r="A1246" s="1" t="s">
        <v>4566</v>
      </c>
      <c r="B1246" s="1" t="s">
        <v>4588</v>
      </c>
      <c r="C1246" s="1" t="s">
        <v>10651</v>
      </c>
      <c r="D1246" s="48">
        <v>8</v>
      </c>
      <c r="E1246" s="1">
        <v>2</v>
      </c>
      <c r="F1246" s="1" t="s">
        <v>4570</v>
      </c>
      <c r="G1246" s="1" t="s">
        <v>4589</v>
      </c>
      <c r="I1246" s="1" t="s">
        <v>82</v>
      </c>
      <c r="V1246" s="4" t="s">
        <v>5575</v>
      </c>
      <c r="AL1246" s="60" t="s">
        <v>30</v>
      </c>
    </row>
    <row r="1247" spans="1:48" ht="60" x14ac:dyDescent="0.2">
      <c r="A1247" s="111" t="s">
        <v>4566</v>
      </c>
      <c r="B1247" s="111" t="s">
        <v>4605</v>
      </c>
      <c r="C1247" s="111" t="s">
        <v>10652</v>
      </c>
      <c r="D1247" s="112">
        <v>1</v>
      </c>
      <c r="E1247" s="111">
        <v>1</v>
      </c>
      <c r="F1247" s="111" t="s">
        <v>4581</v>
      </c>
      <c r="G1247" s="111" t="s">
        <v>4310</v>
      </c>
      <c r="I1247" s="1" t="s">
        <v>768</v>
      </c>
      <c r="N1247" s="54" t="s">
        <v>9529</v>
      </c>
      <c r="V1247" s="4" t="s">
        <v>769</v>
      </c>
      <c r="X1247" s="1" t="s">
        <v>1629</v>
      </c>
      <c r="Y1247" s="1" t="s">
        <v>4310</v>
      </c>
      <c r="AA1247" s="1" t="s">
        <v>768</v>
      </c>
      <c r="AF1247" s="54" t="s">
        <v>9530</v>
      </c>
      <c r="AL1247" s="60" t="s">
        <v>30</v>
      </c>
      <c r="AN1247" s="4" t="s">
        <v>5587</v>
      </c>
    </row>
    <row r="1248" spans="1:48" ht="24" x14ac:dyDescent="0.2">
      <c r="A1248" s="1" t="s">
        <v>4566</v>
      </c>
      <c r="B1248" s="1" t="s">
        <v>4579</v>
      </c>
      <c r="C1248" s="1" t="s">
        <v>10652</v>
      </c>
      <c r="D1248" s="48">
        <v>2</v>
      </c>
      <c r="E1248" s="1">
        <v>3</v>
      </c>
      <c r="F1248" s="1" t="s">
        <v>4581</v>
      </c>
      <c r="G1248" s="1" t="s">
        <v>4580</v>
      </c>
      <c r="I1248" s="1" t="s">
        <v>104</v>
      </c>
      <c r="K1248" s="1" t="s">
        <v>1178</v>
      </c>
      <c r="O1248" s="55">
        <v>4</v>
      </c>
      <c r="T1248" s="60">
        <v>3</v>
      </c>
      <c r="V1248" s="4" t="s">
        <v>5570</v>
      </c>
      <c r="W1248" s="4" t="s">
        <v>5571</v>
      </c>
      <c r="AL1248" s="60" t="s">
        <v>30</v>
      </c>
    </row>
    <row r="1249" spans="1:48" ht="60" x14ac:dyDescent="0.2">
      <c r="A1249" s="1" t="s">
        <v>4566</v>
      </c>
      <c r="B1249" s="1" t="s">
        <v>4592</v>
      </c>
      <c r="C1249" s="1" t="s">
        <v>10652</v>
      </c>
      <c r="D1249" s="48">
        <v>3</v>
      </c>
      <c r="E1249" s="1">
        <v>4</v>
      </c>
      <c r="F1249" s="1" t="s">
        <v>4581</v>
      </c>
      <c r="G1249" s="1" t="s">
        <v>4593</v>
      </c>
      <c r="I1249" s="1" t="s">
        <v>104</v>
      </c>
      <c r="K1249" s="1" t="s">
        <v>1178</v>
      </c>
      <c r="O1249" s="55">
        <v>3</v>
      </c>
      <c r="T1249" s="60">
        <v>10</v>
      </c>
      <c r="V1249" s="4" t="s">
        <v>5578</v>
      </c>
      <c r="AL1249" s="60" t="s">
        <v>30</v>
      </c>
    </row>
    <row r="1250" spans="1:48" ht="48" x14ac:dyDescent="0.2">
      <c r="A1250" s="1" t="s">
        <v>4566</v>
      </c>
      <c r="B1250" s="1" t="s">
        <v>4582</v>
      </c>
      <c r="C1250" s="1" t="s">
        <v>10652</v>
      </c>
      <c r="D1250" s="48">
        <v>4</v>
      </c>
      <c r="E1250" s="1">
        <v>2</v>
      </c>
      <c r="F1250" s="1" t="s">
        <v>4581</v>
      </c>
      <c r="G1250" s="1" t="s">
        <v>4583</v>
      </c>
      <c r="I1250" s="1" t="s">
        <v>82</v>
      </c>
      <c r="V1250" s="4" t="s">
        <v>5572</v>
      </c>
      <c r="AL1250" s="60" t="s">
        <v>30</v>
      </c>
    </row>
    <row r="1251" spans="1:48" ht="60" x14ac:dyDescent="0.2">
      <c r="A1251" s="1" t="s">
        <v>4566</v>
      </c>
      <c r="B1251" s="1" t="s">
        <v>4574</v>
      </c>
      <c r="C1251" s="1" t="s">
        <v>10652</v>
      </c>
      <c r="D1251" s="48">
        <v>5</v>
      </c>
      <c r="E1251" s="1">
        <v>1</v>
      </c>
      <c r="F1251" s="1" t="s">
        <v>4575</v>
      </c>
      <c r="G1251" s="1" t="s">
        <v>4361</v>
      </c>
      <c r="H1251" s="1" t="s">
        <v>26</v>
      </c>
      <c r="I1251" s="1" t="s">
        <v>94</v>
      </c>
      <c r="K1251" s="1" t="s">
        <v>604</v>
      </c>
      <c r="N1251" s="54">
        <v>15</v>
      </c>
      <c r="O1251" s="55">
        <v>5</v>
      </c>
      <c r="Q1251" s="57">
        <v>6</v>
      </c>
      <c r="R1251" s="58">
        <v>4</v>
      </c>
      <c r="S1251" s="59">
        <v>11</v>
      </c>
      <c r="U1251" s="1">
        <v>3</v>
      </c>
      <c r="V1251" s="4" t="s">
        <v>5567</v>
      </c>
      <c r="AL1251" s="60" t="s">
        <v>30</v>
      </c>
    </row>
    <row r="1252" spans="1:48" ht="60" x14ac:dyDescent="0.2">
      <c r="A1252" s="1" t="s">
        <v>4566</v>
      </c>
      <c r="B1252" s="1" t="s">
        <v>4603</v>
      </c>
      <c r="C1252" s="1" t="s">
        <v>10652</v>
      </c>
      <c r="D1252" s="48">
        <v>6</v>
      </c>
      <c r="E1252" s="1">
        <v>4</v>
      </c>
      <c r="F1252" s="1" t="s">
        <v>4575</v>
      </c>
      <c r="G1252" s="1" t="s">
        <v>4604</v>
      </c>
      <c r="I1252" s="1" t="s">
        <v>94</v>
      </c>
      <c r="K1252" s="1" t="s">
        <v>604</v>
      </c>
      <c r="N1252" s="54">
        <v>45</v>
      </c>
      <c r="O1252" s="55">
        <v>4</v>
      </c>
      <c r="Q1252" s="57">
        <v>4</v>
      </c>
      <c r="R1252" s="58">
        <v>3</v>
      </c>
      <c r="S1252" s="59">
        <v>3</v>
      </c>
      <c r="V1252" s="4" t="s">
        <v>5586</v>
      </c>
      <c r="AL1252" s="60" t="s">
        <v>30</v>
      </c>
    </row>
    <row r="1253" spans="1:48" ht="72" x14ac:dyDescent="0.2">
      <c r="A1253" s="1" t="s">
        <v>4566</v>
      </c>
      <c r="B1253" s="1" t="s">
        <v>4614</v>
      </c>
      <c r="C1253" s="1" t="s">
        <v>10652</v>
      </c>
      <c r="D1253" s="48">
        <v>7</v>
      </c>
      <c r="E1253" s="1">
        <v>3</v>
      </c>
      <c r="F1253" s="1" t="s">
        <v>4575</v>
      </c>
      <c r="G1253" s="1" t="s">
        <v>4615</v>
      </c>
      <c r="I1253" s="1" t="s">
        <v>104</v>
      </c>
      <c r="K1253" s="1" t="s">
        <v>1762</v>
      </c>
      <c r="O1253" s="55">
        <v>4</v>
      </c>
      <c r="T1253" s="60">
        <v>3</v>
      </c>
      <c r="V1253" s="4" t="s">
        <v>5592</v>
      </c>
      <c r="AL1253" s="60" t="s">
        <v>30</v>
      </c>
    </row>
    <row r="1254" spans="1:48" ht="36" x14ac:dyDescent="0.2">
      <c r="A1254" s="1" t="s">
        <v>4566</v>
      </c>
      <c r="B1254" s="1" t="s">
        <v>4590</v>
      </c>
      <c r="C1254" s="1" t="s">
        <v>10652</v>
      </c>
      <c r="D1254" s="48">
        <v>8</v>
      </c>
      <c r="F1254" s="1" t="s">
        <v>4575</v>
      </c>
      <c r="G1254" s="1" t="s">
        <v>4591</v>
      </c>
      <c r="I1254" s="1" t="s">
        <v>82</v>
      </c>
      <c r="V1254" s="4" t="s">
        <v>5576</v>
      </c>
      <c r="W1254" s="4" t="s">
        <v>5577</v>
      </c>
      <c r="AL1254" s="60" t="s">
        <v>30</v>
      </c>
    </row>
    <row r="1255" spans="1:48" ht="96" x14ac:dyDescent="0.2">
      <c r="A1255" s="135" t="s">
        <v>4566</v>
      </c>
      <c r="B1255" s="135" t="s">
        <v>4596</v>
      </c>
      <c r="C1255" s="135" t="s">
        <v>10653</v>
      </c>
      <c r="D1255" s="136">
        <v>1</v>
      </c>
      <c r="E1255" s="135">
        <v>1</v>
      </c>
      <c r="F1255" s="135" t="s">
        <v>4573</v>
      </c>
      <c r="G1255" s="135" t="s">
        <v>4346</v>
      </c>
      <c r="I1255" s="1" t="s">
        <v>768</v>
      </c>
      <c r="N1255" s="54" t="s">
        <v>9529</v>
      </c>
      <c r="V1255" s="4" t="s">
        <v>769</v>
      </c>
      <c r="X1255" s="1" t="s">
        <v>2151</v>
      </c>
      <c r="Y1255" s="1" t="s">
        <v>4346</v>
      </c>
      <c r="AA1255" s="1" t="s">
        <v>768</v>
      </c>
      <c r="AF1255" s="54" t="s">
        <v>9530</v>
      </c>
      <c r="AL1255" s="60" t="s">
        <v>30</v>
      </c>
      <c r="AN1255" s="4" t="s">
        <v>5580</v>
      </c>
    </row>
    <row r="1256" spans="1:48" ht="72" x14ac:dyDescent="0.2">
      <c r="A1256" s="1" t="s">
        <v>4566</v>
      </c>
      <c r="B1256" s="1" t="s">
        <v>4594</v>
      </c>
      <c r="C1256" s="1" t="s">
        <v>10653</v>
      </c>
      <c r="D1256" s="48">
        <v>2</v>
      </c>
      <c r="E1256" s="1">
        <v>1</v>
      </c>
      <c r="F1256" s="1" t="s">
        <v>4573</v>
      </c>
      <c r="G1256" s="1" t="s">
        <v>4595</v>
      </c>
      <c r="H1256" s="1" t="s">
        <v>26</v>
      </c>
      <c r="I1256" s="1" t="s">
        <v>104</v>
      </c>
      <c r="K1256" s="1" t="s">
        <v>1178</v>
      </c>
      <c r="O1256" s="55">
        <v>4</v>
      </c>
      <c r="T1256" s="60">
        <v>8</v>
      </c>
      <c r="V1256" s="4" t="s">
        <v>5579</v>
      </c>
      <c r="AL1256" s="60" t="s">
        <v>30</v>
      </c>
    </row>
    <row r="1257" spans="1:48" ht="24" x14ac:dyDescent="0.2">
      <c r="A1257" s="1" t="s">
        <v>4566</v>
      </c>
      <c r="B1257" s="1" t="s">
        <v>4601</v>
      </c>
      <c r="C1257" s="125" t="s">
        <v>10653</v>
      </c>
      <c r="D1257" s="48">
        <v>3</v>
      </c>
      <c r="E1257" s="1">
        <v>3</v>
      </c>
      <c r="F1257" s="1" t="s">
        <v>4573</v>
      </c>
      <c r="G1257" s="1" t="s">
        <v>4602</v>
      </c>
      <c r="I1257" s="1" t="s">
        <v>94</v>
      </c>
      <c r="K1257" s="1" t="s">
        <v>95</v>
      </c>
      <c r="N1257" s="54">
        <v>33</v>
      </c>
      <c r="O1257" s="55">
        <v>4</v>
      </c>
      <c r="Q1257" s="57">
        <v>4</v>
      </c>
      <c r="R1257" s="58">
        <v>3</v>
      </c>
      <c r="S1257" s="59">
        <v>5</v>
      </c>
      <c r="V1257" s="4" t="s">
        <v>5585</v>
      </c>
      <c r="W1257" s="4" t="s">
        <v>3491</v>
      </c>
      <c r="AL1257" s="60" t="s">
        <v>30</v>
      </c>
    </row>
    <row r="1258" spans="1:48" ht="24" x14ac:dyDescent="0.2">
      <c r="A1258" s="1" t="s">
        <v>4566</v>
      </c>
      <c r="B1258" s="1" t="s">
        <v>4571</v>
      </c>
      <c r="C1258" s="1" t="s">
        <v>10653</v>
      </c>
      <c r="D1258" s="48">
        <v>3</v>
      </c>
      <c r="E1258" s="1">
        <v>3</v>
      </c>
      <c r="F1258" s="1" t="s">
        <v>4573</v>
      </c>
      <c r="G1258" s="1" t="s">
        <v>4572</v>
      </c>
      <c r="I1258" s="1" t="s">
        <v>104</v>
      </c>
      <c r="K1258" s="1" t="s">
        <v>105</v>
      </c>
      <c r="O1258" s="55">
        <v>3</v>
      </c>
      <c r="T1258" s="60">
        <v>6</v>
      </c>
      <c r="V1258" s="4" t="s">
        <v>5565</v>
      </c>
      <c r="W1258" s="4" t="s">
        <v>5566</v>
      </c>
      <c r="AL1258" s="60" t="s">
        <v>30</v>
      </c>
    </row>
    <row r="1259" spans="1:48" ht="24" x14ac:dyDescent="0.2">
      <c r="A1259" s="1" t="s">
        <v>4566</v>
      </c>
      <c r="B1259" s="1" t="s">
        <v>4597</v>
      </c>
      <c r="C1259" s="125" t="s">
        <v>10653</v>
      </c>
      <c r="D1259" s="48">
        <v>4</v>
      </c>
      <c r="E1259" s="1">
        <v>3</v>
      </c>
      <c r="F1259" s="1" t="s">
        <v>4573</v>
      </c>
      <c r="G1259" s="1" t="s">
        <v>4598</v>
      </c>
      <c r="I1259" s="1" t="s">
        <v>94</v>
      </c>
      <c r="K1259" s="1" t="s">
        <v>604</v>
      </c>
      <c r="N1259" s="54">
        <v>15</v>
      </c>
      <c r="O1259" s="55">
        <v>2</v>
      </c>
      <c r="Q1259" s="57">
        <v>3</v>
      </c>
      <c r="R1259" s="58">
        <v>4</v>
      </c>
      <c r="S1259" s="59">
        <v>5</v>
      </c>
      <c r="V1259" s="4" t="s">
        <v>5581</v>
      </c>
      <c r="W1259" s="4" t="s">
        <v>5582</v>
      </c>
      <c r="AL1259" s="60" t="s">
        <v>30</v>
      </c>
      <c r="AU1259" s="1" t="s">
        <v>6254</v>
      </c>
      <c r="AV1259" s="1" t="s">
        <v>6255</v>
      </c>
    </row>
    <row r="1260" spans="1:48" ht="84" x14ac:dyDescent="0.2">
      <c r="A1260" s="1" t="s">
        <v>4566</v>
      </c>
      <c r="B1260" s="1" t="s">
        <v>4586</v>
      </c>
      <c r="C1260" s="1" t="s">
        <v>10653</v>
      </c>
      <c r="D1260" s="48">
        <v>6</v>
      </c>
      <c r="E1260" s="1">
        <v>3</v>
      </c>
      <c r="F1260" s="1" t="s">
        <v>4573</v>
      </c>
      <c r="G1260" s="1" t="s">
        <v>4587</v>
      </c>
      <c r="I1260" s="1" t="s">
        <v>104</v>
      </c>
      <c r="K1260" s="1" t="s">
        <v>1178</v>
      </c>
      <c r="O1260" s="55">
        <v>4</v>
      </c>
      <c r="T1260" s="60">
        <v>3</v>
      </c>
      <c r="V1260" s="4" t="s">
        <v>5574</v>
      </c>
      <c r="AL1260" s="60" t="s">
        <v>30</v>
      </c>
      <c r="AU1260" s="1" t="s">
        <v>6256</v>
      </c>
    </row>
    <row r="1261" spans="1:48" ht="72" x14ac:dyDescent="0.2">
      <c r="A1261" s="1" t="s">
        <v>4566</v>
      </c>
      <c r="B1261" s="1" t="s">
        <v>4612</v>
      </c>
      <c r="C1261" s="125" t="s">
        <v>10653</v>
      </c>
      <c r="D1261" s="48">
        <v>7</v>
      </c>
      <c r="E1261" s="1">
        <v>3</v>
      </c>
      <c r="F1261" s="1" t="s">
        <v>4573</v>
      </c>
      <c r="G1261" s="1" t="s">
        <v>4613</v>
      </c>
      <c r="I1261" s="1" t="s">
        <v>82</v>
      </c>
      <c r="V1261" s="4" t="s">
        <v>5591</v>
      </c>
      <c r="AL1261" s="60" t="s">
        <v>30</v>
      </c>
    </row>
    <row r="1262" spans="1:48" ht="84" x14ac:dyDescent="0.2">
      <c r="A1262" s="1" t="s">
        <v>4566</v>
      </c>
      <c r="B1262" s="1" t="s">
        <v>4616</v>
      </c>
      <c r="C1262" s="1" t="s">
        <v>10653</v>
      </c>
      <c r="D1262" s="48">
        <v>8</v>
      </c>
      <c r="E1262" s="1">
        <v>3</v>
      </c>
      <c r="F1262" s="1" t="s">
        <v>4573</v>
      </c>
      <c r="G1262" s="1" t="s">
        <v>4617</v>
      </c>
      <c r="I1262" s="1" t="s">
        <v>82</v>
      </c>
      <c r="V1262" s="4" t="s">
        <v>5593</v>
      </c>
      <c r="AL1262" s="60" t="s">
        <v>30</v>
      </c>
    </row>
    <row r="1263" spans="1:48" ht="36" x14ac:dyDescent="0.2">
      <c r="A1263" s="119" t="s">
        <v>11042</v>
      </c>
      <c r="B1263" s="119" t="s">
        <v>11020</v>
      </c>
      <c r="C1263" s="119" t="s">
        <v>11014</v>
      </c>
      <c r="D1263" s="120">
        <v>1</v>
      </c>
      <c r="E1263" s="119">
        <v>1</v>
      </c>
      <c r="F1263" s="119" t="s">
        <v>11015</v>
      </c>
      <c r="G1263" s="119" t="s">
        <v>4059</v>
      </c>
      <c r="I1263" s="1" t="s">
        <v>768</v>
      </c>
      <c r="N1263" s="54" t="s">
        <v>9529</v>
      </c>
      <c r="V1263" s="4" t="s">
        <v>769</v>
      </c>
      <c r="X1263" s="137" t="s">
        <v>3526</v>
      </c>
      <c r="Y1263" s="1" t="s">
        <v>4059</v>
      </c>
      <c r="AA1263" s="1" t="s">
        <v>768</v>
      </c>
      <c r="AF1263" s="54" t="s">
        <v>9530</v>
      </c>
      <c r="AN1263" s="4" t="s">
        <v>11089</v>
      </c>
    </row>
    <row r="1264" spans="1:48" ht="36" x14ac:dyDescent="0.2">
      <c r="A1264" s="1" t="s">
        <v>11042</v>
      </c>
      <c r="B1264" s="1" t="s">
        <v>11021</v>
      </c>
      <c r="C1264" s="1" t="s">
        <v>11014</v>
      </c>
      <c r="D1264" s="48">
        <v>2</v>
      </c>
      <c r="E1264" s="1">
        <v>3</v>
      </c>
      <c r="F1264" s="1" t="s">
        <v>11015</v>
      </c>
      <c r="G1264" s="1" t="s">
        <v>11043</v>
      </c>
      <c r="I1264" s="1" t="s">
        <v>94</v>
      </c>
      <c r="K1264" s="1" t="s">
        <v>576</v>
      </c>
      <c r="L1264" s="2" t="s">
        <v>4085</v>
      </c>
      <c r="N1264" s="54">
        <v>35</v>
      </c>
      <c r="O1264" s="55">
        <v>4</v>
      </c>
      <c r="Q1264" s="57">
        <v>6</v>
      </c>
      <c r="R1264" s="58">
        <v>3</v>
      </c>
      <c r="S1264" s="59">
        <v>6</v>
      </c>
      <c r="V1264" s="4" t="s">
        <v>11044</v>
      </c>
      <c r="AU1264" s="1" t="s">
        <v>6257</v>
      </c>
      <c r="AV1264" s="1" t="s">
        <v>6258</v>
      </c>
    </row>
    <row r="1265" spans="1:40" ht="24" x14ac:dyDescent="0.2">
      <c r="A1265" s="4" t="s">
        <v>11042</v>
      </c>
      <c r="B1265" s="1" t="s">
        <v>11022</v>
      </c>
      <c r="C1265" s="1" t="s">
        <v>11014</v>
      </c>
      <c r="D1265" s="48">
        <v>3</v>
      </c>
      <c r="E1265" s="1">
        <v>5</v>
      </c>
      <c r="F1265" s="1" t="s">
        <v>11015</v>
      </c>
      <c r="G1265" s="1" t="s">
        <v>11045</v>
      </c>
      <c r="I1265" s="1" t="s">
        <v>94</v>
      </c>
      <c r="K1265" s="1" t="s">
        <v>576</v>
      </c>
      <c r="L1265" s="2" t="s">
        <v>4085</v>
      </c>
      <c r="N1265" s="54">
        <v>25</v>
      </c>
      <c r="O1265" s="55">
        <v>3</v>
      </c>
      <c r="Q1265" s="57">
        <v>4</v>
      </c>
      <c r="R1265" s="58">
        <v>2</v>
      </c>
      <c r="S1265" s="59">
        <v>5</v>
      </c>
      <c r="V1265" s="4" t="s">
        <v>11046</v>
      </c>
      <c r="W1265" s="4" t="s">
        <v>11047</v>
      </c>
    </row>
    <row r="1266" spans="1:40" ht="24" x14ac:dyDescent="0.2">
      <c r="A1266" s="1" t="s">
        <v>11042</v>
      </c>
      <c r="B1266" s="1" t="s">
        <v>11023</v>
      </c>
      <c r="C1266" s="1" t="s">
        <v>11014</v>
      </c>
      <c r="D1266" s="48">
        <v>4</v>
      </c>
      <c r="E1266" s="1">
        <v>2</v>
      </c>
      <c r="F1266" s="1" t="s">
        <v>11015</v>
      </c>
      <c r="G1266" s="1" t="s">
        <v>11048</v>
      </c>
      <c r="I1266" s="1" t="s">
        <v>104</v>
      </c>
      <c r="K1266" s="1" t="s">
        <v>105</v>
      </c>
      <c r="L1266" s="2" t="s">
        <v>11049</v>
      </c>
      <c r="O1266" s="55">
        <v>4</v>
      </c>
      <c r="T1266" s="60">
        <v>4</v>
      </c>
      <c r="V1266" s="4" t="s">
        <v>11050</v>
      </c>
    </row>
    <row r="1267" spans="1:40" ht="24" x14ac:dyDescent="0.2">
      <c r="A1267" s="1" t="s">
        <v>11042</v>
      </c>
      <c r="B1267" s="1" t="s">
        <v>11024</v>
      </c>
      <c r="C1267" s="1" t="s">
        <v>11014</v>
      </c>
      <c r="D1267" s="48">
        <v>5</v>
      </c>
      <c r="E1267" s="1">
        <v>2</v>
      </c>
      <c r="F1267" s="1" t="s">
        <v>11015</v>
      </c>
      <c r="G1267" s="1" t="s">
        <v>11051</v>
      </c>
      <c r="I1267" s="1" t="s">
        <v>104</v>
      </c>
      <c r="K1267" s="1" t="s">
        <v>105</v>
      </c>
      <c r="L1267" s="2" t="s">
        <v>11052</v>
      </c>
      <c r="O1267" s="55" t="s">
        <v>113</v>
      </c>
      <c r="T1267" s="60">
        <v>3</v>
      </c>
      <c r="V1267" s="4" t="s">
        <v>11053</v>
      </c>
      <c r="W1267" s="4" t="s">
        <v>11054</v>
      </c>
    </row>
    <row r="1268" spans="1:40" ht="24" x14ac:dyDescent="0.2">
      <c r="A1268" s="1" t="s">
        <v>11042</v>
      </c>
      <c r="B1268" s="1" t="s">
        <v>11025</v>
      </c>
      <c r="C1268" s="1" t="s">
        <v>11014</v>
      </c>
      <c r="D1268" s="48">
        <v>6</v>
      </c>
      <c r="E1268" s="1">
        <v>3</v>
      </c>
      <c r="F1268" s="1" t="s">
        <v>11015</v>
      </c>
      <c r="G1268" s="1" t="s">
        <v>11055</v>
      </c>
      <c r="I1268" s="1" t="s">
        <v>104</v>
      </c>
      <c r="K1268" s="1" t="s">
        <v>105</v>
      </c>
      <c r="O1268" s="55">
        <v>3</v>
      </c>
      <c r="T1268" s="60">
        <v>5</v>
      </c>
      <c r="V1268" s="4" t="s">
        <v>11056</v>
      </c>
      <c r="W1268" s="4" t="s">
        <v>11057</v>
      </c>
    </row>
    <row r="1269" spans="1:40" ht="24" x14ac:dyDescent="0.2">
      <c r="A1269" s="1" t="s">
        <v>11042</v>
      </c>
      <c r="B1269" s="1" t="s">
        <v>11026</v>
      </c>
      <c r="C1269" s="1" t="s">
        <v>11014</v>
      </c>
      <c r="D1269" s="48">
        <v>7</v>
      </c>
      <c r="E1269" s="1">
        <v>2</v>
      </c>
      <c r="F1269" s="1" t="s">
        <v>11015</v>
      </c>
      <c r="G1269" s="1" t="s">
        <v>11058</v>
      </c>
      <c r="I1269" s="1" t="s">
        <v>82</v>
      </c>
      <c r="V1269" s="4" t="s">
        <v>11059</v>
      </c>
      <c r="W1269" s="4" t="s">
        <v>11060</v>
      </c>
    </row>
    <row r="1270" spans="1:40" ht="48" x14ac:dyDescent="0.2">
      <c r="A1270" s="1" t="s">
        <v>11042</v>
      </c>
      <c r="B1270" s="1" t="s">
        <v>11027</v>
      </c>
      <c r="C1270" s="1" t="s">
        <v>11014</v>
      </c>
      <c r="D1270" s="48">
        <v>8</v>
      </c>
      <c r="E1270" s="1">
        <v>2</v>
      </c>
      <c r="F1270" s="1" t="s">
        <v>11015</v>
      </c>
      <c r="G1270" s="1" t="s">
        <v>11062</v>
      </c>
      <c r="I1270" s="1" t="s">
        <v>82</v>
      </c>
      <c r="L1270" s="2" t="s">
        <v>155</v>
      </c>
      <c r="V1270" s="4" t="s">
        <v>11063</v>
      </c>
    </row>
    <row r="1271" spans="1:40" ht="72" x14ac:dyDescent="0.2">
      <c r="A1271" s="119" t="s">
        <v>11042</v>
      </c>
      <c r="B1271" s="119" t="s">
        <v>11028</v>
      </c>
      <c r="C1271" s="119" t="s">
        <v>11018</v>
      </c>
      <c r="D1271" s="120">
        <v>1</v>
      </c>
      <c r="E1271" s="119">
        <v>1</v>
      </c>
      <c r="F1271" s="119" t="s">
        <v>11016</v>
      </c>
      <c r="G1271" s="119" t="s">
        <v>4036</v>
      </c>
      <c r="I1271" s="1" t="s">
        <v>768</v>
      </c>
      <c r="N1271" s="54" t="s">
        <v>9529</v>
      </c>
      <c r="V1271" s="4" t="s">
        <v>769</v>
      </c>
      <c r="X1271" s="137" t="s">
        <v>3774</v>
      </c>
      <c r="Y1271" s="1" t="s">
        <v>4036</v>
      </c>
      <c r="AA1271" s="1" t="s">
        <v>768</v>
      </c>
      <c r="AF1271" s="54" t="s">
        <v>9530</v>
      </c>
      <c r="AN1271" s="4" t="s">
        <v>11090</v>
      </c>
    </row>
    <row r="1272" spans="1:40" ht="72" x14ac:dyDescent="0.2">
      <c r="A1272" s="1" t="s">
        <v>11042</v>
      </c>
      <c r="B1272" s="1" t="s">
        <v>11029</v>
      </c>
      <c r="C1272" s="1" t="s">
        <v>11018</v>
      </c>
      <c r="D1272" s="48">
        <v>2</v>
      </c>
      <c r="E1272" s="1">
        <v>4</v>
      </c>
      <c r="F1272" s="1" t="s">
        <v>11016</v>
      </c>
      <c r="G1272" s="1" t="s">
        <v>11079</v>
      </c>
      <c r="I1272" s="1" t="s">
        <v>94</v>
      </c>
      <c r="K1272" s="1" t="s">
        <v>95</v>
      </c>
      <c r="N1272" s="54">
        <v>15</v>
      </c>
      <c r="O1272" s="55">
        <v>3</v>
      </c>
      <c r="Q1272" s="57">
        <v>3</v>
      </c>
      <c r="R1272" s="58">
        <v>2</v>
      </c>
      <c r="S1272" s="59">
        <v>5</v>
      </c>
      <c r="V1272" s="4" t="s">
        <v>11092</v>
      </c>
    </row>
    <row r="1273" spans="1:40" ht="60" x14ac:dyDescent="0.2">
      <c r="A1273" s="1" t="s">
        <v>11042</v>
      </c>
      <c r="B1273" s="1" t="s">
        <v>11030</v>
      </c>
      <c r="C1273" s="1" t="s">
        <v>11018</v>
      </c>
      <c r="D1273" s="48">
        <v>3</v>
      </c>
      <c r="E1273" s="1">
        <v>3</v>
      </c>
      <c r="F1273" s="1" t="s">
        <v>11016</v>
      </c>
      <c r="G1273" s="1" t="s">
        <v>11080</v>
      </c>
      <c r="I1273" s="1" t="s">
        <v>104</v>
      </c>
      <c r="K1273" s="1" t="s">
        <v>1112</v>
      </c>
      <c r="O1273" s="55">
        <v>2</v>
      </c>
      <c r="T1273" s="60">
        <v>6</v>
      </c>
      <c r="V1273" s="4" t="s">
        <v>11081</v>
      </c>
    </row>
    <row r="1274" spans="1:40" ht="24" x14ac:dyDescent="0.2">
      <c r="A1274" s="1" t="s">
        <v>11042</v>
      </c>
      <c r="B1274" s="1" t="s">
        <v>11031</v>
      </c>
      <c r="C1274" s="1" t="s">
        <v>11018</v>
      </c>
      <c r="D1274" s="48">
        <v>4</v>
      </c>
      <c r="E1274" s="1">
        <v>3</v>
      </c>
      <c r="F1274" s="1" t="s">
        <v>11016</v>
      </c>
      <c r="G1274" s="1" t="s">
        <v>11082</v>
      </c>
      <c r="I1274" s="1" t="s">
        <v>104</v>
      </c>
      <c r="K1274" s="1" t="s">
        <v>1178</v>
      </c>
      <c r="O1274" s="55">
        <v>3</v>
      </c>
      <c r="T1274" s="60">
        <v>5</v>
      </c>
      <c r="V1274" s="4" t="s">
        <v>11083</v>
      </c>
      <c r="W1274" s="4" t="s">
        <v>11084</v>
      </c>
    </row>
    <row r="1275" spans="1:40" ht="60" x14ac:dyDescent="0.2">
      <c r="A1275" s="1" t="s">
        <v>11042</v>
      </c>
      <c r="B1275" s="1" t="s">
        <v>11032</v>
      </c>
      <c r="C1275" s="1" t="s">
        <v>11018</v>
      </c>
      <c r="D1275" s="48">
        <v>5</v>
      </c>
      <c r="E1275" s="1">
        <v>2</v>
      </c>
      <c r="F1275" s="1" t="s">
        <v>11016</v>
      </c>
      <c r="G1275" s="1" t="s">
        <v>4065</v>
      </c>
      <c r="I1275" s="1" t="s">
        <v>104</v>
      </c>
      <c r="K1275" s="1" t="s">
        <v>1178</v>
      </c>
      <c r="O1275" s="55">
        <v>5</v>
      </c>
      <c r="T1275" s="60">
        <v>2</v>
      </c>
      <c r="V1275" s="4" t="s">
        <v>11085</v>
      </c>
    </row>
    <row r="1276" spans="1:40" ht="48" x14ac:dyDescent="0.2">
      <c r="A1276" s="1" t="s">
        <v>11042</v>
      </c>
      <c r="B1276" s="1" t="s">
        <v>11033</v>
      </c>
      <c r="C1276" s="1" t="s">
        <v>11018</v>
      </c>
      <c r="D1276" s="48">
        <v>6</v>
      </c>
      <c r="E1276" s="1">
        <v>4</v>
      </c>
      <c r="F1276" s="1" t="s">
        <v>11016</v>
      </c>
      <c r="G1276" s="1" t="s">
        <v>11086</v>
      </c>
      <c r="I1276" s="1" t="s">
        <v>82</v>
      </c>
      <c r="L1276" s="2" t="s">
        <v>685</v>
      </c>
      <c r="V1276" s="4" t="s">
        <v>11087</v>
      </c>
    </row>
    <row r="1277" spans="1:40" ht="72" x14ac:dyDescent="0.2">
      <c r="A1277" s="1" t="s">
        <v>11042</v>
      </c>
      <c r="B1277" s="1" t="s">
        <v>11034</v>
      </c>
      <c r="C1277" s="1" t="s">
        <v>11018</v>
      </c>
      <c r="D1277" s="48">
        <v>7</v>
      </c>
      <c r="E1277" s="1">
        <v>3</v>
      </c>
      <c r="F1277" s="1" t="s">
        <v>11016</v>
      </c>
      <c r="G1277" s="1" t="s">
        <v>11088</v>
      </c>
      <c r="I1277" s="1" t="s">
        <v>82</v>
      </c>
      <c r="L1277" s="2" t="s">
        <v>685</v>
      </c>
      <c r="V1277" s="4" t="s">
        <v>11093</v>
      </c>
    </row>
    <row r="1278" spans="1:40" ht="144" x14ac:dyDescent="0.2">
      <c r="A1278" s="119" t="s">
        <v>11042</v>
      </c>
      <c r="B1278" s="119" t="s">
        <v>11035</v>
      </c>
      <c r="C1278" s="119" t="s">
        <v>11019</v>
      </c>
      <c r="D1278" s="120">
        <v>1</v>
      </c>
      <c r="E1278" s="119">
        <v>1</v>
      </c>
      <c r="F1278" s="119" t="s">
        <v>11017</v>
      </c>
      <c r="G1278" s="119" t="s">
        <v>4042</v>
      </c>
      <c r="I1278" s="1" t="s">
        <v>768</v>
      </c>
      <c r="N1278" s="54" t="s">
        <v>9529</v>
      </c>
      <c r="V1278" s="4" t="s">
        <v>769</v>
      </c>
      <c r="X1278" s="137" t="s">
        <v>1629</v>
      </c>
      <c r="Y1278" s="1" t="s">
        <v>4042</v>
      </c>
      <c r="AA1278" s="1" t="s">
        <v>768</v>
      </c>
      <c r="AF1278" s="54" t="s">
        <v>9530</v>
      </c>
      <c r="AN1278" s="4" t="s">
        <v>11091</v>
      </c>
    </row>
    <row r="1279" spans="1:40" ht="24" x14ac:dyDescent="0.2">
      <c r="A1279" s="1" t="s">
        <v>11042</v>
      </c>
      <c r="B1279" s="1" t="s">
        <v>11036</v>
      </c>
      <c r="C1279" s="1" t="s">
        <v>11019</v>
      </c>
      <c r="D1279" s="48">
        <v>2</v>
      </c>
      <c r="E1279" s="1">
        <v>3</v>
      </c>
      <c r="F1279" s="1" t="s">
        <v>11017</v>
      </c>
      <c r="G1279" s="1" t="s">
        <v>11064</v>
      </c>
      <c r="I1279" s="1" t="s">
        <v>94</v>
      </c>
      <c r="K1279" s="1" t="s">
        <v>95</v>
      </c>
      <c r="N1279" s="54">
        <v>25</v>
      </c>
      <c r="O1279" s="55">
        <v>4</v>
      </c>
      <c r="Q1279" s="57">
        <v>5</v>
      </c>
      <c r="R1279" s="58">
        <v>3</v>
      </c>
      <c r="S1279" s="59">
        <v>5</v>
      </c>
      <c r="V1279" s="4" t="s">
        <v>11065</v>
      </c>
      <c r="W1279" s="4" t="s">
        <v>11066</v>
      </c>
    </row>
    <row r="1280" spans="1:40" ht="24" x14ac:dyDescent="0.2">
      <c r="A1280" s="1" t="s">
        <v>11042</v>
      </c>
      <c r="B1280" s="1" t="s">
        <v>11037</v>
      </c>
      <c r="C1280" s="1" t="s">
        <v>11019</v>
      </c>
      <c r="D1280" s="48">
        <v>3</v>
      </c>
      <c r="E1280" s="1">
        <v>4</v>
      </c>
      <c r="F1280" s="1" t="s">
        <v>11017</v>
      </c>
      <c r="G1280" s="1" t="s">
        <v>11067</v>
      </c>
      <c r="I1280" s="1" t="s">
        <v>94</v>
      </c>
      <c r="K1280" s="1" t="s">
        <v>604</v>
      </c>
      <c r="N1280" s="54">
        <v>15</v>
      </c>
      <c r="O1280" s="55">
        <v>3</v>
      </c>
      <c r="Q1280" s="57">
        <v>3</v>
      </c>
      <c r="R1280" s="58">
        <v>2</v>
      </c>
      <c r="S1280" s="59">
        <v>4</v>
      </c>
      <c r="V1280" s="4" t="s">
        <v>11068</v>
      </c>
      <c r="W1280" s="4" t="s">
        <v>11069</v>
      </c>
    </row>
    <row r="1281" spans="1:47" ht="36" x14ac:dyDescent="0.2">
      <c r="A1281" s="1" t="s">
        <v>11042</v>
      </c>
      <c r="B1281" s="1" t="s">
        <v>11038</v>
      </c>
      <c r="C1281" s="1" t="s">
        <v>11019</v>
      </c>
      <c r="D1281" s="48">
        <v>4</v>
      </c>
      <c r="E1281" s="1">
        <v>4</v>
      </c>
      <c r="F1281" s="1" t="s">
        <v>11017</v>
      </c>
      <c r="G1281" s="1" t="s">
        <v>11070</v>
      </c>
      <c r="I1281" s="1" t="s">
        <v>94</v>
      </c>
      <c r="K1281" s="1" t="s">
        <v>604</v>
      </c>
      <c r="L1281" s="2" t="s">
        <v>3246</v>
      </c>
      <c r="N1281" s="54">
        <v>40</v>
      </c>
      <c r="O1281" s="55">
        <v>2</v>
      </c>
      <c r="Q1281" s="57">
        <v>5</v>
      </c>
      <c r="R1281" s="58">
        <v>3</v>
      </c>
      <c r="S1281" s="59">
        <v>5</v>
      </c>
      <c r="V1281" s="4" t="s">
        <v>11071</v>
      </c>
    </row>
    <row r="1282" spans="1:47" ht="60" x14ac:dyDescent="0.2">
      <c r="A1282" s="1" t="s">
        <v>11042</v>
      </c>
      <c r="B1282" s="1" t="s">
        <v>11039</v>
      </c>
      <c r="C1282" s="1" t="s">
        <v>11019</v>
      </c>
      <c r="D1282" s="48">
        <v>5</v>
      </c>
      <c r="E1282" s="1">
        <v>2</v>
      </c>
      <c r="F1282" s="1" t="s">
        <v>11017</v>
      </c>
      <c r="G1282" s="1" t="s">
        <v>11072</v>
      </c>
      <c r="I1282" s="1" t="s">
        <v>104</v>
      </c>
      <c r="K1282" s="1" t="s">
        <v>4953</v>
      </c>
      <c r="O1282" s="55">
        <v>5</v>
      </c>
      <c r="T1282" s="60">
        <v>5</v>
      </c>
      <c r="V1282" s="4" t="s">
        <v>11073</v>
      </c>
    </row>
    <row r="1283" spans="1:47" ht="24" x14ac:dyDescent="0.2">
      <c r="A1283" s="1" t="s">
        <v>11042</v>
      </c>
      <c r="B1283" s="1" t="s">
        <v>11040</v>
      </c>
      <c r="C1283" s="1" t="s">
        <v>11019</v>
      </c>
      <c r="D1283" s="48">
        <v>6</v>
      </c>
      <c r="E1283" s="1">
        <v>3</v>
      </c>
      <c r="F1283" s="1" t="s">
        <v>11017</v>
      </c>
      <c r="G1283" s="1" t="s">
        <v>11074</v>
      </c>
      <c r="I1283" s="1" t="s">
        <v>104</v>
      </c>
      <c r="K1283" s="1" t="s">
        <v>1178</v>
      </c>
      <c r="O1283" s="55">
        <v>3</v>
      </c>
      <c r="T1283" s="60">
        <v>6</v>
      </c>
      <c r="V1283" s="4" t="s">
        <v>11075</v>
      </c>
      <c r="W1283" s="4" t="s">
        <v>11076</v>
      </c>
    </row>
    <row r="1284" spans="1:47" ht="36" x14ac:dyDescent="0.2">
      <c r="A1284" s="1" t="s">
        <v>11042</v>
      </c>
      <c r="B1284" s="1" t="s">
        <v>11041</v>
      </c>
      <c r="C1284" s="1" t="s">
        <v>11019</v>
      </c>
      <c r="D1284" s="48">
        <v>7</v>
      </c>
      <c r="E1284" s="1">
        <v>3</v>
      </c>
      <c r="F1284" s="1" t="s">
        <v>11017</v>
      </c>
      <c r="G1284" s="1" t="s">
        <v>11077</v>
      </c>
      <c r="I1284" s="1" t="s">
        <v>82</v>
      </c>
      <c r="V1284" s="4" t="s">
        <v>11078</v>
      </c>
      <c r="W1284" s="4" t="s">
        <v>3364</v>
      </c>
    </row>
    <row r="1285" spans="1:47" ht="48" x14ac:dyDescent="0.2">
      <c r="A1285" s="121" t="s">
        <v>4293</v>
      </c>
      <c r="B1285" s="121" t="s">
        <v>4341</v>
      </c>
      <c r="C1285" s="121" t="s">
        <v>5719</v>
      </c>
      <c r="D1285" s="122">
        <v>1</v>
      </c>
      <c r="E1285" s="121">
        <v>1</v>
      </c>
      <c r="F1285" s="121"/>
      <c r="G1285" s="121" t="s">
        <v>4112</v>
      </c>
      <c r="H1285" s="1" t="s">
        <v>26</v>
      </c>
      <c r="I1285" s="1" t="s">
        <v>27</v>
      </c>
      <c r="J1285" s="1" t="s">
        <v>4113</v>
      </c>
      <c r="K1285" s="1" t="s">
        <v>242</v>
      </c>
      <c r="M1285" s="18">
        <v>0</v>
      </c>
      <c r="P1285" s="56">
        <v>1</v>
      </c>
      <c r="Q1285" s="57">
        <v>1</v>
      </c>
      <c r="R1285" s="58">
        <v>1</v>
      </c>
      <c r="S1285" s="59">
        <v>3</v>
      </c>
      <c r="V1285" s="4" t="s">
        <v>4342</v>
      </c>
      <c r="AL1285" s="60" t="s">
        <v>30</v>
      </c>
    </row>
    <row r="1286" spans="1:47" ht="36" x14ac:dyDescent="0.2">
      <c r="A1286" s="1" t="s">
        <v>4293</v>
      </c>
      <c r="B1286" s="1" t="s">
        <v>4532</v>
      </c>
      <c r="C1286" s="1" t="s">
        <v>5719</v>
      </c>
      <c r="D1286" s="48">
        <v>2</v>
      </c>
      <c r="E1286" s="1">
        <v>1</v>
      </c>
      <c r="G1286" s="1" t="s">
        <v>4533</v>
      </c>
      <c r="H1286" s="1" t="s">
        <v>26</v>
      </c>
      <c r="I1286" s="1" t="s">
        <v>27</v>
      </c>
      <c r="J1286" s="1" t="s">
        <v>28</v>
      </c>
      <c r="K1286" s="1" t="s">
        <v>350</v>
      </c>
      <c r="M1286" s="18">
        <v>12</v>
      </c>
      <c r="P1286" s="56">
        <v>3</v>
      </c>
      <c r="Q1286" s="57">
        <v>3</v>
      </c>
      <c r="R1286" s="58">
        <v>1</v>
      </c>
      <c r="S1286" s="59">
        <v>5</v>
      </c>
      <c r="V1286" s="4" t="s">
        <v>4534</v>
      </c>
      <c r="AL1286" s="60" t="s">
        <v>30</v>
      </c>
    </row>
    <row r="1287" spans="1:47" ht="24" x14ac:dyDescent="0.2">
      <c r="A1287" s="1" t="s">
        <v>4293</v>
      </c>
      <c r="B1287" s="1" t="s">
        <v>4479</v>
      </c>
      <c r="C1287" s="1" t="s">
        <v>5719</v>
      </c>
      <c r="D1287" s="48">
        <v>3</v>
      </c>
      <c r="E1287" s="1">
        <v>1</v>
      </c>
      <c r="G1287" s="1" t="s">
        <v>4480</v>
      </c>
      <c r="H1287" s="1" t="s">
        <v>26</v>
      </c>
      <c r="I1287" s="1" t="s">
        <v>27</v>
      </c>
      <c r="J1287" s="1" t="s">
        <v>57</v>
      </c>
      <c r="K1287" s="1" t="s">
        <v>283</v>
      </c>
      <c r="M1287" s="18">
        <v>9</v>
      </c>
      <c r="P1287" s="56">
        <v>2</v>
      </c>
      <c r="Q1287" s="57">
        <v>1</v>
      </c>
      <c r="R1287" s="58">
        <v>2</v>
      </c>
      <c r="S1287" s="59">
        <v>4</v>
      </c>
      <c r="V1287" s="4" t="s">
        <v>4481</v>
      </c>
      <c r="AL1287" s="60" t="s">
        <v>30</v>
      </c>
      <c r="AU1287" s="1" t="s">
        <v>6259</v>
      </c>
    </row>
    <row r="1288" spans="1:47" ht="24" x14ac:dyDescent="0.2">
      <c r="A1288" s="1" t="s">
        <v>4293</v>
      </c>
      <c r="B1288" s="1" t="s">
        <v>4488</v>
      </c>
      <c r="C1288" s="1" t="s">
        <v>5719</v>
      </c>
      <c r="D1288" s="48">
        <v>4</v>
      </c>
      <c r="E1288" s="1">
        <v>1</v>
      </c>
      <c r="G1288" s="1" t="s">
        <v>4489</v>
      </c>
      <c r="H1288" s="1" t="s">
        <v>26</v>
      </c>
      <c r="I1288" s="1" t="s">
        <v>27</v>
      </c>
      <c r="J1288" s="1" t="s">
        <v>39</v>
      </c>
      <c r="K1288" s="1" t="s">
        <v>283</v>
      </c>
      <c r="M1288" s="18">
        <v>8</v>
      </c>
      <c r="P1288" s="56">
        <v>2</v>
      </c>
      <c r="Q1288" s="57">
        <v>2</v>
      </c>
      <c r="R1288" s="58">
        <v>1</v>
      </c>
      <c r="S1288" s="59">
        <v>3</v>
      </c>
      <c r="V1288" s="4" t="s">
        <v>4490</v>
      </c>
      <c r="AL1288" s="60" t="s">
        <v>30</v>
      </c>
    </row>
    <row r="1289" spans="1:47" ht="36" x14ac:dyDescent="0.2">
      <c r="A1289" s="1" t="s">
        <v>4293</v>
      </c>
      <c r="B1289" s="1" t="s">
        <v>4335</v>
      </c>
      <c r="C1289" s="1" t="s">
        <v>5719</v>
      </c>
      <c r="D1289" s="48">
        <v>5</v>
      </c>
      <c r="E1289" s="1">
        <v>1</v>
      </c>
      <c r="G1289" s="1" t="s">
        <v>438</v>
      </c>
      <c r="H1289" s="1" t="s">
        <v>26</v>
      </c>
      <c r="I1289" s="1" t="s">
        <v>27</v>
      </c>
      <c r="J1289" s="1" t="s">
        <v>50</v>
      </c>
      <c r="K1289" s="1" t="s">
        <v>439</v>
      </c>
      <c r="L1289" s="2" t="s">
        <v>4336</v>
      </c>
      <c r="M1289" s="18">
        <v>12</v>
      </c>
      <c r="P1289" s="56">
        <v>0</v>
      </c>
      <c r="Q1289" s="57">
        <v>5</v>
      </c>
      <c r="R1289" s="58">
        <v>1</v>
      </c>
      <c r="S1289" s="59">
        <v>10</v>
      </c>
      <c r="V1289" s="4" t="s">
        <v>4337</v>
      </c>
      <c r="AL1289" s="60" t="s">
        <v>30</v>
      </c>
    </row>
    <row r="1290" spans="1:47" ht="36" x14ac:dyDescent="0.2">
      <c r="A1290" s="1" t="s">
        <v>4293</v>
      </c>
      <c r="B1290" s="1" t="s">
        <v>4382</v>
      </c>
      <c r="C1290" s="1" t="s">
        <v>5719</v>
      </c>
      <c r="D1290" s="48">
        <v>6</v>
      </c>
      <c r="E1290" s="1">
        <v>3</v>
      </c>
      <c r="G1290" s="1" t="s">
        <v>4383</v>
      </c>
      <c r="H1290" s="1" t="s">
        <v>26</v>
      </c>
      <c r="I1290" s="1" t="s">
        <v>38</v>
      </c>
      <c r="J1290" s="1" t="s">
        <v>28</v>
      </c>
      <c r="K1290" s="1" t="s">
        <v>283</v>
      </c>
      <c r="M1290" s="18">
        <v>3</v>
      </c>
      <c r="P1290" s="56">
        <v>1</v>
      </c>
      <c r="Q1290" s="57">
        <v>1</v>
      </c>
      <c r="R1290" s="58">
        <v>1</v>
      </c>
      <c r="S1290" s="59">
        <v>2</v>
      </c>
      <c r="V1290" s="4" t="s">
        <v>4384</v>
      </c>
      <c r="AL1290" s="60" t="s">
        <v>30</v>
      </c>
    </row>
    <row r="1291" spans="1:47" ht="36" x14ac:dyDescent="0.2">
      <c r="A1291" s="1" t="s">
        <v>4293</v>
      </c>
      <c r="B1291" s="1" t="s">
        <v>4454</v>
      </c>
      <c r="C1291" s="1" t="s">
        <v>5719</v>
      </c>
      <c r="D1291" s="48">
        <v>7</v>
      </c>
      <c r="E1291" s="1">
        <v>3</v>
      </c>
      <c r="G1291" s="1" t="s">
        <v>4455</v>
      </c>
      <c r="H1291" s="1" t="s">
        <v>26</v>
      </c>
      <c r="I1291" s="1" t="s">
        <v>38</v>
      </c>
      <c r="J1291" s="1" t="s">
        <v>57</v>
      </c>
      <c r="K1291" s="1" t="s">
        <v>283</v>
      </c>
      <c r="M1291" s="18">
        <v>3</v>
      </c>
      <c r="P1291" s="56">
        <v>1</v>
      </c>
      <c r="Q1291" s="57">
        <v>1</v>
      </c>
      <c r="R1291" s="58">
        <v>1</v>
      </c>
      <c r="S1291" s="59">
        <v>2</v>
      </c>
      <c r="V1291" s="4" t="s">
        <v>4456</v>
      </c>
      <c r="AL1291" s="60" t="s">
        <v>30</v>
      </c>
    </row>
    <row r="1292" spans="1:47" ht="36" x14ac:dyDescent="0.2">
      <c r="A1292" s="1" t="s">
        <v>4293</v>
      </c>
      <c r="B1292" s="1" t="s">
        <v>4347</v>
      </c>
      <c r="C1292" s="1" t="s">
        <v>5719</v>
      </c>
      <c r="D1292" s="48">
        <v>8</v>
      </c>
      <c r="E1292" s="1">
        <v>3</v>
      </c>
      <c r="G1292" s="1" t="s">
        <v>4348</v>
      </c>
      <c r="H1292" s="1" t="s">
        <v>26</v>
      </c>
      <c r="I1292" s="1" t="s">
        <v>38</v>
      </c>
      <c r="J1292" s="1" t="s">
        <v>50</v>
      </c>
      <c r="K1292" s="1" t="s">
        <v>283</v>
      </c>
      <c r="M1292" s="18">
        <v>3</v>
      </c>
      <c r="P1292" s="56">
        <v>2</v>
      </c>
      <c r="Q1292" s="57">
        <v>2</v>
      </c>
      <c r="R1292" s="58">
        <v>0</v>
      </c>
      <c r="S1292" s="59">
        <v>3</v>
      </c>
      <c r="V1292" s="4" t="s">
        <v>4349</v>
      </c>
      <c r="AL1292" s="60" t="s">
        <v>30</v>
      </c>
    </row>
    <row r="1293" spans="1:47" ht="24" x14ac:dyDescent="0.2">
      <c r="A1293" s="1" t="s">
        <v>4293</v>
      </c>
      <c r="B1293" s="1" t="s">
        <v>4370</v>
      </c>
      <c r="C1293" s="1" t="s">
        <v>5719</v>
      </c>
      <c r="D1293" s="48">
        <v>9</v>
      </c>
      <c r="E1293" s="1">
        <v>3</v>
      </c>
      <c r="G1293" s="1" t="s">
        <v>4371</v>
      </c>
      <c r="H1293" s="1" t="s">
        <v>26</v>
      </c>
      <c r="I1293" s="1" t="s">
        <v>38</v>
      </c>
      <c r="J1293" s="1" t="s">
        <v>39</v>
      </c>
      <c r="K1293" s="1" t="s">
        <v>283</v>
      </c>
      <c r="M1293" s="18">
        <v>3</v>
      </c>
      <c r="P1293" s="56">
        <v>1</v>
      </c>
      <c r="Q1293" s="57">
        <v>2</v>
      </c>
      <c r="R1293" s="58">
        <v>1</v>
      </c>
      <c r="S1293" s="59">
        <v>3</v>
      </c>
      <c r="V1293" s="4" t="s">
        <v>4372</v>
      </c>
      <c r="AL1293" s="60" t="s">
        <v>30</v>
      </c>
    </row>
    <row r="1294" spans="1:47" ht="48" x14ac:dyDescent="0.2">
      <c r="A1294" s="1" t="s">
        <v>4293</v>
      </c>
      <c r="B1294" s="1" t="s">
        <v>4395</v>
      </c>
      <c r="C1294" s="1" t="s">
        <v>5719</v>
      </c>
      <c r="D1294" s="48">
        <v>10</v>
      </c>
      <c r="E1294" s="1">
        <v>3</v>
      </c>
      <c r="G1294" s="1" t="s">
        <v>571</v>
      </c>
      <c r="H1294" s="1" t="s">
        <v>26</v>
      </c>
      <c r="I1294" s="1" t="s">
        <v>38</v>
      </c>
      <c r="J1294" s="1" t="s">
        <v>44</v>
      </c>
      <c r="K1294" s="1" t="s">
        <v>45</v>
      </c>
      <c r="M1294" s="18">
        <v>5</v>
      </c>
      <c r="P1294" s="56">
        <v>4</v>
      </c>
      <c r="Q1294" s="57">
        <v>4</v>
      </c>
      <c r="R1294" s="58">
        <v>4</v>
      </c>
      <c r="S1294" s="59">
        <v>4</v>
      </c>
      <c r="V1294" s="4" t="s">
        <v>4396</v>
      </c>
      <c r="AL1294" s="60" t="s">
        <v>30</v>
      </c>
    </row>
    <row r="1295" spans="1:47" x14ac:dyDescent="0.2">
      <c r="A1295" s="1" t="s">
        <v>4293</v>
      </c>
      <c r="B1295" s="1" t="s">
        <v>4365</v>
      </c>
      <c r="C1295" s="1" t="s">
        <v>5719</v>
      </c>
      <c r="D1295" s="48">
        <v>11</v>
      </c>
      <c r="E1295" s="1">
        <v>3</v>
      </c>
      <c r="G1295" s="1" t="s">
        <v>4366</v>
      </c>
      <c r="I1295" s="1" t="s">
        <v>56</v>
      </c>
      <c r="J1295" s="1" t="s">
        <v>28</v>
      </c>
      <c r="K1295" s="1" t="s">
        <v>89</v>
      </c>
      <c r="L1295" s="2" t="s">
        <v>71</v>
      </c>
      <c r="M1295" s="18">
        <v>0</v>
      </c>
      <c r="V1295" s="4" t="s">
        <v>4367</v>
      </c>
      <c r="AL1295" s="60" t="s">
        <v>30</v>
      </c>
    </row>
    <row r="1296" spans="1:47" ht="36" x14ac:dyDescent="0.2">
      <c r="A1296" s="1" t="s">
        <v>4293</v>
      </c>
      <c r="B1296" s="1" t="s">
        <v>4507</v>
      </c>
      <c r="C1296" s="1" t="s">
        <v>5719</v>
      </c>
      <c r="D1296" s="48">
        <v>12</v>
      </c>
      <c r="E1296" s="1">
        <v>3</v>
      </c>
      <c r="G1296" s="1" t="s">
        <v>4508</v>
      </c>
      <c r="I1296" s="1" t="s">
        <v>56</v>
      </c>
      <c r="J1296" s="1" t="s">
        <v>57</v>
      </c>
      <c r="K1296" s="1" t="s">
        <v>89</v>
      </c>
      <c r="L1296" s="2" t="s">
        <v>299</v>
      </c>
      <c r="M1296" s="18">
        <v>0</v>
      </c>
      <c r="V1296" s="4" t="s">
        <v>4509</v>
      </c>
      <c r="AL1296" s="60" t="s">
        <v>30</v>
      </c>
    </row>
    <row r="1297" spans="1:40" ht="36" x14ac:dyDescent="0.2">
      <c r="A1297" s="1" t="s">
        <v>4293</v>
      </c>
      <c r="B1297" s="1" t="s">
        <v>4535</v>
      </c>
      <c r="C1297" s="1" t="s">
        <v>5719</v>
      </c>
      <c r="D1297" s="48">
        <v>13</v>
      </c>
      <c r="E1297" s="1">
        <v>3</v>
      </c>
      <c r="G1297" s="1" t="s">
        <v>10580</v>
      </c>
      <c r="H1297" s="1" t="s">
        <v>26</v>
      </c>
      <c r="I1297" s="1" t="s">
        <v>56</v>
      </c>
      <c r="J1297" s="1" t="s">
        <v>39</v>
      </c>
      <c r="K1297" s="1" t="s">
        <v>150</v>
      </c>
      <c r="L1297" s="2" t="s">
        <v>71</v>
      </c>
      <c r="M1297" s="18">
        <v>1</v>
      </c>
      <c r="V1297" s="4" t="s">
        <v>10581</v>
      </c>
      <c r="AL1297" s="60" t="s">
        <v>30</v>
      </c>
    </row>
    <row r="1298" spans="1:40" ht="48" x14ac:dyDescent="0.2">
      <c r="A1298" s="1" t="s">
        <v>4293</v>
      </c>
      <c r="B1298" s="1" t="s">
        <v>4326</v>
      </c>
      <c r="C1298" s="1" t="s">
        <v>5719</v>
      </c>
      <c r="D1298" s="48">
        <v>14</v>
      </c>
      <c r="E1298" s="1">
        <v>3</v>
      </c>
      <c r="G1298" s="1" t="s">
        <v>4327</v>
      </c>
      <c r="I1298" s="1" t="s">
        <v>63</v>
      </c>
      <c r="J1298" s="1" t="s">
        <v>28</v>
      </c>
      <c r="M1298" s="18">
        <v>0</v>
      </c>
      <c r="V1298" s="4" t="s">
        <v>4328</v>
      </c>
      <c r="AL1298" s="60" t="s">
        <v>30</v>
      </c>
    </row>
    <row r="1299" spans="1:40" ht="24" x14ac:dyDescent="0.2">
      <c r="A1299" s="1" t="s">
        <v>4293</v>
      </c>
      <c r="B1299" s="1" t="s">
        <v>4385</v>
      </c>
      <c r="C1299" s="1" t="s">
        <v>5719</v>
      </c>
      <c r="D1299" s="48">
        <v>15</v>
      </c>
      <c r="E1299" s="1">
        <v>3</v>
      </c>
      <c r="G1299" s="1" t="s">
        <v>4386</v>
      </c>
      <c r="I1299" s="1" t="s">
        <v>63</v>
      </c>
      <c r="J1299" s="1" t="s">
        <v>50</v>
      </c>
      <c r="M1299" s="18">
        <v>0</v>
      </c>
      <c r="V1299" s="4" t="s">
        <v>4387</v>
      </c>
      <c r="AL1299" s="60" t="s">
        <v>30</v>
      </c>
    </row>
    <row r="1300" spans="1:40" ht="36" x14ac:dyDescent="0.2">
      <c r="A1300" s="1" t="s">
        <v>4293</v>
      </c>
      <c r="B1300" s="1" t="s">
        <v>4420</v>
      </c>
      <c r="C1300" s="1" t="s">
        <v>5719</v>
      </c>
      <c r="D1300" s="48">
        <v>16</v>
      </c>
      <c r="E1300" s="1">
        <v>3</v>
      </c>
      <c r="G1300" s="1" t="s">
        <v>4421</v>
      </c>
      <c r="I1300" s="1" t="s">
        <v>63</v>
      </c>
      <c r="J1300" s="1" t="s">
        <v>50</v>
      </c>
      <c r="M1300" s="18">
        <v>0</v>
      </c>
      <c r="V1300" s="4" t="s">
        <v>4422</v>
      </c>
      <c r="AL1300" s="60" t="s">
        <v>30</v>
      </c>
    </row>
    <row r="1301" spans="1:40" ht="24" x14ac:dyDescent="0.2">
      <c r="A1301" s="1" t="s">
        <v>4293</v>
      </c>
      <c r="B1301" s="1" t="s">
        <v>4461</v>
      </c>
      <c r="C1301" s="1" t="s">
        <v>5719</v>
      </c>
      <c r="D1301" s="48">
        <v>17</v>
      </c>
      <c r="E1301" s="1">
        <v>3</v>
      </c>
      <c r="G1301" s="1" t="s">
        <v>4462</v>
      </c>
      <c r="I1301" s="1" t="s">
        <v>63</v>
      </c>
      <c r="J1301" s="1" t="s">
        <v>57</v>
      </c>
      <c r="M1301" s="18">
        <v>0</v>
      </c>
      <c r="V1301" s="4" t="s">
        <v>4463</v>
      </c>
      <c r="AL1301" s="60" t="s">
        <v>30</v>
      </c>
    </row>
    <row r="1302" spans="1:40" ht="48" x14ac:dyDescent="0.2">
      <c r="A1302" s="1" t="s">
        <v>4293</v>
      </c>
      <c r="B1302" s="1" t="s">
        <v>4379</v>
      </c>
      <c r="C1302" s="1" t="s">
        <v>5719</v>
      </c>
      <c r="D1302" s="48">
        <v>18</v>
      </c>
      <c r="E1302" s="1">
        <v>3</v>
      </c>
      <c r="G1302" s="1" t="s">
        <v>4380</v>
      </c>
      <c r="I1302" s="1" t="s">
        <v>63</v>
      </c>
      <c r="J1302" s="1" t="s">
        <v>39</v>
      </c>
      <c r="M1302" s="18">
        <v>1</v>
      </c>
      <c r="V1302" s="4" t="s">
        <v>4381</v>
      </c>
      <c r="AL1302" s="60" t="s">
        <v>30</v>
      </c>
    </row>
    <row r="1303" spans="1:40" ht="48" x14ac:dyDescent="0.2">
      <c r="A1303" s="1" t="s">
        <v>4293</v>
      </c>
      <c r="B1303" s="1" t="s">
        <v>4350</v>
      </c>
      <c r="C1303" s="1" t="s">
        <v>5719</v>
      </c>
      <c r="D1303" s="48">
        <v>19</v>
      </c>
      <c r="E1303" s="1">
        <v>3</v>
      </c>
      <c r="G1303" s="1" t="s">
        <v>4351</v>
      </c>
      <c r="I1303" s="1" t="s">
        <v>63</v>
      </c>
      <c r="J1303" s="1" t="s">
        <v>4113</v>
      </c>
      <c r="M1303" s="18">
        <v>1</v>
      </c>
      <c r="V1303" s="4" t="s">
        <v>4352</v>
      </c>
      <c r="AL1303" s="60" t="s">
        <v>30</v>
      </c>
    </row>
    <row r="1304" spans="1:40" ht="60" x14ac:dyDescent="0.2">
      <c r="A1304" s="1" t="s">
        <v>4293</v>
      </c>
      <c r="B1304" s="1" t="s">
        <v>4510</v>
      </c>
      <c r="C1304" s="1" t="s">
        <v>5719</v>
      </c>
      <c r="D1304" s="48">
        <v>20</v>
      </c>
      <c r="E1304" s="1">
        <v>1</v>
      </c>
      <c r="G1304" s="1" t="s">
        <v>4511</v>
      </c>
      <c r="H1304" s="1" t="s">
        <v>26</v>
      </c>
      <c r="I1304" s="1" t="s">
        <v>4050</v>
      </c>
      <c r="J1304" s="1" t="s">
        <v>44</v>
      </c>
      <c r="K1304" s="1" t="s">
        <v>3565</v>
      </c>
      <c r="L1304" s="2" t="s">
        <v>4512</v>
      </c>
      <c r="M1304" s="18">
        <v>0</v>
      </c>
      <c r="V1304" s="4" t="s">
        <v>4513</v>
      </c>
      <c r="AL1304" s="60" t="s">
        <v>30</v>
      </c>
    </row>
    <row r="1305" spans="1:40" ht="48" x14ac:dyDescent="0.2">
      <c r="A1305" s="1" t="s">
        <v>4293</v>
      </c>
      <c r="B1305" s="1" t="s">
        <v>4485</v>
      </c>
      <c r="C1305" s="1" t="s">
        <v>5719</v>
      </c>
      <c r="D1305" s="48">
        <v>21</v>
      </c>
      <c r="E1305" s="1">
        <v>1</v>
      </c>
      <c r="G1305" s="1" t="s">
        <v>4486</v>
      </c>
      <c r="H1305" s="1" t="s">
        <v>26</v>
      </c>
      <c r="I1305" s="1" t="s">
        <v>4050</v>
      </c>
      <c r="J1305" s="1" t="s">
        <v>44</v>
      </c>
      <c r="K1305" s="1" t="s">
        <v>3565</v>
      </c>
      <c r="L1305" s="2" t="s">
        <v>427</v>
      </c>
      <c r="M1305" s="18">
        <v>0</v>
      </c>
      <c r="V1305" s="4" t="s">
        <v>4487</v>
      </c>
      <c r="AL1305" s="60" t="s">
        <v>30</v>
      </c>
    </row>
    <row r="1306" spans="1:40" ht="48" x14ac:dyDescent="0.2">
      <c r="A1306" s="1" t="s">
        <v>4293</v>
      </c>
      <c r="B1306" s="1" t="s">
        <v>4397</v>
      </c>
      <c r="C1306" s="1" t="s">
        <v>5719</v>
      </c>
      <c r="D1306" s="48">
        <v>22</v>
      </c>
      <c r="E1306" s="1">
        <v>1</v>
      </c>
      <c r="G1306" s="1" t="s">
        <v>4398</v>
      </c>
      <c r="H1306" s="1" t="s">
        <v>26</v>
      </c>
      <c r="I1306" s="1" t="s">
        <v>4050</v>
      </c>
      <c r="J1306" s="1" t="s">
        <v>44</v>
      </c>
      <c r="K1306" s="1" t="s">
        <v>3565</v>
      </c>
      <c r="L1306" s="2" t="s">
        <v>4399</v>
      </c>
      <c r="M1306" s="18">
        <v>0</v>
      </c>
      <c r="V1306" s="4" t="s">
        <v>4400</v>
      </c>
      <c r="AL1306" s="60" t="s">
        <v>30</v>
      </c>
    </row>
    <row r="1307" spans="1:40" ht="60" x14ac:dyDescent="0.2">
      <c r="A1307" s="111" t="s">
        <v>4293</v>
      </c>
      <c r="B1307" s="111" t="s">
        <v>4332</v>
      </c>
      <c r="C1307" s="111" t="s">
        <v>5719</v>
      </c>
      <c r="D1307" s="112">
        <v>23</v>
      </c>
      <c r="E1307" s="111">
        <v>1</v>
      </c>
      <c r="F1307" s="111" t="s">
        <v>4298</v>
      </c>
      <c r="G1307" s="111" t="s">
        <v>9565</v>
      </c>
      <c r="I1307" s="1" t="s">
        <v>125</v>
      </c>
      <c r="M1307" s="18">
        <v>1</v>
      </c>
      <c r="N1307" s="54" t="s">
        <v>9529</v>
      </c>
      <c r="V1307" s="4" t="s">
        <v>4333</v>
      </c>
      <c r="X1307" s="1" t="s">
        <v>4334</v>
      </c>
      <c r="Y1307" s="1" t="s">
        <v>9565</v>
      </c>
      <c r="AA1307" s="1" t="s">
        <v>125</v>
      </c>
      <c r="AE1307" s="1">
        <v>1</v>
      </c>
      <c r="AF1307" s="54" t="s">
        <v>9530</v>
      </c>
      <c r="AL1307" s="60" t="s">
        <v>243</v>
      </c>
    </row>
    <row r="1308" spans="1:40" ht="72" x14ac:dyDescent="0.2">
      <c r="A1308" s="1" t="s">
        <v>4293</v>
      </c>
      <c r="B1308" s="1" t="s">
        <v>4504</v>
      </c>
      <c r="C1308" s="1" t="s">
        <v>5719</v>
      </c>
      <c r="D1308" s="48">
        <v>24</v>
      </c>
      <c r="E1308" s="1">
        <v>1</v>
      </c>
      <c r="F1308" s="1" t="s">
        <v>4298</v>
      </c>
      <c r="G1308" s="1" t="s">
        <v>9625</v>
      </c>
      <c r="I1308" s="1" t="s">
        <v>125</v>
      </c>
      <c r="M1308" s="18">
        <v>2</v>
      </c>
      <c r="N1308" s="54" t="s">
        <v>9529</v>
      </c>
      <c r="V1308" s="4" t="s">
        <v>4505</v>
      </c>
      <c r="Y1308" s="1" t="s">
        <v>9625</v>
      </c>
      <c r="AA1308" s="1" t="s">
        <v>125</v>
      </c>
      <c r="AE1308" s="1">
        <v>2</v>
      </c>
      <c r="AF1308" s="54" t="s">
        <v>9530</v>
      </c>
      <c r="AL1308" s="60" t="s">
        <v>36</v>
      </c>
      <c r="AN1308" s="4" t="s">
        <v>4506</v>
      </c>
    </row>
    <row r="1309" spans="1:40" ht="60" x14ac:dyDescent="0.2">
      <c r="A1309" s="1" t="s">
        <v>4293</v>
      </c>
      <c r="B1309" s="1" t="s">
        <v>4368</v>
      </c>
      <c r="C1309" s="1" t="s">
        <v>5719</v>
      </c>
      <c r="D1309" s="48">
        <v>25</v>
      </c>
      <c r="E1309" s="1">
        <v>1</v>
      </c>
      <c r="F1309" s="1" t="s">
        <v>4298</v>
      </c>
      <c r="G1309" s="1" t="s">
        <v>2934</v>
      </c>
      <c r="I1309" s="1" t="s">
        <v>125</v>
      </c>
      <c r="M1309" s="18">
        <v>3</v>
      </c>
      <c r="N1309" s="54" t="s">
        <v>9529</v>
      </c>
      <c r="Y1309" s="1" t="s">
        <v>2934</v>
      </c>
      <c r="AA1309" s="1" t="s">
        <v>125</v>
      </c>
      <c r="AE1309" s="1">
        <v>3</v>
      </c>
      <c r="AF1309" s="54" t="s">
        <v>9530</v>
      </c>
      <c r="AL1309" s="60" t="s">
        <v>67</v>
      </c>
      <c r="AN1309" s="4" t="s">
        <v>4369</v>
      </c>
    </row>
    <row r="1310" spans="1:40" ht="60" x14ac:dyDescent="0.2">
      <c r="A1310" s="1" t="s">
        <v>4293</v>
      </c>
      <c r="B1310" s="1" t="s">
        <v>4308</v>
      </c>
      <c r="C1310" s="1" t="s">
        <v>5719</v>
      </c>
      <c r="D1310" s="48">
        <v>26</v>
      </c>
      <c r="E1310" s="1">
        <v>1</v>
      </c>
      <c r="F1310" s="1" t="s">
        <v>4310</v>
      </c>
      <c r="G1310" s="1" t="s">
        <v>9566</v>
      </c>
      <c r="I1310" s="1" t="s">
        <v>125</v>
      </c>
      <c r="M1310" s="18">
        <v>1</v>
      </c>
      <c r="N1310" s="54" t="s">
        <v>9529</v>
      </c>
      <c r="V1310" s="4" t="s">
        <v>4309</v>
      </c>
      <c r="X1310" s="1" t="s">
        <v>1629</v>
      </c>
      <c r="Y1310" s="1" t="s">
        <v>9566</v>
      </c>
      <c r="AA1310" s="1" t="s">
        <v>125</v>
      </c>
      <c r="AE1310" s="1">
        <v>1</v>
      </c>
      <c r="AF1310" s="54" t="s">
        <v>9530</v>
      </c>
      <c r="AL1310" s="60" t="s">
        <v>67</v>
      </c>
      <c r="AN1310" s="4" t="s">
        <v>4311</v>
      </c>
    </row>
    <row r="1311" spans="1:40" ht="36" x14ac:dyDescent="0.2">
      <c r="A1311" s="1" t="s">
        <v>4293</v>
      </c>
      <c r="B1311" s="1" t="s">
        <v>4527</v>
      </c>
      <c r="C1311" s="1" t="s">
        <v>5719</v>
      </c>
      <c r="D1311" s="48">
        <v>27</v>
      </c>
      <c r="E1311" s="1">
        <v>1</v>
      </c>
      <c r="F1311" s="1" t="s">
        <v>4310</v>
      </c>
      <c r="G1311" s="1" t="s">
        <v>9576</v>
      </c>
      <c r="I1311" s="1" t="s">
        <v>125</v>
      </c>
      <c r="M1311" s="18">
        <v>2</v>
      </c>
      <c r="N1311" s="54" t="s">
        <v>9529</v>
      </c>
      <c r="Y1311" s="1" t="s">
        <v>9576</v>
      </c>
      <c r="AA1311" s="1" t="s">
        <v>125</v>
      </c>
      <c r="AE1311" s="1">
        <v>2</v>
      </c>
      <c r="AF1311" s="54" t="s">
        <v>9530</v>
      </c>
      <c r="AL1311" s="60" t="s">
        <v>1982</v>
      </c>
      <c r="AN1311" s="4" t="s">
        <v>4528</v>
      </c>
    </row>
    <row r="1312" spans="1:40" ht="96" x14ac:dyDescent="0.2">
      <c r="A1312" s="1" t="s">
        <v>4293</v>
      </c>
      <c r="B1312" s="1" t="s">
        <v>4373</v>
      </c>
      <c r="C1312" s="1" t="s">
        <v>5719</v>
      </c>
      <c r="D1312" s="48">
        <v>28</v>
      </c>
      <c r="E1312" s="1">
        <v>1</v>
      </c>
      <c r="F1312" s="1" t="s">
        <v>4361</v>
      </c>
      <c r="G1312" s="1" t="s">
        <v>9686</v>
      </c>
      <c r="I1312" s="1" t="s">
        <v>125</v>
      </c>
      <c r="M1312" s="18">
        <v>3</v>
      </c>
      <c r="N1312" s="54" t="s">
        <v>9529</v>
      </c>
      <c r="V1312" s="4" t="s">
        <v>4374</v>
      </c>
      <c r="Y1312" s="1" t="s">
        <v>9686</v>
      </c>
      <c r="AA1312" s="1" t="s">
        <v>125</v>
      </c>
      <c r="AE1312" s="1">
        <v>3</v>
      </c>
      <c r="AF1312" s="54" t="s">
        <v>9530</v>
      </c>
      <c r="AL1312" s="60" t="s">
        <v>122</v>
      </c>
      <c r="AN1312" s="4" t="s">
        <v>4375</v>
      </c>
    </row>
    <row r="1313" spans="1:40" ht="36" x14ac:dyDescent="0.2">
      <c r="A1313" s="1" t="s">
        <v>4293</v>
      </c>
      <c r="B1313" s="1" t="s">
        <v>4491</v>
      </c>
      <c r="C1313" s="1" t="s">
        <v>5719</v>
      </c>
      <c r="D1313" s="48">
        <v>29</v>
      </c>
      <c r="E1313" s="1">
        <v>1</v>
      </c>
      <c r="F1313" s="1" t="s">
        <v>4346</v>
      </c>
      <c r="G1313" s="1" t="s">
        <v>9567</v>
      </c>
      <c r="I1313" s="1" t="s">
        <v>125</v>
      </c>
      <c r="M1313" s="18">
        <v>1</v>
      </c>
      <c r="N1313" s="54" t="s">
        <v>9529</v>
      </c>
      <c r="V1313" s="4" t="s">
        <v>4492</v>
      </c>
      <c r="X1313" s="1" t="s">
        <v>2151</v>
      </c>
      <c r="Y1313" s="1" t="s">
        <v>9567</v>
      </c>
      <c r="AA1313" s="1" t="s">
        <v>125</v>
      </c>
      <c r="AE1313" s="1">
        <v>1</v>
      </c>
      <c r="AF1313" s="54" t="s">
        <v>9530</v>
      </c>
      <c r="AL1313" s="60" t="s">
        <v>5621</v>
      </c>
      <c r="AN1313" s="4" t="s">
        <v>4493</v>
      </c>
    </row>
    <row r="1314" spans="1:40" ht="84" x14ac:dyDescent="0.2">
      <c r="A1314" s="1" t="s">
        <v>4293</v>
      </c>
      <c r="B1314" s="1" t="s">
        <v>4497</v>
      </c>
      <c r="C1314" s="1" t="s">
        <v>5719</v>
      </c>
      <c r="D1314" s="48">
        <v>30</v>
      </c>
      <c r="E1314" s="1">
        <v>1</v>
      </c>
      <c r="F1314" s="1" t="s">
        <v>4346</v>
      </c>
      <c r="G1314" s="1" t="s">
        <v>9626</v>
      </c>
      <c r="I1314" s="1" t="s">
        <v>125</v>
      </c>
      <c r="M1314" s="18">
        <v>2</v>
      </c>
      <c r="N1314" s="54" t="s">
        <v>9529</v>
      </c>
      <c r="V1314" s="4" t="s">
        <v>4498</v>
      </c>
      <c r="Y1314" s="1" t="s">
        <v>9626</v>
      </c>
      <c r="AA1314" s="1" t="s">
        <v>125</v>
      </c>
      <c r="AE1314" s="1">
        <v>2</v>
      </c>
      <c r="AF1314" s="54" t="s">
        <v>9530</v>
      </c>
      <c r="AL1314" s="60" t="s">
        <v>346</v>
      </c>
      <c r="AN1314" s="4" t="s">
        <v>4499</v>
      </c>
    </row>
    <row r="1315" spans="1:40" ht="108" x14ac:dyDescent="0.2">
      <c r="A1315" s="1" t="s">
        <v>4293</v>
      </c>
      <c r="B1315" s="1" t="s">
        <v>4449</v>
      </c>
      <c r="C1315" s="1" t="s">
        <v>5719</v>
      </c>
      <c r="D1315" s="48">
        <v>31</v>
      </c>
      <c r="E1315" s="1">
        <v>1</v>
      </c>
      <c r="F1315" s="1" t="s">
        <v>4346</v>
      </c>
      <c r="G1315" s="1" t="s">
        <v>9687</v>
      </c>
      <c r="I1315" s="1" t="s">
        <v>125</v>
      </c>
      <c r="M1315" s="18">
        <v>3</v>
      </c>
      <c r="N1315" s="54" t="s">
        <v>9529</v>
      </c>
      <c r="Y1315" s="1" t="s">
        <v>9687</v>
      </c>
      <c r="AA1315" s="1" t="s">
        <v>125</v>
      </c>
      <c r="AE1315" s="1">
        <v>3</v>
      </c>
      <c r="AF1315" s="54" t="s">
        <v>9530</v>
      </c>
      <c r="AL1315" s="60" t="s">
        <v>1982</v>
      </c>
      <c r="AN1315" s="4" t="s">
        <v>4450</v>
      </c>
    </row>
    <row r="1316" spans="1:40" ht="84" x14ac:dyDescent="0.2">
      <c r="A1316" s="111" t="s">
        <v>4293</v>
      </c>
      <c r="B1316" s="111" t="s">
        <v>4559</v>
      </c>
      <c r="C1316" s="111" t="s">
        <v>5719</v>
      </c>
      <c r="D1316" s="112">
        <v>32</v>
      </c>
      <c r="E1316" s="111">
        <v>1</v>
      </c>
      <c r="F1316" s="111" t="s">
        <v>4298</v>
      </c>
      <c r="G1316" s="111" t="s">
        <v>4560</v>
      </c>
      <c r="H1316" s="1" t="s">
        <v>26</v>
      </c>
      <c r="I1316" s="1" t="s">
        <v>94</v>
      </c>
      <c r="K1316" s="1" t="s">
        <v>287</v>
      </c>
      <c r="N1316" s="54">
        <v>38</v>
      </c>
      <c r="O1316" s="55">
        <v>3</v>
      </c>
      <c r="Q1316" s="57">
        <v>5</v>
      </c>
      <c r="R1316" s="58">
        <v>2</v>
      </c>
      <c r="S1316" s="59">
        <v>12</v>
      </c>
      <c r="U1316" s="1">
        <v>5</v>
      </c>
      <c r="V1316" s="4" t="s">
        <v>4561</v>
      </c>
      <c r="AL1316" s="60" t="s">
        <v>30</v>
      </c>
    </row>
    <row r="1317" spans="1:40" ht="84" x14ac:dyDescent="0.2">
      <c r="A1317" s="1" t="s">
        <v>4293</v>
      </c>
      <c r="B1317" s="1" t="s">
        <v>4338</v>
      </c>
      <c r="C1317" s="1" t="s">
        <v>5719</v>
      </c>
      <c r="D1317" s="48">
        <v>33</v>
      </c>
      <c r="E1317" s="1">
        <v>1</v>
      </c>
      <c r="F1317" s="1" t="s">
        <v>4298</v>
      </c>
      <c r="G1317" s="1" t="s">
        <v>4339</v>
      </c>
      <c r="H1317" s="1" t="s">
        <v>26</v>
      </c>
      <c r="I1317" s="1" t="s">
        <v>94</v>
      </c>
      <c r="K1317" s="1" t="s">
        <v>287</v>
      </c>
      <c r="N1317" s="54">
        <v>23</v>
      </c>
      <c r="O1317" s="55">
        <v>3</v>
      </c>
      <c r="Q1317" s="57">
        <v>5</v>
      </c>
      <c r="R1317" s="58">
        <v>2</v>
      </c>
      <c r="S1317" s="59">
        <v>10</v>
      </c>
      <c r="U1317" s="1">
        <v>3</v>
      </c>
      <c r="V1317" s="4" t="s">
        <v>4340</v>
      </c>
      <c r="AL1317" s="60" t="s">
        <v>30</v>
      </c>
    </row>
    <row r="1318" spans="1:40" ht="84" x14ac:dyDescent="0.2">
      <c r="A1318" s="1" t="s">
        <v>4293</v>
      </c>
      <c r="B1318" s="1" t="s">
        <v>4536</v>
      </c>
      <c r="C1318" s="1" t="s">
        <v>5719</v>
      </c>
      <c r="D1318" s="48">
        <v>34</v>
      </c>
      <c r="E1318" s="1">
        <v>1</v>
      </c>
      <c r="F1318" s="1" t="s">
        <v>4298</v>
      </c>
      <c r="G1318" s="1" t="s">
        <v>4537</v>
      </c>
      <c r="H1318" s="1" t="s">
        <v>26</v>
      </c>
      <c r="I1318" s="1" t="s">
        <v>94</v>
      </c>
      <c r="K1318" s="1" t="s">
        <v>287</v>
      </c>
      <c r="N1318" s="54">
        <v>33</v>
      </c>
      <c r="O1318" s="55">
        <v>3</v>
      </c>
      <c r="Q1318" s="57">
        <v>5</v>
      </c>
      <c r="R1318" s="58">
        <v>2</v>
      </c>
      <c r="S1318" s="59">
        <v>11</v>
      </c>
      <c r="U1318" s="1">
        <v>4</v>
      </c>
      <c r="V1318" s="4" t="s">
        <v>4538</v>
      </c>
      <c r="AL1318" s="60" t="s">
        <v>30</v>
      </c>
    </row>
    <row r="1319" spans="1:40" ht="24" x14ac:dyDescent="0.2">
      <c r="A1319" s="1" t="s">
        <v>4293</v>
      </c>
      <c r="B1319" s="1" t="s">
        <v>4318</v>
      </c>
      <c r="C1319" s="1" t="s">
        <v>5719</v>
      </c>
      <c r="D1319" s="48">
        <v>35</v>
      </c>
      <c r="E1319" s="1">
        <v>3</v>
      </c>
      <c r="F1319" s="1" t="s">
        <v>4322</v>
      </c>
      <c r="G1319" s="1" t="s">
        <v>4319</v>
      </c>
      <c r="I1319" s="1" t="s">
        <v>94</v>
      </c>
      <c r="K1319" s="1" t="s">
        <v>95</v>
      </c>
      <c r="N1319" s="54">
        <v>25</v>
      </c>
      <c r="O1319" s="55">
        <v>1</v>
      </c>
      <c r="Q1319" s="57">
        <v>1</v>
      </c>
      <c r="R1319" s="58">
        <v>1</v>
      </c>
      <c r="S1319" s="59">
        <v>1</v>
      </c>
      <c r="V1319" s="4" t="s">
        <v>4320</v>
      </c>
      <c r="W1319" s="4" t="s">
        <v>4321</v>
      </c>
      <c r="AL1319" s="60" t="s">
        <v>30</v>
      </c>
    </row>
    <row r="1320" spans="1:40" ht="84" x14ac:dyDescent="0.2">
      <c r="A1320" s="1" t="s">
        <v>4293</v>
      </c>
      <c r="B1320" s="1" t="s">
        <v>4539</v>
      </c>
      <c r="C1320" s="1" t="s">
        <v>5719</v>
      </c>
      <c r="D1320" s="48">
        <v>36</v>
      </c>
      <c r="E1320" s="1">
        <v>3</v>
      </c>
      <c r="F1320" s="1" t="s">
        <v>4298</v>
      </c>
      <c r="G1320" s="1" t="s">
        <v>4540</v>
      </c>
      <c r="I1320" s="1" t="s">
        <v>104</v>
      </c>
      <c r="K1320" s="1" t="s">
        <v>4541</v>
      </c>
      <c r="O1320" s="55">
        <v>3</v>
      </c>
      <c r="T1320" s="60">
        <v>3</v>
      </c>
      <c r="V1320" s="4" t="s">
        <v>4542</v>
      </c>
      <c r="AL1320" s="60" t="s">
        <v>30</v>
      </c>
    </row>
    <row r="1321" spans="1:40" ht="36" x14ac:dyDescent="0.2">
      <c r="A1321" s="1" t="s">
        <v>4293</v>
      </c>
      <c r="B1321" s="1" t="s">
        <v>4543</v>
      </c>
      <c r="C1321" s="1" t="s">
        <v>5719</v>
      </c>
      <c r="D1321" s="48">
        <v>37</v>
      </c>
      <c r="E1321" s="1">
        <v>1</v>
      </c>
      <c r="F1321" s="1" t="s">
        <v>4298</v>
      </c>
      <c r="G1321" s="1" t="s">
        <v>4544</v>
      </c>
      <c r="I1321" s="1" t="s">
        <v>104</v>
      </c>
      <c r="K1321" s="1" t="s">
        <v>4545</v>
      </c>
      <c r="L1321" s="2" t="s">
        <v>331</v>
      </c>
      <c r="O1321" s="55">
        <v>2</v>
      </c>
      <c r="T1321" s="60">
        <v>4</v>
      </c>
      <c r="U1321" s="1">
        <v>2</v>
      </c>
      <c r="V1321" s="4" t="s">
        <v>4546</v>
      </c>
      <c r="AL1321" s="60" t="s">
        <v>30</v>
      </c>
    </row>
    <row r="1322" spans="1:40" ht="24" x14ac:dyDescent="0.2">
      <c r="A1322" s="1" t="s">
        <v>4293</v>
      </c>
      <c r="B1322" s="1" t="s">
        <v>4441</v>
      </c>
      <c r="C1322" s="1" t="s">
        <v>5719</v>
      </c>
      <c r="D1322" s="48">
        <v>38</v>
      </c>
      <c r="E1322" s="1">
        <v>2</v>
      </c>
      <c r="F1322" s="1" t="s">
        <v>4298</v>
      </c>
      <c r="G1322" s="1" t="s">
        <v>4442</v>
      </c>
      <c r="I1322" s="1" t="s">
        <v>104</v>
      </c>
      <c r="K1322" s="1" t="s">
        <v>4355</v>
      </c>
      <c r="O1322" s="55">
        <v>1</v>
      </c>
      <c r="T1322" s="60">
        <v>1</v>
      </c>
      <c r="V1322" s="4" t="s">
        <v>4443</v>
      </c>
      <c r="W1322" s="4" t="s">
        <v>4444</v>
      </c>
      <c r="AL1322" s="60" t="s">
        <v>30</v>
      </c>
    </row>
    <row r="1323" spans="1:40" ht="60" x14ac:dyDescent="0.2">
      <c r="A1323" s="1" t="s">
        <v>4293</v>
      </c>
      <c r="B1323" s="1" t="s">
        <v>4376</v>
      </c>
      <c r="C1323" s="1" t="s">
        <v>5719</v>
      </c>
      <c r="D1323" s="48">
        <v>39</v>
      </c>
      <c r="E1323" s="1">
        <v>2</v>
      </c>
      <c r="F1323" s="1" t="s">
        <v>4322</v>
      </c>
      <c r="G1323" s="1" t="s">
        <v>4377</v>
      </c>
      <c r="I1323" s="1" t="s">
        <v>104</v>
      </c>
      <c r="K1323" s="1" t="s">
        <v>4355</v>
      </c>
      <c r="O1323" s="55">
        <v>3</v>
      </c>
      <c r="T1323" s="60">
        <v>2</v>
      </c>
      <c r="V1323" s="4" t="s">
        <v>4378</v>
      </c>
      <c r="AL1323" s="60" t="s">
        <v>30</v>
      </c>
    </row>
    <row r="1324" spans="1:40" ht="72" x14ac:dyDescent="0.2">
      <c r="A1324" s="1" t="s">
        <v>4293</v>
      </c>
      <c r="B1324" s="1" t="s">
        <v>4464</v>
      </c>
      <c r="C1324" s="1" t="s">
        <v>5719</v>
      </c>
      <c r="D1324" s="48">
        <v>40</v>
      </c>
      <c r="E1324" s="1">
        <v>2</v>
      </c>
      <c r="F1324" s="1" t="s">
        <v>4322</v>
      </c>
      <c r="G1324" s="1" t="s">
        <v>4465</v>
      </c>
      <c r="I1324" s="1" t="s">
        <v>104</v>
      </c>
      <c r="K1324" s="1" t="s">
        <v>4355</v>
      </c>
      <c r="O1324" s="55">
        <v>2</v>
      </c>
      <c r="T1324" s="60">
        <v>3</v>
      </c>
      <c r="V1324" s="4" t="s">
        <v>4466</v>
      </c>
      <c r="AL1324" s="60" t="s">
        <v>30</v>
      </c>
    </row>
    <row r="1325" spans="1:40" ht="48" x14ac:dyDescent="0.2">
      <c r="A1325" s="1" t="s">
        <v>4293</v>
      </c>
      <c r="B1325" s="1" t="s">
        <v>4353</v>
      </c>
      <c r="C1325" s="1" t="s">
        <v>5719</v>
      </c>
      <c r="D1325" s="48">
        <v>41</v>
      </c>
      <c r="E1325" s="1">
        <v>2</v>
      </c>
      <c r="F1325" s="1" t="s">
        <v>4322</v>
      </c>
      <c r="G1325" s="1" t="s">
        <v>4354</v>
      </c>
      <c r="I1325" s="1" t="s">
        <v>104</v>
      </c>
      <c r="K1325" s="1" t="s">
        <v>4355</v>
      </c>
      <c r="O1325" s="55">
        <v>1</v>
      </c>
      <c r="T1325" s="60">
        <v>3</v>
      </c>
      <c r="V1325" s="4" t="s">
        <v>4356</v>
      </c>
      <c r="AL1325" s="60" t="s">
        <v>30</v>
      </c>
    </row>
    <row r="1326" spans="1:40" ht="84" x14ac:dyDescent="0.2">
      <c r="A1326" s="1" t="s">
        <v>4293</v>
      </c>
      <c r="B1326" s="1" t="s">
        <v>4550</v>
      </c>
      <c r="C1326" s="1" t="s">
        <v>5719</v>
      </c>
      <c r="D1326" s="48">
        <v>42</v>
      </c>
      <c r="E1326" s="1">
        <v>1</v>
      </c>
      <c r="F1326" s="1" t="s">
        <v>4298</v>
      </c>
      <c r="G1326" s="1" t="s">
        <v>4551</v>
      </c>
      <c r="H1326" s="1" t="s">
        <v>26</v>
      </c>
      <c r="I1326" s="1" t="s">
        <v>88</v>
      </c>
      <c r="K1326" s="1" t="s">
        <v>89</v>
      </c>
      <c r="V1326" s="4" t="s">
        <v>4552</v>
      </c>
      <c r="AL1326" s="60" t="s">
        <v>30</v>
      </c>
    </row>
    <row r="1327" spans="1:40" ht="84" x14ac:dyDescent="0.2">
      <c r="A1327" s="1" t="s">
        <v>4293</v>
      </c>
      <c r="B1327" s="1" t="s">
        <v>4547</v>
      </c>
      <c r="C1327" s="1" t="s">
        <v>5719</v>
      </c>
      <c r="D1327" s="48">
        <v>43</v>
      </c>
      <c r="E1327" s="1">
        <v>1</v>
      </c>
      <c r="F1327" s="1" t="s">
        <v>4298</v>
      </c>
      <c r="G1327" s="1" t="s">
        <v>4548</v>
      </c>
      <c r="H1327" s="1" t="s">
        <v>26</v>
      </c>
      <c r="I1327" s="1" t="s">
        <v>88</v>
      </c>
      <c r="K1327" s="1" t="s">
        <v>89</v>
      </c>
      <c r="V1327" s="4" t="s">
        <v>4549</v>
      </c>
      <c r="AL1327" s="60" t="s">
        <v>30</v>
      </c>
    </row>
    <row r="1328" spans="1:40" ht="72" x14ac:dyDescent="0.2">
      <c r="A1328" s="1" t="s">
        <v>4293</v>
      </c>
      <c r="B1328" s="1" t="s">
        <v>4312</v>
      </c>
      <c r="C1328" s="1" t="s">
        <v>5719</v>
      </c>
      <c r="D1328" s="48">
        <v>44</v>
      </c>
      <c r="E1328" s="1">
        <v>1</v>
      </c>
      <c r="F1328" s="1" t="s">
        <v>4298</v>
      </c>
      <c r="G1328" s="1" t="s">
        <v>4313</v>
      </c>
      <c r="I1328" s="1" t="s">
        <v>88</v>
      </c>
      <c r="J1328" s="1" t="s">
        <v>3422</v>
      </c>
      <c r="K1328" s="1" t="s">
        <v>4296</v>
      </c>
      <c r="V1328" s="4" t="s">
        <v>4314</v>
      </c>
      <c r="AL1328" s="60" t="s">
        <v>30</v>
      </c>
    </row>
    <row r="1329" spans="1:47" ht="72" x14ac:dyDescent="0.2">
      <c r="A1329" s="1" t="s">
        <v>4293</v>
      </c>
      <c r="B1329" s="1" t="s">
        <v>4315</v>
      </c>
      <c r="C1329" s="1" t="s">
        <v>5719</v>
      </c>
      <c r="D1329" s="48">
        <v>45</v>
      </c>
      <c r="E1329" s="1">
        <v>1</v>
      </c>
      <c r="F1329" s="1" t="s">
        <v>4298</v>
      </c>
      <c r="G1329" s="1" t="s">
        <v>4316</v>
      </c>
      <c r="I1329" s="1" t="s">
        <v>88</v>
      </c>
      <c r="J1329" s="1" t="s">
        <v>3422</v>
      </c>
      <c r="K1329" s="1" t="s">
        <v>4296</v>
      </c>
      <c r="V1329" s="4" t="s">
        <v>4317</v>
      </c>
      <c r="AL1329" s="60" t="s">
        <v>30</v>
      </c>
      <c r="AU1329" s="1" t="s">
        <v>6260</v>
      </c>
    </row>
    <row r="1330" spans="1:47" ht="72" x14ac:dyDescent="0.2">
      <c r="A1330" s="1" t="s">
        <v>4293</v>
      </c>
      <c r="B1330" s="1" t="s">
        <v>4323</v>
      </c>
      <c r="C1330" s="1" t="s">
        <v>5719</v>
      </c>
      <c r="D1330" s="48">
        <v>46</v>
      </c>
      <c r="E1330" s="1">
        <v>1</v>
      </c>
      <c r="F1330" s="1" t="s">
        <v>4298</v>
      </c>
      <c r="G1330" s="1" t="s">
        <v>4324</v>
      </c>
      <c r="I1330" s="1" t="s">
        <v>88</v>
      </c>
      <c r="J1330" s="1" t="s">
        <v>3422</v>
      </c>
      <c r="K1330" s="1" t="s">
        <v>4296</v>
      </c>
      <c r="V1330" s="4" t="s">
        <v>4325</v>
      </c>
      <c r="AL1330" s="60" t="s">
        <v>30</v>
      </c>
    </row>
    <row r="1331" spans="1:47" ht="72" x14ac:dyDescent="0.2">
      <c r="A1331" s="1" t="s">
        <v>4293</v>
      </c>
      <c r="B1331" s="1" t="s">
        <v>4302</v>
      </c>
      <c r="C1331" s="1" t="s">
        <v>5719</v>
      </c>
      <c r="D1331" s="48">
        <v>47</v>
      </c>
      <c r="E1331" s="1">
        <v>1</v>
      </c>
      <c r="F1331" s="1" t="s">
        <v>4298</v>
      </c>
      <c r="G1331" s="1" t="s">
        <v>4303</v>
      </c>
      <c r="I1331" s="1" t="s">
        <v>88</v>
      </c>
      <c r="J1331" s="1" t="s">
        <v>3422</v>
      </c>
      <c r="K1331" s="1" t="s">
        <v>4296</v>
      </c>
      <c r="V1331" s="4" t="s">
        <v>4304</v>
      </c>
      <c r="AL1331" s="60" t="s">
        <v>30</v>
      </c>
    </row>
    <row r="1332" spans="1:47" ht="72" x14ac:dyDescent="0.2">
      <c r="A1332" s="1" t="s">
        <v>4293</v>
      </c>
      <c r="B1332" s="1" t="s">
        <v>4294</v>
      </c>
      <c r="C1332" s="1" t="s">
        <v>5719</v>
      </c>
      <c r="D1332" s="48">
        <v>48</v>
      </c>
      <c r="E1332" s="1">
        <v>1</v>
      </c>
      <c r="F1332" s="1" t="s">
        <v>4298</v>
      </c>
      <c r="G1332" s="1" t="s">
        <v>4295</v>
      </c>
      <c r="I1332" s="1" t="s">
        <v>88</v>
      </c>
      <c r="J1332" s="1" t="s">
        <v>3422</v>
      </c>
      <c r="K1332" s="1" t="s">
        <v>4296</v>
      </c>
      <c r="V1332" s="4" t="s">
        <v>4297</v>
      </c>
      <c r="AL1332" s="60" t="s">
        <v>30</v>
      </c>
    </row>
    <row r="1333" spans="1:47" ht="72" x14ac:dyDescent="0.2">
      <c r="A1333" s="1" t="s">
        <v>4293</v>
      </c>
      <c r="B1333" s="1" t="s">
        <v>4299</v>
      </c>
      <c r="C1333" s="1" t="s">
        <v>5719</v>
      </c>
      <c r="D1333" s="48">
        <v>49</v>
      </c>
      <c r="E1333" s="1">
        <v>1</v>
      </c>
      <c r="F1333" s="1" t="s">
        <v>4298</v>
      </c>
      <c r="G1333" s="1" t="s">
        <v>4300</v>
      </c>
      <c r="I1333" s="1" t="s">
        <v>88</v>
      </c>
      <c r="J1333" s="1" t="s">
        <v>3422</v>
      </c>
      <c r="K1333" s="1" t="s">
        <v>4296</v>
      </c>
      <c r="V1333" s="4" t="s">
        <v>4301</v>
      </c>
      <c r="AL1333" s="60" t="s">
        <v>30</v>
      </c>
    </row>
    <row r="1334" spans="1:47" ht="72" x14ac:dyDescent="0.2">
      <c r="A1334" s="1" t="s">
        <v>4293</v>
      </c>
      <c r="B1334" s="1" t="s">
        <v>4329</v>
      </c>
      <c r="C1334" s="1" t="s">
        <v>5719</v>
      </c>
      <c r="D1334" s="48">
        <v>50</v>
      </c>
      <c r="E1334" s="1">
        <v>1</v>
      </c>
      <c r="F1334" s="1" t="s">
        <v>4298</v>
      </c>
      <c r="G1334" s="1" t="s">
        <v>4330</v>
      </c>
      <c r="I1334" s="1" t="s">
        <v>88</v>
      </c>
      <c r="J1334" s="1" t="s">
        <v>3422</v>
      </c>
      <c r="K1334" s="1" t="s">
        <v>4296</v>
      </c>
      <c r="V1334" s="4" t="s">
        <v>4331</v>
      </c>
      <c r="AL1334" s="60" t="s">
        <v>30</v>
      </c>
    </row>
    <row r="1335" spans="1:47" ht="36" x14ac:dyDescent="0.2">
      <c r="A1335" s="1" t="s">
        <v>4293</v>
      </c>
      <c r="B1335" s="1" t="s">
        <v>4467</v>
      </c>
      <c r="C1335" s="1" t="s">
        <v>5719</v>
      </c>
      <c r="D1335" s="48">
        <v>51</v>
      </c>
      <c r="E1335" s="1">
        <v>3</v>
      </c>
      <c r="F1335" s="1" t="s">
        <v>4298</v>
      </c>
      <c r="G1335" s="1" t="s">
        <v>4468</v>
      </c>
      <c r="I1335" s="1" t="s">
        <v>82</v>
      </c>
      <c r="V1335" s="4" t="s">
        <v>4469</v>
      </c>
      <c r="W1335" s="4" t="s">
        <v>4470</v>
      </c>
      <c r="AL1335" s="60" t="s">
        <v>30</v>
      </c>
    </row>
    <row r="1336" spans="1:47" ht="36" x14ac:dyDescent="0.2">
      <c r="A1336" s="1" t="s">
        <v>4293</v>
      </c>
      <c r="B1336" s="1" t="s">
        <v>4305</v>
      </c>
      <c r="C1336" s="1" t="s">
        <v>5719</v>
      </c>
      <c r="D1336" s="48">
        <v>52</v>
      </c>
      <c r="E1336" s="1">
        <v>2</v>
      </c>
      <c r="F1336" s="1" t="s">
        <v>4298</v>
      </c>
      <c r="G1336" s="1" t="s">
        <v>4306</v>
      </c>
      <c r="I1336" s="1" t="s">
        <v>82</v>
      </c>
      <c r="L1336" s="2" t="s">
        <v>685</v>
      </c>
      <c r="V1336" s="4" t="s">
        <v>4307</v>
      </c>
      <c r="W1336" s="4" t="s">
        <v>3519</v>
      </c>
      <c r="AL1336" s="60" t="s">
        <v>30</v>
      </c>
    </row>
    <row r="1337" spans="1:47" ht="24" x14ac:dyDescent="0.2">
      <c r="A1337" s="1" t="s">
        <v>4293</v>
      </c>
      <c r="B1337" s="1" t="s">
        <v>4500</v>
      </c>
      <c r="C1337" s="1" t="s">
        <v>5719</v>
      </c>
      <c r="D1337" s="48">
        <v>53</v>
      </c>
      <c r="E1337" s="1">
        <v>3</v>
      </c>
      <c r="F1337" s="1" t="s">
        <v>4298</v>
      </c>
      <c r="G1337" s="1" t="s">
        <v>4501</v>
      </c>
      <c r="I1337" s="1" t="s">
        <v>82</v>
      </c>
      <c r="V1337" s="4" t="s">
        <v>4502</v>
      </c>
      <c r="W1337" s="4" t="s">
        <v>4503</v>
      </c>
      <c r="AL1337" s="60" t="s">
        <v>30</v>
      </c>
    </row>
    <row r="1338" spans="1:47" ht="36" x14ac:dyDescent="0.2">
      <c r="A1338" s="1" t="s">
        <v>4293</v>
      </c>
      <c r="B1338" s="1" t="s">
        <v>4445</v>
      </c>
      <c r="C1338" s="1" t="s">
        <v>5719</v>
      </c>
      <c r="D1338" s="48">
        <v>54</v>
      </c>
      <c r="E1338" s="1">
        <v>3</v>
      </c>
      <c r="F1338" s="1" t="s">
        <v>4298</v>
      </c>
      <c r="G1338" s="1" t="s">
        <v>4446</v>
      </c>
      <c r="I1338" s="1" t="s">
        <v>82</v>
      </c>
      <c r="V1338" s="4" t="s">
        <v>4447</v>
      </c>
      <c r="W1338" s="4" t="s">
        <v>4448</v>
      </c>
      <c r="AL1338" s="60" t="s">
        <v>30</v>
      </c>
    </row>
    <row r="1339" spans="1:47" ht="36" x14ac:dyDescent="0.2">
      <c r="A1339" s="1" t="s">
        <v>4293</v>
      </c>
      <c r="B1339" s="1" t="s">
        <v>4475</v>
      </c>
      <c r="C1339" s="1" t="s">
        <v>5719</v>
      </c>
      <c r="D1339" s="48">
        <v>55</v>
      </c>
      <c r="E1339" s="1">
        <v>2</v>
      </c>
      <c r="F1339" s="1" t="s">
        <v>4322</v>
      </c>
      <c r="G1339" s="1" t="s">
        <v>4476</v>
      </c>
      <c r="I1339" s="1" t="s">
        <v>82</v>
      </c>
      <c r="L1339" s="2" t="s">
        <v>685</v>
      </c>
      <c r="V1339" s="4" t="s">
        <v>4477</v>
      </c>
      <c r="W1339" s="4" t="s">
        <v>4478</v>
      </c>
      <c r="AL1339" s="60" t="s">
        <v>30</v>
      </c>
    </row>
    <row r="1340" spans="1:47" ht="24" x14ac:dyDescent="0.2">
      <c r="A1340" s="1" t="s">
        <v>4293</v>
      </c>
      <c r="B1340" s="1" t="s">
        <v>4562</v>
      </c>
      <c r="C1340" s="1" t="s">
        <v>5719</v>
      </c>
      <c r="D1340" s="48">
        <v>56</v>
      </c>
      <c r="E1340" s="1">
        <v>2</v>
      </c>
      <c r="F1340" s="1" t="s">
        <v>4322</v>
      </c>
      <c r="G1340" s="1" t="s">
        <v>4563</v>
      </c>
      <c r="I1340" s="1" t="s">
        <v>82</v>
      </c>
      <c r="V1340" s="4" t="s">
        <v>4564</v>
      </c>
      <c r="W1340" s="4" t="s">
        <v>4565</v>
      </c>
      <c r="AL1340" s="60" t="s">
        <v>30</v>
      </c>
    </row>
    <row r="1341" spans="1:47" x14ac:dyDescent="0.2">
      <c r="A1341" s="1" t="s">
        <v>4293</v>
      </c>
      <c r="B1341" s="1" t="s">
        <v>4471</v>
      </c>
      <c r="C1341" s="1" t="s">
        <v>5719</v>
      </c>
      <c r="D1341" s="48">
        <v>57</v>
      </c>
      <c r="E1341" s="1">
        <v>1</v>
      </c>
      <c r="F1341" s="1" t="s">
        <v>4322</v>
      </c>
      <c r="G1341" s="1" t="s">
        <v>4472</v>
      </c>
      <c r="I1341" s="1" t="s">
        <v>82</v>
      </c>
      <c r="V1341" s="4" t="s">
        <v>4473</v>
      </c>
      <c r="W1341" s="4" t="s">
        <v>4474</v>
      </c>
      <c r="AL1341" s="60" t="s">
        <v>30</v>
      </c>
    </row>
    <row r="1342" spans="1:47" x14ac:dyDescent="0.2">
      <c r="A1342" s="111" t="s">
        <v>4293</v>
      </c>
      <c r="B1342" s="111" t="s">
        <v>4401</v>
      </c>
      <c r="C1342" s="111" t="s">
        <v>5719</v>
      </c>
      <c r="D1342" s="112">
        <v>58</v>
      </c>
      <c r="E1342" s="111">
        <v>3</v>
      </c>
      <c r="F1342" s="111" t="s">
        <v>713</v>
      </c>
      <c r="G1342" s="111" t="s">
        <v>4402</v>
      </c>
      <c r="I1342" s="1" t="s">
        <v>94</v>
      </c>
      <c r="K1342" s="1" t="s">
        <v>604</v>
      </c>
      <c r="N1342" s="54">
        <v>25</v>
      </c>
      <c r="O1342" s="55">
        <v>2</v>
      </c>
      <c r="Q1342" s="57">
        <v>1</v>
      </c>
      <c r="R1342" s="58">
        <v>2</v>
      </c>
      <c r="S1342" s="59">
        <v>2</v>
      </c>
      <c r="V1342" s="4" t="s">
        <v>4403</v>
      </c>
      <c r="W1342" s="4" t="s">
        <v>4404</v>
      </c>
      <c r="AL1342" s="60" t="s">
        <v>30</v>
      </c>
    </row>
    <row r="1343" spans="1:47" x14ac:dyDescent="0.2">
      <c r="A1343" s="1" t="s">
        <v>4293</v>
      </c>
      <c r="B1343" s="1" t="s">
        <v>4413</v>
      </c>
      <c r="C1343" s="1" t="s">
        <v>5719</v>
      </c>
      <c r="D1343" s="48">
        <v>59</v>
      </c>
      <c r="E1343" s="1">
        <v>3</v>
      </c>
      <c r="F1343" s="1" t="s">
        <v>713</v>
      </c>
      <c r="G1343" s="1" t="s">
        <v>4414</v>
      </c>
      <c r="I1343" s="1" t="s">
        <v>94</v>
      </c>
      <c r="K1343" s="1" t="s">
        <v>604</v>
      </c>
      <c r="N1343" s="54">
        <v>25</v>
      </c>
      <c r="O1343" s="55">
        <v>2</v>
      </c>
      <c r="Q1343" s="57">
        <v>2</v>
      </c>
      <c r="R1343" s="58">
        <v>0</v>
      </c>
      <c r="S1343" s="59">
        <v>2</v>
      </c>
      <c r="V1343" s="4" t="s">
        <v>4415</v>
      </c>
      <c r="W1343" s="4" t="s">
        <v>4416</v>
      </c>
      <c r="AL1343" s="60" t="s">
        <v>30</v>
      </c>
    </row>
    <row r="1344" spans="1:47" ht="36" x14ac:dyDescent="0.2">
      <c r="A1344" s="1" t="s">
        <v>4293</v>
      </c>
      <c r="B1344" s="1" t="s">
        <v>4417</v>
      </c>
      <c r="C1344" s="1" t="s">
        <v>5719</v>
      </c>
      <c r="D1344" s="48">
        <v>60</v>
      </c>
      <c r="E1344" s="1">
        <v>3</v>
      </c>
      <c r="F1344" s="1" t="s">
        <v>713</v>
      </c>
      <c r="G1344" s="1" t="s">
        <v>4418</v>
      </c>
      <c r="I1344" s="1" t="s">
        <v>94</v>
      </c>
      <c r="K1344" s="1" t="s">
        <v>604</v>
      </c>
      <c r="L1344" s="2" t="s">
        <v>155</v>
      </c>
      <c r="N1344" s="54">
        <v>20</v>
      </c>
      <c r="O1344" s="55">
        <v>1</v>
      </c>
      <c r="Q1344" s="57">
        <v>3</v>
      </c>
      <c r="R1344" s="58">
        <v>1</v>
      </c>
      <c r="S1344" s="59">
        <v>2</v>
      </c>
      <c r="W1344" s="4" t="s">
        <v>4419</v>
      </c>
      <c r="AL1344" s="60" t="s">
        <v>30</v>
      </c>
    </row>
    <row r="1345" spans="1:47" x14ac:dyDescent="0.2">
      <c r="A1345" s="1" t="s">
        <v>4293</v>
      </c>
      <c r="B1345" s="1" t="s">
        <v>4409</v>
      </c>
      <c r="C1345" s="1" t="s">
        <v>5719</v>
      </c>
      <c r="D1345" s="48">
        <v>61</v>
      </c>
      <c r="E1345" s="1">
        <v>3</v>
      </c>
      <c r="F1345" s="1" t="s">
        <v>713</v>
      </c>
      <c r="G1345" s="1" t="s">
        <v>4410</v>
      </c>
      <c r="I1345" s="1" t="s">
        <v>94</v>
      </c>
      <c r="K1345" s="1" t="s">
        <v>604</v>
      </c>
      <c r="N1345" s="54">
        <v>30</v>
      </c>
      <c r="O1345" s="55">
        <v>3</v>
      </c>
      <c r="Q1345" s="57">
        <v>2</v>
      </c>
      <c r="R1345" s="58">
        <v>2</v>
      </c>
      <c r="S1345" s="59">
        <v>3</v>
      </c>
      <c r="V1345" s="4" t="s">
        <v>4411</v>
      </c>
      <c r="W1345" s="4" t="s">
        <v>4412</v>
      </c>
      <c r="AL1345" s="60" t="s">
        <v>30</v>
      </c>
    </row>
    <row r="1346" spans="1:47" ht="24" x14ac:dyDescent="0.2">
      <c r="A1346" s="1" t="s">
        <v>4293</v>
      </c>
      <c r="B1346" s="1" t="s">
        <v>4405</v>
      </c>
      <c r="C1346" s="1" t="s">
        <v>5719</v>
      </c>
      <c r="D1346" s="48">
        <v>62</v>
      </c>
      <c r="E1346" s="1">
        <v>4</v>
      </c>
      <c r="F1346" s="1" t="s">
        <v>4361</v>
      </c>
      <c r="G1346" s="1" t="s">
        <v>4406</v>
      </c>
      <c r="I1346" s="1" t="s">
        <v>94</v>
      </c>
      <c r="K1346" s="1" t="s">
        <v>604</v>
      </c>
      <c r="N1346" s="54">
        <v>33</v>
      </c>
      <c r="O1346" s="55">
        <v>2</v>
      </c>
      <c r="Q1346" s="57">
        <v>3</v>
      </c>
      <c r="R1346" s="58">
        <v>2</v>
      </c>
      <c r="S1346" s="59">
        <v>3</v>
      </c>
      <c r="V1346" s="4" t="s">
        <v>4407</v>
      </c>
      <c r="W1346" s="4" t="s">
        <v>4408</v>
      </c>
      <c r="AL1346" s="60" t="s">
        <v>30</v>
      </c>
    </row>
    <row r="1347" spans="1:47" ht="36" x14ac:dyDescent="0.2">
      <c r="A1347" s="1" t="s">
        <v>4293</v>
      </c>
      <c r="B1347" s="1" t="s">
        <v>4522</v>
      </c>
      <c r="C1347" s="1" t="s">
        <v>5719</v>
      </c>
      <c r="D1347" s="48">
        <v>63</v>
      </c>
      <c r="E1347" s="1">
        <v>1</v>
      </c>
      <c r="F1347" s="1" t="s">
        <v>4361</v>
      </c>
      <c r="G1347" s="1" t="s">
        <v>4361</v>
      </c>
      <c r="H1347" s="1" t="s">
        <v>26</v>
      </c>
      <c r="I1347" s="1" t="s">
        <v>94</v>
      </c>
      <c r="K1347" s="1" t="s">
        <v>604</v>
      </c>
      <c r="N1347" s="54">
        <v>15</v>
      </c>
      <c r="O1347" s="55">
        <v>3</v>
      </c>
      <c r="Q1347" s="57">
        <v>5</v>
      </c>
      <c r="R1347" s="58">
        <v>2</v>
      </c>
      <c r="S1347" s="59">
        <v>8</v>
      </c>
      <c r="U1347" s="1">
        <v>3</v>
      </c>
      <c r="V1347" s="4" t="s">
        <v>4523</v>
      </c>
      <c r="AL1347" s="60" t="s">
        <v>30</v>
      </c>
    </row>
    <row r="1348" spans="1:47" ht="60" x14ac:dyDescent="0.2">
      <c r="A1348" s="1" t="s">
        <v>4293</v>
      </c>
      <c r="B1348" s="1" t="s">
        <v>4514</v>
      </c>
      <c r="C1348" s="1" t="s">
        <v>5719</v>
      </c>
      <c r="D1348" s="48">
        <v>64</v>
      </c>
      <c r="E1348" s="1">
        <v>3</v>
      </c>
      <c r="F1348" s="1" t="s">
        <v>4310</v>
      </c>
      <c r="G1348" s="1" t="s">
        <v>4515</v>
      </c>
      <c r="I1348" s="1" t="s">
        <v>94</v>
      </c>
      <c r="K1348" s="1" t="s">
        <v>4516</v>
      </c>
      <c r="N1348" s="54">
        <v>40</v>
      </c>
      <c r="O1348" s="55">
        <v>4</v>
      </c>
      <c r="Q1348" s="57">
        <v>6</v>
      </c>
      <c r="R1348" s="58">
        <v>3</v>
      </c>
      <c r="S1348" s="59">
        <v>9</v>
      </c>
      <c r="V1348" s="4" t="s">
        <v>4517</v>
      </c>
      <c r="AL1348" s="60" t="s">
        <v>30</v>
      </c>
      <c r="AU1348" s="1" t="s">
        <v>6261</v>
      </c>
    </row>
    <row r="1349" spans="1:47" ht="24" x14ac:dyDescent="0.2">
      <c r="A1349" s="1" t="s">
        <v>4293</v>
      </c>
      <c r="B1349" s="1" t="s">
        <v>4518</v>
      </c>
      <c r="C1349" s="1" t="s">
        <v>5719</v>
      </c>
      <c r="D1349" s="48">
        <v>65</v>
      </c>
      <c r="E1349" s="1">
        <v>3</v>
      </c>
      <c r="F1349" s="1" t="s">
        <v>713</v>
      </c>
      <c r="G1349" s="1" t="s">
        <v>4519</v>
      </c>
      <c r="I1349" s="1" t="s">
        <v>104</v>
      </c>
      <c r="K1349" s="1" t="s">
        <v>1762</v>
      </c>
      <c r="O1349" s="55">
        <v>3</v>
      </c>
      <c r="T1349" s="60">
        <v>3</v>
      </c>
      <c r="V1349" s="4" t="s">
        <v>4520</v>
      </c>
      <c r="W1349" s="4" t="s">
        <v>4521</v>
      </c>
      <c r="AL1349" s="60" t="s">
        <v>30</v>
      </c>
    </row>
    <row r="1350" spans="1:47" ht="60" x14ac:dyDescent="0.2">
      <c r="A1350" s="1" t="s">
        <v>4293</v>
      </c>
      <c r="B1350" s="1" t="s">
        <v>4388</v>
      </c>
      <c r="C1350" s="1" t="s">
        <v>5719</v>
      </c>
      <c r="D1350" s="48">
        <v>66</v>
      </c>
      <c r="E1350" s="1">
        <v>2</v>
      </c>
      <c r="F1350" s="1" t="s">
        <v>4361</v>
      </c>
      <c r="G1350" s="1" t="s">
        <v>4389</v>
      </c>
      <c r="I1350" s="1" t="s">
        <v>104</v>
      </c>
      <c r="K1350" s="1" t="s">
        <v>1762</v>
      </c>
      <c r="O1350" s="55">
        <v>4</v>
      </c>
      <c r="T1350" s="60">
        <v>4</v>
      </c>
      <c r="V1350" s="4" t="s">
        <v>4390</v>
      </c>
      <c r="AL1350" s="60" t="s">
        <v>30</v>
      </c>
    </row>
    <row r="1351" spans="1:47" ht="84" x14ac:dyDescent="0.2">
      <c r="A1351" s="1" t="s">
        <v>4293</v>
      </c>
      <c r="B1351" s="1" t="s">
        <v>4425</v>
      </c>
      <c r="C1351" s="1" t="s">
        <v>5719</v>
      </c>
      <c r="D1351" s="48">
        <v>67</v>
      </c>
      <c r="E1351" s="1">
        <v>3</v>
      </c>
      <c r="F1351" s="1" t="s">
        <v>4361</v>
      </c>
      <c r="G1351" s="1" t="s">
        <v>4426</v>
      </c>
      <c r="I1351" s="1" t="s">
        <v>104</v>
      </c>
      <c r="K1351" s="1" t="s">
        <v>1762</v>
      </c>
      <c r="O1351" s="55">
        <v>2</v>
      </c>
      <c r="T1351" s="60">
        <v>3</v>
      </c>
      <c r="V1351" s="4" t="s">
        <v>4427</v>
      </c>
      <c r="AL1351" s="60" t="s">
        <v>30</v>
      </c>
    </row>
    <row r="1352" spans="1:47" ht="36" x14ac:dyDescent="0.2">
      <c r="A1352" s="1" t="s">
        <v>4293</v>
      </c>
      <c r="B1352" s="1" t="s">
        <v>4494</v>
      </c>
      <c r="C1352" s="1" t="s">
        <v>5719</v>
      </c>
      <c r="D1352" s="48">
        <v>68</v>
      </c>
      <c r="E1352" s="1">
        <v>2</v>
      </c>
      <c r="F1352" s="1" t="s">
        <v>4310</v>
      </c>
      <c r="G1352" s="1" t="s">
        <v>4495</v>
      </c>
      <c r="I1352" s="1" t="s">
        <v>104</v>
      </c>
      <c r="K1352" s="1" t="s">
        <v>1178</v>
      </c>
      <c r="O1352" s="55">
        <v>2</v>
      </c>
      <c r="T1352" s="60">
        <v>3</v>
      </c>
      <c r="V1352" s="4" t="s">
        <v>4496</v>
      </c>
      <c r="AL1352" s="60" t="s">
        <v>30</v>
      </c>
    </row>
    <row r="1353" spans="1:47" ht="48" x14ac:dyDescent="0.2">
      <c r="A1353" s="1" t="s">
        <v>4293</v>
      </c>
      <c r="B1353" s="1" t="s">
        <v>4524</v>
      </c>
      <c r="C1353" s="1" t="s">
        <v>5719</v>
      </c>
      <c r="D1353" s="48">
        <v>69</v>
      </c>
      <c r="E1353" s="1">
        <v>1</v>
      </c>
      <c r="F1353" s="1" t="s">
        <v>4310</v>
      </c>
      <c r="G1353" s="1" t="s">
        <v>4525</v>
      </c>
      <c r="H1353" s="1" t="s">
        <v>26</v>
      </c>
      <c r="I1353" s="1" t="s">
        <v>104</v>
      </c>
      <c r="K1353" s="1" t="s">
        <v>1178</v>
      </c>
      <c r="O1353" s="55" t="s">
        <v>113</v>
      </c>
      <c r="T1353" s="60">
        <v>5</v>
      </c>
      <c r="V1353" s="4" t="s">
        <v>4526</v>
      </c>
      <c r="AL1353" s="60" t="s">
        <v>30</v>
      </c>
    </row>
    <row r="1354" spans="1:47" ht="36" x14ac:dyDescent="0.2">
      <c r="A1354" s="1" t="s">
        <v>4293</v>
      </c>
      <c r="B1354" s="1" t="s">
        <v>4431</v>
      </c>
      <c r="C1354" s="1" t="s">
        <v>5719</v>
      </c>
      <c r="D1354" s="48">
        <v>70</v>
      </c>
      <c r="E1354" s="1">
        <v>3</v>
      </c>
      <c r="F1354" s="1" t="s">
        <v>713</v>
      </c>
      <c r="G1354" s="1" t="s">
        <v>4432</v>
      </c>
      <c r="I1354" s="1" t="s">
        <v>82</v>
      </c>
      <c r="V1354" s="4" t="s">
        <v>4433</v>
      </c>
      <c r="W1354" s="4" t="s">
        <v>4434</v>
      </c>
      <c r="AL1354" s="60" t="s">
        <v>30</v>
      </c>
    </row>
    <row r="1355" spans="1:47" ht="24" x14ac:dyDescent="0.2">
      <c r="A1355" s="1" t="s">
        <v>4293</v>
      </c>
      <c r="B1355" s="1" t="s">
        <v>4357</v>
      </c>
      <c r="C1355" s="1" t="s">
        <v>5719</v>
      </c>
      <c r="D1355" s="48">
        <v>71</v>
      </c>
      <c r="E1355" s="1">
        <v>2</v>
      </c>
      <c r="F1355" s="1" t="s">
        <v>4361</v>
      </c>
      <c r="G1355" s="1" t="s">
        <v>4358</v>
      </c>
      <c r="I1355" s="1" t="s">
        <v>82</v>
      </c>
      <c r="V1355" s="4" t="s">
        <v>4359</v>
      </c>
      <c r="W1355" s="4" t="s">
        <v>4360</v>
      </c>
      <c r="AL1355" s="60" t="s">
        <v>30</v>
      </c>
    </row>
    <row r="1356" spans="1:47" ht="24" x14ac:dyDescent="0.2">
      <c r="A1356" s="1" t="s">
        <v>4293</v>
      </c>
      <c r="B1356" s="1" t="s">
        <v>4391</v>
      </c>
      <c r="C1356" s="1" t="s">
        <v>5719</v>
      </c>
      <c r="D1356" s="48">
        <v>72</v>
      </c>
      <c r="E1356" s="1">
        <v>4</v>
      </c>
      <c r="F1356" s="1" t="s">
        <v>4310</v>
      </c>
      <c r="G1356" s="1" t="s">
        <v>4392</v>
      </c>
      <c r="I1356" s="1" t="s">
        <v>82</v>
      </c>
      <c r="V1356" s="4" t="s">
        <v>4393</v>
      </c>
      <c r="W1356" s="4" t="s">
        <v>4394</v>
      </c>
      <c r="AL1356" s="60" t="s">
        <v>30</v>
      </c>
    </row>
    <row r="1357" spans="1:47" ht="60" x14ac:dyDescent="0.2">
      <c r="A1357" s="1" t="s">
        <v>4293</v>
      </c>
      <c r="B1357" s="1" t="s">
        <v>4435</v>
      </c>
      <c r="C1357" s="1" t="s">
        <v>5719</v>
      </c>
      <c r="D1357" s="48">
        <v>73</v>
      </c>
      <c r="E1357" s="1">
        <v>2</v>
      </c>
      <c r="F1357" s="1" t="s">
        <v>4310</v>
      </c>
      <c r="G1357" s="1" t="s">
        <v>4436</v>
      </c>
      <c r="I1357" s="1" t="s">
        <v>82</v>
      </c>
      <c r="V1357" s="4" t="s">
        <v>4437</v>
      </c>
      <c r="AL1357" s="60" t="s">
        <v>30</v>
      </c>
    </row>
    <row r="1358" spans="1:47" ht="36" x14ac:dyDescent="0.2">
      <c r="A1358" s="111" t="s">
        <v>4293</v>
      </c>
      <c r="B1358" s="111" t="s">
        <v>4423</v>
      </c>
      <c r="C1358" s="111" t="s">
        <v>5719</v>
      </c>
      <c r="D1358" s="112">
        <v>74</v>
      </c>
      <c r="E1358" s="111">
        <v>1</v>
      </c>
      <c r="F1358" s="111" t="s">
        <v>4346</v>
      </c>
      <c r="G1358" s="111" t="s">
        <v>2947</v>
      </c>
      <c r="H1358" s="1" t="s">
        <v>26</v>
      </c>
      <c r="I1358" s="1" t="s">
        <v>94</v>
      </c>
      <c r="K1358" s="1" t="s">
        <v>3842</v>
      </c>
      <c r="N1358" s="54">
        <v>50</v>
      </c>
      <c r="O1358" s="55">
        <v>0</v>
      </c>
      <c r="Q1358" s="57">
        <v>2</v>
      </c>
      <c r="R1358" s="58">
        <v>3</v>
      </c>
      <c r="S1358" s="59">
        <v>5</v>
      </c>
      <c r="V1358" s="4" t="s">
        <v>4424</v>
      </c>
      <c r="AL1358" s="60" t="s">
        <v>30</v>
      </c>
    </row>
    <row r="1359" spans="1:47" ht="84" x14ac:dyDescent="0.2">
      <c r="A1359" s="1" t="s">
        <v>4293</v>
      </c>
      <c r="B1359" s="1" t="s">
        <v>4428</v>
      </c>
      <c r="C1359" s="1" t="s">
        <v>5719</v>
      </c>
      <c r="D1359" s="48">
        <v>75</v>
      </c>
      <c r="E1359" s="1">
        <v>1</v>
      </c>
      <c r="F1359" s="1" t="s">
        <v>4346</v>
      </c>
      <c r="G1359" s="1" t="s">
        <v>4429</v>
      </c>
      <c r="I1359" s="1" t="s">
        <v>94</v>
      </c>
      <c r="K1359" s="1" t="s">
        <v>95</v>
      </c>
      <c r="N1359" s="54">
        <v>30</v>
      </c>
      <c r="O1359" s="55">
        <v>4</v>
      </c>
      <c r="Q1359" s="57">
        <v>5</v>
      </c>
      <c r="R1359" s="58">
        <v>2</v>
      </c>
      <c r="S1359" s="59">
        <v>5</v>
      </c>
      <c r="V1359" s="4" t="s">
        <v>4430</v>
      </c>
      <c r="AL1359" s="60" t="s">
        <v>30</v>
      </c>
    </row>
    <row r="1360" spans="1:47" ht="72" x14ac:dyDescent="0.2">
      <c r="A1360" s="1" t="s">
        <v>4293</v>
      </c>
      <c r="B1360" s="1" t="s">
        <v>4556</v>
      </c>
      <c r="C1360" s="1" t="s">
        <v>5719</v>
      </c>
      <c r="D1360" s="48">
        <v>76</v>
      </c>
      <c r="E1360" s="1">
        <v>4</v>
      </c>
      <c r="F1360" s="1" t="s">
        <v>4346</v>
      </c>
      <c r="G1360" s="1" t="s">
        <v>4557</v>
      </c>
      <c r="I1360" s="1" t="s">
        <v>94</v>
      </c>
      <c r="K1360" s="1" t="s">
        <v>95</v>
      </c>
      <c r="N1360" s="54">
        <v>25</v>
      </c>
      <c r="O1360" s="55">
        <v>3</v>
      </c>
      <c r="Q1360" s="57">
        <v>3</v>
      </c>
      <c r="R1360" s="58">
        <v>2</v>
      </c>
      <c r="S1360" s="59">
        <v>3</v>
      </c>
      <c r="V1360" s="4" t="s">
        <v>4558</v>
      </c>
      <c r="AL1360" s="60" t="s">
        <v>30</v>
      </c>
    </row>
    <row r="1361" spans="1:38" ht="72" x14ac:dyDescent="0.2">
      <c r="A1361" s="1" t="s">
        <v>4293</v>
      </c>
      <c r="B1361" s="1" t="s">
        <v>4529</v>
      </c>
      <c r="C1361" s="1" t="s">
        <v>5719</v>
      </c>
      <c r="D1361" s="48">
        <v>77</v>
      </c>
      <c r="E1361" s="1">
        <v>3</v>
      </c>
      <c r="F1361" s="1" t="s">
        <v>4346</v>
      </c>
      <c r="G1361" s="1" t="s">
        <v>4530</v>
      </c>
      <c r="I1361" s="1" t="s">
        <v>104</v>
      </c>
      <c r="K1361" s="1" t="s">
        <v>105</v>
      </c>
      <c r="O1361" s="55">
        <v>2</v>
      </c>
      <c r="T1361" s="60">
        <v>4</v>
      </c>
      <c r="V1361" s="4" t="s">
        <v>4531</v>
      </c>
      <c r="AL1361" s="60" t="s">
        <v>30</v>
      </c>
    </row>
    <row r="1362" spans="1:38" ht="72" x14ac:dyDescent="0.2">
      <c r="A1362" s="1" t="s">
        <v>4293</v>
      </c>
      <c r="B1362" s="1" t="s">
        <v>4457</v>
      </c>
      <c r="C1362" s="1" t="s">
        <v>5719</v>
      </c>
      <c r="D1362" s="48">
        <v>78</v>
      </c>
      <c r="E1362" s="1">
        <v>1</v>
      </c>
      <c r="F1362" s="1" t="s">
        <v>4346</v>
      </c>
      <c r="G1362" s="1" t="s">
        <v>4458</v>
      </c>
      <c r="H1362" s="1" t="s">
        <v>26</v>
      </c>
      <c r="I1362" s="1" t="s">
        <v>104</v>
      </c>
      <c r="K1362" s="1" t="s">
        <v>1762</v>
      </c>
      <c r="L1362" s="2" t="s">
        <v>4459</v>
      </c>
      <c r="O1362" s="55" t="s">
        <v>113</v>
      </c>
      <c r="T1362" s="60">
        <v>0</v>
      </c>
      <c r="V1362" s="4" t="s">
        <v>4460</v>
      </c>
      <c r="AL1362" s="60" t="s">
        <v>30</v>
      </c>
    </row>
    <row r="1363" spans="1:38" ht="60" x14ac:dyDescent="0.2">
      <c r="A1363" s="1" t="s">
        <v>4293</v>
      </c>
      <c r="B1363" s="1" t="s">
        <v>4343</v>
      </c>
      <c r="C1363" s="1" t="s">
        <v>5719</v>
      </c>
      <c r="D1363" s="48">
        <v>79</v>
      </c>
      <c r="E1363" s="1">
        <v>1</v>
      </c>
      <c r="F1363" s="1" t="s">
        <v>4346</v>
      </c>
      <c r="G1363" s="1" t="s">
        <v>4201</v>
      </c>
      <c r="H1363" s="1" t="s">
        <v>26</v>
      </c>
      <c r="I1363" s="1" t="s">
        <v>88</v>
      </c>
      <c r="K1363" s="1" t="s">
        <v>4344</v>
      </c>
      <c r="L1363" s="2" t="s">
        <v>4052</v>
      </c>
      <c r="V1363" s="4" t="s">
        <v>4345</v>
      </c>
      <c r="AL1363" s="60" t="s">
        <v>30</v>
      </c>
    </row>
    <row r="1364" spans="1:38" ht="96" x14ac:dyDescent="0.2">
      <c r="A1364" s="1" t="s">
        <v>4293</v>
      </c>
      <c r="B1364" s="1" t="s">
        <v>4362</v>
      </c>
      <c r="C1364" s="1" t="s">
        <v>5719</v>
      </c>
      <c r="D1364" s="48">
        <v>80</v>
      </c>
      <c r="E1364" s="1">
        <v>2</v>
      </c>
      <c r="F1364" s="1" t="s">
        <v>4346</v>
      </c>
      <c r="G1364" s="1" t="s">
        <v>4363</v>
      </c>
      <c r="I1364" s="1" t="s">
        <v>82</v>
      </c>
      <c r="V1364" s="4" t="s">
        <v>4364</v>
      </c>
      <c r="AL1364" s="60" t="s">
        <v>30</v>
      </c>
    </row>
    <row r="1365" spans="1:38" ht="96" x14ac:dyDescent="0.2">
      <c r="A1365" s="1" t="s">
        <v>4293</v>
      </c>
      <c r="B1365" s="1" t="s">
        <v>4451</v>
      </c>
      <c r="C1365" s="1" t="s">
        <v>5719</v>
      </c>
      <c r="D1365" s="48">
        <v>81</v>
      </c>
      <c r="E1365" s="1">
        <v>3</v>
      </c>
      <c r="F1365" s="1" t="s">
        <v>4346</v>
      </c>
      <c r="G1365" s="1" t="s">
        <v>4452</v>
      </c>
      <c r="I1365" s="1" t="s">
        <v>82</v>
      </c>
      <c r="V1365" s="4" t="s">
        <v>4453</v>
      </c>
      <c r="AL1365" s="60" t="s">
        <v>30</v>
      </c>
    </row>
    <row r="1366" spans="1:38" ht="72" x14ac:dyDescent="0.2">
      <c r="A1366" s="1" t="s">
        <v>4293</v>
      </c>
      <c r="B1366" s="1" t="s">
        <v>4438</v>
      </c>
      <c r="C1366" s="1" t="s">
        <v>5719</v>
      </c>
      <c r="D1366" s="48">
        <v>82</v>
      </c>
      <c r="E1366" s="1">
        <v>2</v>
      </c>
      <c r="F1366" s="1" t="s">
        <v>4346</v>
      </c>
      <c r="G1366" s="1" t="s">
        <v>4439</v>
      </c>
      <c r="I1366" s="1" t="s">
        <v>82</v>
      </c>
      <c r="V1366" s="4" t="s">
        <v>4440</v>
      </c>
      <c r="AL1366" s="60" t="s">
        <v>30</v>
      </c>
    </row>
    <row r="1367" spans="1:38" ht="72" x14ac:dyDescent="0.2">
      <c r="A1367" s="1" t="s">
        <v>4293</v>
      </c>
      <c r="B1367" s="1" t="s">
        <v>4553</v>
      </c>
      <c r="C1367" s="1" t="s">
        <v>5719</v>
      </c>
      <c r="D1367" s="48">
        <v>83</v>
      </c>
      <c r="E1367" s="1">
        <v>2</v>
      </c>
      <c r="F1367" s="1" t="s">
        <v>4346</v>
      </c>
      <c r="G1367" s="1" t="s">
        <v>4554</v>
      </c>
      <c r="I1367" s="1" t="s">
        <v>82</v>
      </c>
      <c r="V1367" s="4" t="s">
        <v>4555</v>
      </c>
      <c r="AL1367" s="60" t="s">
        <v>30</v>
      </c>
    </row>
    <row r="1368" spans="1:38" ht="48" x14ac:dyDescent="0.2">
      <c r="A1368" s="1" t="s">
        <v>4293</v>
      </c>
      <c r="B1368" s="1" t="s">
        <v>4482</v>
      </c>
      <c r="C1368" s="1" t="s">
        <v>5719</v>
      </c>
      <c r="D1368" s="48">
        <v>84</v>
      </c>
      <c r="E1368" s="1">
        <v>1</v>
      </c>
      <c r="F1368" s="1" t="s">
        <v>4346</v>
      </c>
      <c r="G1368" s="1" t="s">
        <v>4483</v>
      </c>
      <c r="I1368" s="1" t="s">
        <v>82</v>
      </c>
      <c r="V1368" s="4" t="s">
        <v>4484</v>
      </c>
      <c r="AL1368" s="60" t="s">
        <v>30</v>
      </c>
    </row>
    <row r="1369" spans="1:38" ht="72" x14ac:dyDescent="0.2">
      <c r="A1369" s="121" t="s">
        <v>4034</v>
      </c>
      <c r="B1369" s="121" t="s">
        <v>4111</v>
      </c>
      <c r="C1369" s="121" t="s">
        <v>5720</v>
      </c>
      <c r="D1369" s="122">
        <v>1</v>
      </c>
      <c r="E1369" s="121">
        <v>1</v>
      </c>
      <c r="F1369" s="121"/>
      <c r="G1369" s="121" t="s">
        <v>4112</v>
      </c>
      <c r="H1369" s="1" t="s">
        <v>26</v>
      </c>
      <c r="I1369" s="1" t="s">
        <v>27</v>
      </c>
      <c r="J1369" s="1" t="s">
        <v>4113</v>
      </c>
      <c r="K1369" s="1" t="s">
        <v>4114</v>
      </c>
      <c r="L1369" s="2" t="s">
        <v>4115</v>
      </c>
      <c r="M1369" s="18">
        <v>0</v>
      </c>
      <c r="P1369" s="56">
        <v>1</v>
      </c>
      <c r="Q1369" s="57">
        <v>1</v>
      </c>
      <c r="R1369" s="58">
        <v>1</v>
      </c>
      <c r="S1369" s="59">
        <v>3</v>
      </c>
      <c r="V1369" s="4" t="s">
        <v>4116</v>
      </c>
      <c r="AL1369" s="60" t="s">
        <v>30</v>
      </c>
    </row>
    <row r="1370" spans="1:38" ht="36" x14ac:dyDescent="0.2">
      <c r="A1370" s="1" t="s">
        <v>4034</v>
      </c>
      <c r="B1370" s="1" t="s">
        <v>4237</v>
      </c>
      <c r="C1370" s="1" t="s">
        <v>5720</v>
      </c>
      <c r="D1370" s="48">
        <v>2</v>
      </c>
      <c r="E1370" s="1">
        <v>1</v>
      </c>
      <c r="G1370" s="1" t="s">
        <v>4238</v>
      </c>
      <c r="H1370" s="1" t="s">
        <v>26</v>
      </c>
      <c r="I1370" s="1" t="s">
        <v>27</v>
      </c>
      <c r="J1370" s="1" t="s">
        <v>28</v>
      </c>
      <c r="K1370" s="1" t="s">
        <v>283</v>
      </c>
      <c r="M1370" s="18">
        <v>9</v>
      </c>
      <c r="P1370" s="56">
        <v>2</v>
      </c>
      <c r="Q1370" s="57">
        <v>1</v>
      </c>
      <c r="R1370" s="58">
        <v>2</v>
      </c>
      <c r="S1370" s="59">
        <v>4</v>
      </c>
      <c r="V1370" s="4" t="s">
        <v>4239</v>
      </c>
      <c r="AL1370" s="60" t="s">
        <v>30</v>
      </c>
    </row>
    <row r="1371" spans="1:38" ht="24" x14ac:dyDescent="0.2">
      <c r="A1371" s="1" t="s">
        <v>4034</v>
      </c>
      <c r="B1371" s="1" t="s">
        <v>4262</v>
      </c>
      <c r="C1371" s="1" t="s">
        <v>5720</v>
      </c>
      <c r="D1371" s="48">
        <v>3</v>
      </c>
      <c r="E1371" s="1">
        <v>1</v>
      </c>
      <c r="G1371" s="1" t="s">
        <v>4263</v>
      </c>
      <c r="H1371" s="1" t="s">
        <v>26</v>
      </c>
      <c r="I1371" s="1" t="s">
        <v>27</v>
      </c>
      <c r="J1371" s="1" t="s">
        <v>50</v>
      </c>
      <c r="K1371" s="1" t="s">
        <v>4264</v>
      </c>
      <c r="L1371" s="2" t="s">
        <v>171</v>
      </c>
      <c r="M1371" s="18">
        <v>11</v>
      </c>
      <c r="P1371" s="56">
        <v>2</v>
      </c>
      <c r="Q1371" s="57">
        <v>3</v>
      </c>
      <c r="R1371" s="58">
        <v>2</v>
      </c>
      <c r="S1371" s="59">
        <v>4</v>
      </c>
      <c r="V1371" s="4" t="s">
        <v>4265</v>
      </c>
      <c r="AL1371" s="60" t="s">
        <v>30</v>
      </c>
    </row>
    <row r="1372" spans="1:38" ht="24" x14ac:dyDescent="0.2">
      <c r="A1372" s="1" t="s">
        <v>4034</v>
      </c>
      <c r="B1372" s="1" t="s">
        <v>4228</v>
      </c>
      <c r="C1372" s="1" t="s">
        <v>5720</v>
      </c>
      <c r="D1372" s="48">
        <v>4</v>
      </c>
      <c r="E1372" s="1">
        <v>1</v>
      </c>
      <c r="G1372" s="1" t="s">
        <v>4229</v>
      </c>
      <c r="H1372" s="1" t="s">
        <v>26</v>
      </c>
      <c r="I1372" s="1" t="s">
        <v>27</v>
      </c>
      <c r="J1372" s="1" t="s">
        <v>57</v>
      </c>
      <c r="K1372" s="1" t="s">
        <v>283</v>
      </c>
      <c r="M1372" s="18">
        <v>8</v>
      </c>
      <c r="P1372" s="56">
        <v>2</v>
      </c>
      <c r="Q1372" s="57">
        <v>1</v>
      </c>
      <c r="R1372" s="58">
        <v>1</v>
      </c>
      <c r="S1372" s="59">
        <v>4</v>
      </c>
      <c r="V1372" s="4" t="s">
        <v>4230</v>
      </c>
      <c r="AL1372" s="60" t="s">
        <v>30</v>
      </c>
    </row>
    <row r="1373" spans="1:38" ht="24" x14ac:dyDescent="0.2">
      <c r="A1373" s="1" t="s">
        <v>4034</v>
      </c>
      <c r="B1373" s="1" t="s">
        <v>4141</v>
      </c>
      <c r="C1373" s="1" t="s">
        <v>5720</v>
      </c>
      <c r="D1373" s="48">
        <v>5</v>
      </c>
      <c r="E1373" s="1">
        <v>1</v>
      </c>
      <c r="G1373" s="1" t="s">
        <v>3006</v>
      </c>
      <c r="H1373" s="1" t="s">
        <v>26</v>
      </c>
      <c r="I1373" s="1" t="s">
        <v>27</v>
      </c>
      <c r="J1373" s="1" t="s">
        <v>39</v>
      </c>
      <c r="K1373" s="1" t="s">
        <v>283</v>
      </c>
      <c r="M1373" s="18">
        <v>8</v>
      </c>
      <c r="P1373" s="56">
        <v>0</v>
      </c>
      <c r="Q1373" s="57">
        <v>1</v>
      </c>
      <c r="R1373" s="58">
        <v>2</v>
      </c>
      <c r="S1373" s="59">
        <v>5</v>
      </c>
      <c r="V1373" s="4" t="s">
        <v>4142</v>
      </c>
      <c r="AL1373" s="60" t="s">
        <v>30</v>
      </c>
    </row>
    <row r="1374" spans="1:38" ht="36" x14ac:dyDescent="0.2">
      <c r="A1374" s="1" t="s">
        <v>4034</v>
      </c>
      <c r="B1374" s="1" t="s">
        <v>4143</v>
      </c>
      <c r="C1374" s="1" t="s">
        <v>5720</v>
      </c>
      <c r="D1374" s="48">
        <v>6</v>
      </c>
      <c r="E1374" s="1">
        <v>3</v>
      </c>
      <c r="G1374" s="1" t="s">
        <v>344</v>
      </c>
      <c r="H1374" s="1" t="s">
        <v>26</v>
      </c>
      <c r="I1374" s="1" t="s">
        <v>38</v>
      </c>
      <c r="J1374" s="1" t="s">
        <v>28</v>
      </c>
      <c r="K1374" s="1" t="s">
        <v>283</v>
      </c>
      <c r="M1374" s="18">
        <v>3</v>
      </c>
      <c r="P1374" s="56">
        <v>2</v>
      </c>
      <c r="Q1374" s="57">
        <v>1</v>
      </c>
      <c r="R1374" s="58">
        <v>1</v>
      </c>
      <c r="S1374" s="59">
        <v>3</v>
      </c>
      <c r="V1374" s="4" t="s">
        <v>4144</v>
      </c>
      <c r="AL1374" s="60" t="s">
        <v>30</v>
      </c>
    </row>
    <row r="1375" spans="1:38" ht="24" x14ac:dyDescent="0.2">
      <c r="A1375" s="1" t="s">
        <v>4034</v>
      </c>
      <c r="B1375" s="1" t="s">
        <v>4243</v>
      </c>
      <c r="C1375" s="1" t="s">
        <v>5720</v>
      </c>
      <c r="D1375" s="48">
        <v>7</v>
      </c>
      <c r="E1375" s="1">
        <v>3</v>
      </c>
      <c r="G1375" s="1" t="s">
        <v>2681</v>
      </c>
      <c r="H1375" s="1" t="s">
        <v>26</v>
      </c>
      <c r="I1375" s="1" t="s">
        <v>38</v>
      </c>
      <c r="J1375" s="1" t="s">
        <v>39</v>
      </c>
      <c r="K1375" s="1" t="s">
        <v>283</v>
      </c>
      <c r="M1375" s="18">
        <v>3</v>
      </c>
      <c r="P1375" s="56">
        <v>1</v>
      </c>
      <c r="Q1375" s="57">
        <v>2</v>
      </c>
      <c r="R1375" s="58">
        <v>1</v>
      </c>
      <c r="S1375" s="59">
        <v>3</v>
      </c>
      <c r="V1375" s="4" t="s">
        <v>4244</v>
      </c>
      <c r="AL1375" s="60" t="s">
        <v>30</v>
      </c>
    </row>
    <row r="1376" spans="1:38" ht="24" x14ac:dyDescent="0.2">
      <c r="A1376" s="1" t="s">
        <v>4034</v>
      </c>
      <c r="B1376" s="1" t="s">
        <v>4245</v>
      </c>
      <c r="C1376" s="1" t="s">
        <v>5720</v>
      </c>
      <c r="D1376" s="48">
        <v>8</v>
      </c>
      <c r="E1376" s="1">
        <v>3</v>
      </c>
      <c r="G1376" s="1" t="s">
        <v>2748</v>
      </c>
      <c r="H1376" s="1" t="s">
        <v>26</v>
      </c>
      <c r="I1376" s="1" t="s">
        <v>38</v>
      </c>
      <c r="J1376" s="1" t="s">
        <v>57</v>
      </c>
      <c r="K1376" s="1" t="s">
        <v>283</v>
      </c>
      <c r="L1376" s="2" t="s">
        <v>52</v>
      </c>
      <c r="M1376" s="18">
        <v>3</v>
      </c>
      <c r="P1376" s="56">
        <v>1</v>
      </c>
      <c r="Q1376" s="57">
        <v>1</v>
      </c>
      <c r="R1376" s="58">
        <v>2</v>
      </c>
      <c r="S1376" s="59">
        <v>3</v>
      </c>
      <c r="V1376" s="4" t="s">
        <v>4246</v>
      </c>
      <c r="AL1376" s="60" t="s">
        <v>30</v>
      </c>
    </row>
    <row r="1377" spans="1:43" ht="24" x14ac:dyDescent="0.2">
      <c r="A1377" s="1" t="s">
        <v>4034</v>
      </c>
      <c r="B1377" s="1" t="s">
        <v>4240</v>
      </c>
      <c r="C1377" s="1" t="s">
        <v>5720</v>
      </c>
      <c r="D1377" s="48">
        <v>9</v>
      </c>
      <c r="E1377" s="1">
        <v>3</v>
      </c>
      <c r="G1377" s="1" t="s">
        <v>4241</v>
      </c>
      <c r="I1377" s="1" t="s">
        <v>63</v>
      </c>
      <c r="J1377" s="1" t="s">
        <v>50</v>
      </c>
      <c r="M1377" s="18">
        <v>0</v>
      </c>
      <c r="V1377" s="4" t="s">
        <v>4242</v>
      </c>
      <c r="AL1377" s="60" t="s">
        <v>30</v>
      </c>
    </row>
    <row r="1378" spans="1:43" ht="36" x14ac:dyDescent="0.2">
      <c r="A1378" s="1" t="s">
        <v>4034</v>
      </c>
      <c r="B1378" s="1" t="s">
        <v>4155</v>
      </c>
      <c r="C1378" s="1" t="s">
        <v>5720</v>
      </c>
      <c r="D1378" s="48">
        <v>10</v>
      </c>
      <c r="E1378" s="1">
        <v>3</v>
      </c>
      <c r="G1378" s="1" t="s">
        <v>4156</v>
      </c>
      <c r="I1378" s="1" t="s">
        <v>63</v>
      </c>
      <c r="J1378" s="1" t="s">
        <v>57</v>
      </c>
      <c r="M1378" s="18">
        <v>0</v>
      </c>
      <c r="V1378" s="4" t="s">
        <v>4157</v>
      </c>
      <c r="AL1378" s="60" t="s">
        <v>30</v>
      </c>
    </row>
    <row r="1379" spans="1:43" ht="48" x14ac:dyDescent="0.2">
      <c r="A1379" s="1" t="s">
        <v>4034</v>
      </c>
      <c r="B1379" s="1" t="s">
        <v>4145</v>
      </c>
      <c r="C1379" s="1" t="s">
        <v>5720</v>
      </c>
      <c r="D1379" s="48">
        <v>11</v>
      </c>
      <c r="E1379" s="1">
        <v>3</v>
      </c>
      <c r="G1379" s="1" t="s">
        <v>4146</v>
      </c>
      <c r="I1379" s="1" t="s">
        <v>63</v>
      </c>
      <c r="J1379" s="1" t="s">
        <v>39</v>
      </c>
      <c r="M1379" s="18">
        <v>1</v>
      </c>
      <c r="V1379" s="4" t="s">
        <v>4147</v>
      </c>
      <c r="AL1379" s="60" t="s">
        <v>30</v>
      </c>
    </row>
    <row r="1380" spans="1:43" ht="36" x14ac:dyDescent="0.2">
      <c r="A1380" s="1" t="s">
        <v>4034</v>
      </c>
      <c r="B1380" s="1" t="s">
        <v>4054</v>
      </c>
      <c r="C1380" s="1" t="s">
        <v>5720</v>
      </c>
      <c r="D1380" s="48">
        <v>12</v>
      </c>
      <c r="E1380" s="1">
        <v>3</v>
      </c>
      <c r="G1380" s="1" t="s">
        <v>4055</v>
      </c>
      <c r="I1380" s="1" t="s">
        <v>63</v>
      </c>
      <c r="J1380" s="1" t="s">
        <v>28</v>
      </c>
      <c r="M1380" s="18">
        <v>1</v>
      </c>
      <c r="V1380" s="4" t="s">
        <v>4056</v>
      </c>
      <c r="AL1380" s="60" t="s">
        <v>30</v>
      </c>
    </row>
    <row r="1381" spans="1:43" ht="36" x14ac:dyDescent="0.2">
      <c r="A1381" s="1" t="s">
        <v>4034</v>
      </c>
      <c r="B1381" s="1" t="s">
        <v>4132</v>
      </c>
      <c r="C1381" s="1" t="s">
        <v>5720</v>
      </c>
      <c r="D1381" s="48">
        <v>13</v>
      </c>
      <c r="E1381" s="1">
        <v>3</v>
      </c>
      <c r="G1381" s="1" t="s">
        <v>4133</v>
      </c>
      <c r="I1381" s="1" t="s">
        <v>63</v>
      </c>
      <c r="J1381" s="1" t="s">
        <v>4113</v>
      </c>
      <c r="M1381" s="18">
        <v>1</v>
      </c>
      <c r="V1381" s="4" t="s">
        <v>4134</v>
      </c>
      <c r="AL1381" s="60" t="s">
        <v>30</v>
      </c>
    </row>
    <row r="1382" spans="1:43" ht="48" x14ac:dyDescent="0.2">
      <c r="A1382" s="1" t="s">
        <v>4034</v>
      </c>
      <c r="B1382" s="1" t="s">
        <v>4178</v>
      </c>
      <c r="C1382" s="1" t="s">
        <v>5720</v>
      </c>
      <c r="D1382" s="48">
        <v>14</v>
      </c>
      <c r="E1382" s="1">
        <v>3</v>
      </c>
      <c r="G1382" s="1" t="s">
        <v>4179</v>
      </c>
      <c r="I1382" s="1" t="s">
        <v>56</v>
      </c>
      <c r="J1382" s="1" t="s">
        <v>50</v>
      </c>
      <c r="K1382" s="1" t="s">
        <v>196</v>
      </c>
      <c r="L1382" s="2" t="s">
        <v>4180</v>
      </c>
      <c r="M1382" s="18">
        <v>2</v>
      </c>
      <c r="V1382" s="4" t="s">
        <v>4181</v>
      </c>
      <c r="AL1382" s="60" t="s">
        <v>30</v>
      </c>
    </row>
    <row r="1383" spans="1:43" ht="24" x14ac:dyDescent="0.2">
      <c r="A1383" s="1" t="s">
        <v>4034</v>
      </c>
      <c r="B1383" s="1" t="s">
        <v>4214</v>
      </c>
      <c r="C1383" s="1" t="s">
        <v>5720</v>
      </c>
      <c r="D1383" s="48">
        <v>15</v>
      </c>
      <c r="E1383" s="1">
        <v>3</v>
      </c>
      <c r="G1383" s="1" t="s">
        <v>4215</v>
      </c>
      <c r="H1383" s="1" t="s">
        <v>26</v>
      </c>
      <c r="I1383" s="1" t="s">
        <v>56</v>
      </c>
      <c r="J1383" s="1" t="s">
        <v>50</v>
      </c>
      <c r="K1383" s="1" t="s">
        <v>150</v>
      </c>
      <c r="L1383" s="2" t="s">
        <v>4216</v>
      </c>
      <c r="M1383" s="18">
        <v>0</v>
      </c>
      <c r="U1383" s="1">
        <v>1</v>
      </c>
      <c r="V1383" s="4" t="s">
        <v>4217</v>
      </c>
      <c r="AL1383" s="60" t="s">
        <v>30</v>
      </c>
    </row>
    <row r="1384" spans="1:43" ht="36" x14ac:dyDescent="0.2">
      <c r="A1384" s="1" t="s">
        <v>4034</v>
      </c>
      <c r="B1384" s="1" t="s">
        <v>4280</v>
      </c>
      <c r="C1384" s="1" t="s">
        <v>5720</v>
      </c>
      <c r="D1384" s="48">
        <v>16</v>
      </c>
      <c r="E1384" s="1">
        <v>3</v>
      </c>
      <c r="G1384" s="1" t="s">
        <v>4281</v>
      </c>
      <c r="H1384" s="1" t="s">
        <v>26</v>
      </c>
      <c r="I1384" s="1" t="s">
        <v>56</v>
      </c>
      <c r="J1384" s="1" t="s">
        <v>57</v>
      </c>
      <c r="K1384" s="1" t="s">
        <v>150</v>
      </c>
      <c r="L1384" s="2" t="s">
        <v>71</v>
      </c>
      <c r="M1384" s="18">
        <v>1</v>
      </c>
      <c r="V1384" s="4" t="s">
        <v>4282</v>
      </c>
      <c r="AL1384" s="60" t="s">
        <v>30</v>
      </c>
    </row>
    <row r="1385" spans="1:43" ht="36" x14ac:dyDescent="0.2">
      <c r="A1385" s="1" t="s">
        <v>4034</v>
      </c>
      <c r="B1385" s="1" t="s">
        <v>4088</v>
      </c>
      <c r="C1385" s="1" t="s">
        <v>5720</v>
      </c>
      <c r="D1385" s="48">
        <v>17</v>
      </c>
      <c r="E1385" s="1">
        <v>3</v>
      </c>
      <c r="G1385" s="1" t="s">
        <v>4089</v>
      </c>
      <c r="I1385" s="1" t="s">
        <v>56</v>
      </c>
      <c r="J1385" s="1" t="s">
        <v>39</v>
      </c>
      <c r="K1385" s="1" t="s">
        <v>568</v>
      </c>
      <c r="L1385" s="2" t="s">
        <v>4090</v>
      </c>
      <c r="M1385" s="18">
        <v>0</v>
      </c>
      <c r="V1385" s="4" t="s">
        <v>4091</v>
      </c>
      <c r="AL1385" s="60" t="s">
        <v>30</v>
      </c>
    </row>
    <row r="1386" spans="1:43" ht="24" x14ac:dyDescent="0.2">
      <c r="A1386" s="1" t="s">
        <v>4034</v>
      </c>
      <c r="B1386" s="1" t="s">
        <v>4193</v>
      </c>
      <c r="C1386" s="1" t="s">
        <v>5720</v>
      </c>
      <c r="D1386" s="48">
        <v>18</v>
      </c>
      <c r="E1386" s="1">
        <v>3</v>
      </c>
      <c r="G1386" s="1" t="s">
        <v>4194</v>
      </c>
      <c r="H1386" s="1" t="s">
        <v>26</v>
      </c>
      <c r="I1386" s="1" t="s">
        <v>56</v>
      </c>
      <c r="J1386" s="1" t="s">
        <v>28</v>
      </c>
      <c r="K1386" s="1" t="s">
        <v>298</v>
      </c>
      <c r="L1386" s="2" t="s">
        <v>2832</v>
      </c>
      <c r="M1386" s="18">
        <v>2</v>
      </c>
      <c r="V1386" s="4" t="s">
        <v>4195</v>
      </c>
      <c r="AL1386" s="60" t="s">
        <v>30</v>
      </c>
    </row>
    <row r="1387" spans="1:43" ht="72" x14ac:dyDescent="0.2">
      <c r="A1387" s="1" t="s">
        <v>4034</v>
      </c>
      <c r="B1387" s="1" t="s">
        <v>4200</v>
      </c>
      <c r="C1387" s="1" t="s">
        <v>5720</v>
      </c>
      <c r="D1387" s="48">
        <v>19</v>
      </c>
      <c r="E1387" s="1">
        <v>1</v>
      </c>
      <c r="G1387" s="1" t="s">
        <v>4201</v>
      </c>
      <c r="H1387" s="1" t="s">
        <v>26</v>
      </c>
      <c r="I1387" s="1" t="s">
        <v>4050</v>
      </c>
      <c r="J1387" s="1" t="s">
        <v>44</v>
      </c>
      <c r="K1387" s="1" t="s">
        <v>3713</v>
      </c>
      <c r="L1387" s="2" t="s">
        <v>4052</v>
      </c>
      <c r="M1387" s="18">
        <v>0</v>
      </c>
      <c r="V1387" s="4" t="s">
        <v>4202</v>
      </c>
      <c r="AL1387" s="60" t="s">
        <v>30</v>
      </c>
    </row>
    <row r="1388" spans="1:43" ht="36" x14ac:dyDescent="0.2">
      <c r="A1388" s="1" t="s">
        <v>4034</v>
      </c>
      <c r="B1388" s="1" t="s">
        <v>4218</v>
      </c>
      <c r="C1388" s="1" t="s">
        <v>5720</v>
      </c>
      <c r="D1388" s="48">
        <v>20</v>
      </c>
      <c r="E1388" s="1">
        <v>1</v>
      </c>
      <c r="G1388" s="1" t="s">
        <v>4219</v>
      </c>
      <c r="H1388" s="1" t="s">
        <v>26</v>
      </c>
      <c r="I1388" s="1" t="s">
        <v>4050</v>
      </c>
      <c r="J1388" s="1" t="s">
        <v>44</v>
      </c>
      <c r="K1388" s="1" t="s">
        <v>4051</v>
      </c>
      <c r="L1388" s="2" t="s">
        <v>71</v>
      </c>
      <c r="M1388" s="18">
        <v>0</v>
      </c>
      <c r="V1388" s="4" t="s">
        <v>4220</v>
      </c>
      <c r="AL1388" s="60" t="s">
        <v>30</v>
      </c>
      <c r="AQ1388" s="1"/>
    </row>
    <row r="1389" spans="1:43" x14ac:dyDescent="0.2">
      <c r="A1389" s="1" t="s">
        <v>4034</v>
      </c>
      <c r="B1389" s="1" t="s">
        <v>4048</v>
      </c>
      <c r="C1389" s="1" t="s">
        <v>5720</v>
      </c>
      <c r="D1389" s="48">
        <v>21</v>
      </c>
      <c r="E1389" s="1">
        <v>1</v>
      </c>
      <c r="G1389" s="1" t="s">
        <v>4049</v>
      </c>
      <c r="H1389" s="1" t="s">
        <v>26</v>
      </c>
      <c r="I1389" s="1" t="s">
        <v>4050</v>
      </c>
      <c r="J1389" s="1" t="s">
        <v>44</v>
      </c>
      <c r="K1389" s="1" t="s">
        <v>4051</v>
      </c>
      <c r="L1389" s="2" t="s">
        <v>4052</v>
      </c>
      <c r="M1389" s="18">
        <v>0</v>
      </c>
      <c r="V1389" s="4" t="s">
        <v>4053</v>
      </c>
      <c r="AL1389" s="60" t="s">
        <v>30</v>
      </c>
      <c r="AQ1389" s="1"/>
    </row>
    <row r="1390" spans="1:43" ht="48" x14ac:dyDescent="0.2">
      <c r="A1390" s="1" t="s">
        <v>4034</v>
      </c>
      <c r="B1390" s="1" t="s">
        <v>4182</v>
      </c>
      <c r="C1390" s="1" t="s">
        <v>5720</v>
      </c>
      <c r="D1390" s="48">
        <v>22</v>
      </c>
      <c r="E1390" s="1">
        <v>1</v>
      </c>
      <c r="G1390" s="1" t="s">
        <v>4183</v>
      </c>
      <c r="H1390" s="1" t="s">
        <v>26</v>
      </c>
      <c r="I1390" s="1" t="s">
        <v>4050</v>
      </c>
      <c r="J1390" s="1" t="s">
        <v>44</v>
      </c>
      <c r="K1390" s="1" t="s">
        <v>4051</v>
      </c>
      <c r="L1390" s="2" t="s">
        <v>427</v>
      </c>
      <c r="M1390" s="18">
        <v>0</v>
      </c>
      <c r="V1390" s="4" t="s">
        <v>4184</v>
      </c>
      <c r="AL1390" s="60" t="s">
        <v>30</v>
      </c>
      <c r="AQ1390" s="1"/>
    </row>
    <row r="1391" spans="1:43" ht="36" x14ac:dyDescent="0.2">
      <c r="A1391" s="1" t="s">
        <v>4034</v>
      </c>
      <c r="B1391" s="1" t="s">
        <v>4164</v>
      </c>
      <c r="C1391" s="1" t="s">
        <v>5720</v>
      </c>
      <c r="D1391" s="48">
        <v>23</v>
      </c>
      <c r="E1391" s="1">
        <v>1</v>
      </c>
      <c r="G1391" s="1" t="s">
        <v>4165</v>
      </c>
      <c r="H1391" s="1" t="s">
        <v>26</v>
      </c>
      <c r="I1391" s="1" t="s">
        <v>4050</v>
      </c>
      <c r="J1391" s="1" t="s">
        <v>44</v>
      </c>
      <c r="K1391" s="1" t="s">
        <v>4051</v>
      </c>
      <c r="L1391" s="2" t="s">
        <v>427</v>
      </c>
      <c r="M1391" s="18">
        <v>0</v>
      </c>
      <c r="V1391" s="4" t="s">
        <v>4166</v>
      </c>
      <c r="AL1391" s="60" t="s">
        <v>30</v>
      </c>
      <c r="AQ1391" s="1"/>
    </row>
    <row r="1392" spans="1:43" ht="24" x14ac:dyDescent="0.2">
      <c r="A1392" s="1" t="s">
        <v>4034</v>
      </c>
      <c r="B1392" s="1" t="s">
        <v>4287</v>
      </c>
      <c r="C1392" s="1" t="s">
        <v>5720</v>
      </c>
      <c r="D1392" s="48">
        <v>24</v>
      </c>
      <c r="E1392" s="1">
        <v>1</v>
      </c>
      <c r="G1392" s="1" t="s">
        <v>4288</v>
      </c>
      <c r="H1392" s="1" t="s">
        <v>26</v>
      </c>
      <c r="I1392" s="1" t="s">
        <v>4050</v>
      </c>
      <c r="J1392" s="1" t="s">
        <v>44</v>
      </c>
      <c r="K1392" s="1" t="s">
        <v>4051</v>
      </c>
      <c r="L1392" s="2" t="s">
        <v>71</v>
      </c>
      <c r="M1392" s="18">
        <v>0</v>
      </c>
      <c r="U1392" s="1">
        <v>3</v>
      </c>
      <c r="V1392" s="4" t="s">
        <v>4289</v>
      </c>
      <c r="AL1392" s="60" t="s">
        <v>30</v>
      </c>
      <c r="AQ1392" s="1"/>
    </row>
    <row r="1393" spans="1:43" ht="72" x14ac:dyDescent="0.2">
      <c r="A1393" s="111" t="s">
        <v>4034</v>
      </c>
      <c r="B1393" s="111" t="s">
        <v>4108</v>
      </c>
      <c r="C1393" s="111" t="s">
        <v>5720</v>
      </c>
      <c r="D1393" s="112">
        <v>25</v>
      </c>
      <c r="E1393" s="111">
        <v>1</v>
      </c>
      <c r="F1393" s="111" t="s">
        <v>4059</v>
      </c>
      <c r="G1393" s="111" t="s">
        <v>4109</v>
      </c>
      <c r="H1393" s="1" t="s">
        <v>26</v>
      </c>
      <c r="I1393" s="1" t="s">
        <v>104</v>
      </c>
      <c r="K1393" s="1" t="s">
        <v>105</v>
      </c>
      <c r="L1393" s="2" t="s">
        <v>331</v>
      </c>
      <c r="O1393" s="55">
        <v>1</v>
      </c>
      <c r="T1393" s="60">
        <v>9</v>
      </c>
      <c r="V1393" s="4" t="s">
        <v>4110</v>
      </c>
      <c r="AL1393" s="60" t="s">
        <v>30</v>
      </c>
      <c r="AQ1393" s="1"/>
    </row>
    <row r="1394" spans="1:43" ht="60" x14ac:dyDescent="0.2">
      <c r="A1394" s="1" t="s">
        <v>4034</v>
      </c>
      <c r="B1394" s="1" t="s">
        <v>4266</v>
      </c>
      <c r="C1394" s="1" t="s">
        <v>5720</v>
      </c>
      <c r="D1394" s="48">
        <v>26</v>
      </c>
      <c r="E1394" s="1">
        <v>4</v>
      </c>
      <c r="F1394" s="1" t="s">
        <v>4059</v>
      </c>
      <c r="G1394" s="1" t="s">
        <v>4267</v>
      </c>
      <c r="I1394" s="1" t="s">
        <v>104</v>
      </c>
      <c r="K1394" s="1" t="s">
        <v>105</v>
      </c>
      <c r="O1394" s="55">
        <v>3</v>
      </c>
      <c r="T1394" s="60">
        <v>3</v>
      </c>
      <c r="V1394" s="4" t="s">
        <v>4268</v>
      </c>
      <c r="AL1394" s="60" t="s">
        <v>30</v>
      </c>
      <c r="AQ1394" s="1"/>
    </row>
    <row r="1395" spans="1:43" ht="60" x14ac:dyDescent="0.2">
      <c r="A1395" s="1" t="s">
        <v>4034</v>
      </c>
      <c r="B1395" s="1" t="s">
        <v>4167</v>
      </c>
      <c r="C1395" s="1" t="s">
        <v>5720</v>
      </c>
      <c r="D1395" s="48">
        <v>27</v>
      </c>
      <c r="E1395" s="1">
        <v>2</v>
      </c>
      <c r="F1395" s="1" t="s">
        <v>4059</v>
      </c>
      <c r="G1395" s="1" t="s">
        <v>4168</v>
      </c>
      <c r="I1395" s="1" t="s">
        <v>104</v>
      </c>
      <c r="K1395" s="1" t="s">
        <v>4169</v>
      </c>
      <c r="O1395" s="55">
        <v>2</v>
      </c>
      <c r="T1395" s="60">
        <v>4</v>
      </c>
      <c r="V1395" s="4" t="s">
        <v>4170</v>
      </c>
      <c r="AL1395" s="60" t="s">
        <v>30</v>
      </c>
      <c r="AQ1395" s="1"/>
    </row>
    <row r="1396" spans="1:43" ht="24" x14ac:dyDescent="0.2">
      <c r="A1396" s="1" t="s">
        <v>4034</v>
      </c>
      <c r="B1396" s="1" t="s">
        <v>4225</v>
      </c>
      <c r="C1396" s="1" t="s">
        <v>5720</v>
      </c>
      <c r="D1396" s="48">
        <v>28</v>
      </c>
      <c r="E1396" s="1">
        <v>3</v>
      </c>
      <c r="F1396" s="1" t="s">
        <v>4059</v>
      </c>
      <c r="G1396" s="1" t="s">
        <v>4226</v>
      </c>
      <c r="I1396" s="1" t="s">
        <v>94</v>
      </c>
      <c r="K1396" s="1" t="s">
        <v>576</v>
      </c>
      <c r="L1396" s="2" t="s">
        <v>4085</v>
      </c>
      <c r="N1396" s="54">
        <v>37</v>
      </c>
      <c r="O1396" s="55">
        <v>3</v>
      </c>
      <c r="Q1396" s="57">
        <v>5</v>
      </c>
      <c r="R1396" s="58">
        <v>2</v>
      </c>
      <c r="S1396" s="59">
        <v>4</v>
      </c>
      <c r="V1396" s="4" t="s">
        <v>4227</v>
      </c>
      <c r="AL1396" s="60" t="s">
        <v>30</v>
      </c>
      <c r="AQ1396" s="1"/>
    </row>
    <row r="1397" spans="1:43" ht="24" x14ac:dyDescent="0.2">
      <c r="A1397" s="1" t="s">
        <v>4034</v>
      </c>
      <c r="B1397" s="1" t="s">
        <v>4221</v>
      </c>
      <c r="C1397" s="1" t="s">
        <v>5720</v>
      </c>
      <c r="D1397" s="48">
        <v>29</v>
      </c>
      <c r="E1397" s="1">
        <v>3</v>
      </c>
      <c r="F1397" s="1" t="s">
        <v>4059</v>
      </c>
      <c r="G1397" s="1" t="s">
        <v>4222</v>
      </c>
      <c r="I1397" s="1" t="s">
        <v>94</v>
      </c>
      <c r="K1397" s="1" t="s">
        <v>576</v>
      </c>
      <c r="L1397" s="2" t="s">
        <v>4085</v>
      </c>
      <c r="N1397" s="54">
        <v>30</v>
      </c>
      <c r="O1397" s="55">
        <v>2</v>
      </c>
      <c r="Q1397" s="57">
        <v>3</v>
      </c>
      <c r="R1397" s="58">
        <v>2</v>
      </c>
      <c r="S1397" s="59">
        <v>2</v>
      </c>
      <c r="V1397" s="4" t="s">
        <v>4223</v>
      </c>
      <c r="W1397" s="4" t="s">
        <v>4224</v>
      </c>
      <c r="AL1397" s="60" t="s">
        <v>30</v>
      </c>
      <c r="AQ1397" s="1"/>
    </row>
    <row r="1398" spans="1:43" ht="24" x14ac:dyDescent="0.2">
      <c r="A1398" s="1" t="s">
        <v>4034</v>
      </c>
      <c r="B1398" s="1" t="s">
        <v>4189</v>
      </c>
      <c r="C1398" s="1" t="s">
        <v>5720</v>
      </c>
      <c r="D1398" s="48">
        <v>30</v>
      </c>
      <c r="E1398" s="1">
        <v>3</v>
      </c>
      <c r="F1398" s="1" t="s">
        <v>4059</v>
      </c>
      <c r="G1398" s="1" t="s">
        <v>4190</v>
      </c>
      <c r="I1398" s="1" t="s">
        <v>94</v>
      </c>
      <c r="K1398" s="1" t="s">
        <v>576</v>
      </c>
      <c r="L1398" s="2" t="s">
        <v>4085</v>
      </c>
      <c r="N1398" s="54">
        <v>33</v>
      </c>
      <c r="O1398" s="55">
        <v>3</v>
      </c>
      <c r="Q1398" s="57">
        <v>3</v>
      </c>
      <c r="R1398" s="58">
        <v>0</v>
      </c>
      <c r="S1398" s="59">
        <v>3</v>
      </c>
      <c r="V1398" s="4" t="s">
        <v>4191</v>
      </c>
      <c r="W1398" s="4" t="s">
        <v>4192</v>
      </c>
      <c r="AL1398" s="60" t="s">
        <v>30</v>
      </c>
      <c r="AQ1398" s="1"/>
    </row>
    <row r="1399" spans="1:43" ht="24" x14ac:dyDescent="0.2">
      <c r="A1399" s="1" t="s">
        <v>4034</v>
      </c>
      <c r="B1399" s="1" t="s">
        <v>4125</v>
      </c>
      <c r="C1399" s="1" t="s">
        <v>5720</v>
      </c>
      <c r="D1399" s="48">
        <v>31</v>
      </c>
      <c r="E1399" s="1">
        <v>4</v>
      </c>
      <c r="F1399" s="1" t="s">
        <v>4059</v>
      </c>
      <c r="G1399" s="1" t="s">
        <v>4126</v>
      </c>
      <c r="I1399" s="1" t="s">
        <v>94</v>
      </c>
      <c r="K1399" s="1" t="s">
        <v>576</v>
      </c>
      <c r="L1399" s="2" t="s">
        <v>4085</v>
      </c>
      <c r="N1399" s="54">
        <v>28</v>
      </c>
      <c r="O1399" s="55">
        <v>2</v>
      </c>
      <c r="Q1399" s="57">
        <v>1</v>
      </c>
      <c r="R1399" s="58">
        <v>1</v>
      </c>
      <c r="S1399" s="59">
        <v>6</v>
      </c>
      <c r="V1399" s="4" t="s">
        <v>4127</v>
      </c>
      <c r="W1399" s="4" t="s">
        <v>4128</v>
      </c>
      <c r="AL1399" s="60" t="s">
        <v>30</v>
      </c>
      <c r="AQ1399" s="1"/>
    </row>
    <row r="1400" spans="1:43" ht="24" x14ac:dyDescent="0.2">
      <c r="A1400" s="1" t="s">
        <v>4034</v>
      </c>
      <c r="B1400" s="1" t="s">
        <v>4083</v>
      </c>
      <c r="C1400" s="1" t="s">
        <v>5720</v>
      </c>
      <c r="D1400" s="48">
        <v>32</v>
      </c>
      <c r="E1400" s="1">
        <v>5</v>
      </c>
      <c r="F1400" s="1" t="s">
        <v>4059</v>
      </c>
      <c r="G1400" s="1" t="s">
        <v>4084</v>
      </c>
      <c r="I1400" s="1" t="s">
        <v>94</v>
      </c>
      <c r="K1400" s="1" t="s">
        <v>576</v>
      </c>
      <c r="L1400" s="2" t="s">
        <v>4085</v>
      </c>
      <c r="N1400" s="54">
        <v>25</v>
      </c>
      <c r="O1400" s="55">
        <v>1</v>
      </c>
      <c r="Q1400" s="57">
        <v>4</v>
      </c>
      <c r="R1400" s="58">
        <v>1</v>
      </c>
      <c r="S1400" s="59">
        <v>3</v>
      </c>
      <c r="V1400" s="4" t="s">
        <v>4086</v>
      </c>
      <c r="W1400" s="4" t="s">
        <v>4087</v>
      </c>
      <c r="AL1400" s="60" t="s">
        <v>30</v>
      </c>
      <c r="AQ1400" s="1"/>
    </row>
    <row r="1401" spans="1:43" ht="36" x14ac:dyDescent="0.2">
      <c r="A1401" s="1" t="s">
        <v>4034</v>
      </c>
      <c r="B1401" s="1" t="s">
        <v>4161</v>
      </c>
      <c r="C1401" s="1" t="s">
        <v>5720</v>
      </c>
      <c r="D1401" s="48">
        <v>33</v>
      </c>
      <c r="E1401" s="1">
        <v>2</v>
      </c>
      <c r="F1401" s="1" t="s">
        <v>4059</v>
      </c>
      <c r="G1401" s="1" t="s">
        <v>4162</v>
      </c>
      <c r="I1401" s="1" t="s">
        <v>82</v>
      </c>
      <c r="V1401" s="4" t="s">
        <v>4163</v>
      </c>
      <c r="AL1401" s="60" t="s">
        <v>30</v>
      </c>
      <c r="AQ1401" s="1"/>
    </row>
    <row r="1402" spans="1:43" ht="36" x14ac:dyDescent="0.2">
      <c r="A1402" s="1" t="s">
        <v>4034</v>
      </c>
      <c r="B1402" s="1" t="s">
        <v>4092</v>
      </c>
      <c r="C1402" s="1" t="s">
        <v>5720</v>
      </c>
      <c r="D1402" s="48">
        <v>34</v>
      </c>
      <c r="E1402" s="1">
        <v>2</v>
      </c>
      <c r="F1402" s="1" t="s">
        <v>4059</v>
      </c>
      <c r="G1402" s="1" t="s">
        <v>4093</v>
      </c>
      <c r="I1402" s="1" t="s">
        <v>82</v>
      </c>
      <c r="V1402" s="4" t="s">
        <v>4094</v>
      </c>
      <c r="W1402" s="4" t="s">
        <v>4095</v>
      </c>
      <c r="AL1402" s="60" t="s">
        <v>30</v>
      </c>
      <c r="AQ1402" s="1"/>
    </row>
    <row r="1403" spans="1:43" ht="48" x14ac:dyDescent="0.2">
      <c r="A1403" s="111" t="s">
        <v>4034</v>
      </c>
      <c r="B1403" s="111" t="s">
        <v>4100</v>
      </c>
      <c r="C1403" s="111" t="s">
        <v>5720</v>
      </c>
      <c r="D1403" s="112">
        <v>35</v>
      </c>
      <c r="E1403" s="111">
        <v>3</v>
      </c>
      <c r="F1403" s="111" t="s">
        <v>4047</v>
      </c>
      <c r="G1403" s="111" t="s">
        <v>4101</v>
      </c>
      <c r="I1403" s="1" t="s">
        <v>104</v>
      </c>
      <c r="K1403" s="1" t="s">
        <v>594</v>
      </c>
      <c r="O1403" s="55">
        <v>3</v>
      </c>
      <c r="T1403" s="60">
        <v>1</v>
      </c>
      <c r="V1403" s="4" t="s">
        <v>4102</v>
      </c>
      <c r="AL1403" s="60" t="s">
        <v>30</v>
      </c>
      <c r="AQ1403" s="1"/>
    </row>
    <row r="1404" spans="1:43" ht="36" x14ac:dyDescent="0.2">
      <c r="A1404" s="1" t="s">
        <v>4034</v>
      </c>
      <c r="B1404" s="1" t="s">
        <v>4096</v>
      </c>
      <c r="C1404" s="1" t="s">
        <v>5720</v>
      </c>
      <c r="D1404" s="48">
        <v>36</v>
      </c>
      <c r="E1404" s="1">
        <v>3</v>
      </c>
      <c r="F1404" s="1" t="s">
        <v>4047</v>
      </c>
      <c r="G1404" s="1" t="s">
        <v>4097</v>
      </c>
      <c r="I1404" s="1" t="s">
        <v>94</v>
      </c>
      <c r="K1404" s="1" t="s">
        <v>95</v>
      </c>
      <c r="N1404" s="54">
        <v>15</v>
      </c>
      <c r="O1404" s="55">
        <v>2</v>
      </c>
      <c r="Q1404" s="57">
        <v>2</v>
      </c>
      <c r="R1404" s="58">
        <v>0</v>
      </c>
      <c r="S1404" s="59">
        <v>1</v>
      </c>
      <c r="V1404" s="4" t="s">
        <v>4098</v>
      </c>
      <c r="W1404" s="4" t="s">
        <v>4099</v>
      </c>
      <c r="AL1404" s="60" t="s">
        <v>30</v>
      </c>
      <c r="AQ1404" s="1"/>
    </row>
    <row r="1405" spans="1:43" ht="36" x14ac:dyDescent="0.2">
      <c r="A1405" s="1" t="s">
        <v>4034</v>
      </c>
      <c r="B1405" s="1" t="s">
        <v>4290</v>
      </c>
      <c r="C1405" s="1" t="s">
        <v>5720</v>
      </c>
      <c r="D1405" s="48">
        <v>37</v>
      </c>
      <c r="E1405" s="1">
        <v>2</v>
      </c>
      <c r="F1405" s="1" t="s">
        <v>4047</v>
      </c>
      <c r="G1405" s="1" t="s">
        <v>4291</v>
      </c>
      <c r="I1405" s="1" t="s">
        <v>82</v>
      </c>
      <c r="V1405" s="4" t="s">
        <v>4292</v>
      </c>
      <c r="W1405" s="4" t="s">
        <v>2276</v>
      </c>
      <c r="AL1405" s="60" t="s">
        <v>30</v>
      </c>
      <c r="AQ1405" s="1"/>
    </row>
    <row r="1406" spans="1:43" ht="24" x14ac:dyDescent="0.2">
      <c r="A1406" s="1" t="s">
        <v>4034</v>
      </c>
      <c r="B1406" s="1" t="s">
        <v>4043</v>
      </c>
      <c r="C1406" s="1" t="s">
        <v>5720</v>
      </c>
      <c r="D1406" s="48">
        <v>38</v>
      </c>
      <c r="E1406" s="1">
        <v>2</v>
      </c>
      <c r="F1406" s="1" t="s">
        <v>4047</v>
      </c>
      <c r="G1406" s="1" t="s">
        <v>4044</v>
      </c>
      <c r="I1406" s="1" t="s">
        <v>82</v>
      </c>
      <c r="V1406" s="4" t="s">
        <v>4045</v>
      </c>
      <c r="W1406" s="4" t="s">
        <v>4046</v>
      </c>
      <c r="AL1406" s="60" t="s">
        <v>30</v>
      </c>
      <c r="AQ1406" s="1"/>
    </row>
    <row r="1407" spans="1:43" ht="60" x14ac:dyDescent="0.2">
      <c r="A1407" s="111" t="s">
        <v>4034</v>
      </c>
      <c r="B1407" s="111" t="s">
        <v>4196</v>
      </c>
      <c r="C1407" s="111" t="s">
        <v>5720</v>
      </c>
      <c r="D1407" s="112">
        <v>39</v>
      </c>
      <c r="E1407" s="111">
        <v>1</v>
      </c>
      <c r="F1407" s="111" t="s">
        <v>4036</v>
      </c>
      <c r="G1407" s="111" t="s">
        <v>4197</v>
      </c>
      <c r="I1407" s="1" t="s">
        <v>88</v>
      </c>
      <c r="K1407" s="1" t="s">
        <v>4198</v>
      </c>
      <c r="V1407" s="4" t="s">
        <v>4199</v>
      </c>
      <c r="AL1407" s="60" t="s">
        <v>30</v>
      </c>
      <c r="AQ1407" s="1"/>
    </row>
    <row r="1408" spans="1:43" ht="72" x14ac:dyDescent="0.2">
      <c r="A1408" s="1" t="s">
        <v>4034</v>
      </c>
      <c r="B1408" s="1" t="s">
        <v>4171</v>
      </c>
      <c r="C1408" s="1" t="s">
        <v>5720</v>
      </c>
      <c r="D1408" s="48">
        <v>40</v>
      </c>
      <c r="E1408" s="1">
        <v>1</v>
      </c>
      <c r="F1408" s="1" t="s">
        <v>4036</v>
      </c>
      <c r="G1408" s="1" t="s">
        <v>4172</v>
      </c>
      <c r="H1408" s="1" t="s">
        <v>26</v>
      </c>
      <c r="I1408" s="1" t="s">
        <v>94</v>
      </c>
      <c r="K1408" s="1" t="s">
        <v>1142</v>
      </c>
      <c r="L1408" s="2" t="s">
        <v>931</v>
      </c>
      <c r="N1408" s="54">
        <v>50</v>
      </c>
      <c r="O1408" s="55" t="s">
        <v>113</v>
      </c>
      <c r="Q1408" s="57">
        <v>6</v>
      </c>
      <c r="R1408" s="58">
        <v>9</v>
      </c>
      <c r="S1408" s="59">
        <v>20</v>
      </c>
      <c r="V1408" s="4" t="s">
        <v>4173</v>
      </c>
      <c r="AL1408" s="60" t="s">
        <v>30</v>
      </c>
      <c r="AQ1408" s="1"/>
    </row>
    <row r="1409" spans="1:43" ht="60" x14ac:dyDescent="0.2">
      <c r="A1409" s="1" t="s">
        <v>4034</v>
      </c>
      <c r="B1409" s="1" t="s">
        <v>4135</v>
      </c>
      <c r="C1409" s="1" t="s">
        <v>5720</v>
      </c>
      <c r="D1409" s="48">
        <v>41</v>
      </c>
      <c r="E1409" s="1">
        <v>1</v>
      </c>
      <c r="F1409" s="1" t="s">
        <v>4036</v>
      </c>
      <c r="G1409" s="1" t="s">
        <v>3421</v>
      </c>
      <c r="H1409" s="1" t="s">
        <v>26</v>
      </c>
      <c r="I1409" s="1" t="s">
        <v>94</v>
      </c>
      <c r="K1409" s="1" t="s">
        <v>1142</v>
      </c>
      <c r="L1409" s="2" t="s">
        <v>931</v>
      </c>
      <c r="N1409" s="54">
        <v>50</v>
      </c>
      <c r="O1409" s="55">
        <v>6</v>
      </c>
      <c r="Q1409" s="57">
        <v>8</v>
      </c>
      <c r="R1409" s="58">
        <v>8</v>
      </c>
      <c r="S1409" s="59">
        <v>20</v>
      </c>
      <c r="V1409" s="4" t="s">
        <v>4136</v>
      </c>
      <c r="AL1409" s="60" t="s">
        <v>30</v>
      </c>
      <c r="AQ1409" s="1"/>
    </row>
    <row r="1410" spans="1:43" ht="72" x14ac:dyDescent="0.2">
      <c r="A1410" s="1" t="s">
        <v>4034</v>
      </c>
      <c r="B1410" s="1" t="s">
        <v>4234</v>
      </c>
      <c r="C1410" s="1" t="s">
        <v>5720</v>
      </c>
      <c r="D1410" s="48">
        <v>42</v>
      </c>
      <c r="E1410" s="1">
        <v>3</v>
      </c>
      <c r="F1410" s="1" t="s">
        <v>4036</v>
      </c>
      <c r="G1410" s="1" t="s">
        <v>4235</v>
      </c>
      <c r="I1410" s="1" t="s">
        <v>94</v>
      </c>
      <c r="K1410" s="1" t="s">
        <v>95</v>
      </c>
      <c r="L1410" s="2" t="s">
        <v>155</v>
      </c>
      <c r="N1410" s="54">
        <v>33</v>
      </c>
      <c r="O1410" s="55">
        <v>1</v>
      </c>
      <c r="Q1410" s="57">
        <v>1</v>
      </c>
      <c r="R1410" s="58">
        <v>1</v>
      </c>
      <c r="S1410" s="59">
        <v>2</v>
      </c>
      <c r="V1410" s="4" t="s">
        <v>4236</v>
      </c>
      <c r="AL1410" s="60" t="s">
        <v>30</v>
      </c>
      <c r="AQ1410" s="1"/>
    </row>
    <row r="1411" spans="1:43" ht="84" x14ac:dyDescent="0.2">
      <c r="A1411" s="1" t="s">
        <v>4034</v>
      </c>
      <c r="B1411" s="1" t="s">
        <v>4035</v>
      </c>
      <c r="C1411" s="1" t="s">
        <v>5720</v>
      </c>
      <c r="D1411" s="48">
        <v>43</v>
      </c>
      <c r="E1411" s="1">
        <v>1</v>
      </c>
      <c r="F1411" s="1" t="s">
        <v>4036</v>
      </c>
      <c r="G1411" s="1" t="s">
        <v>4036</v>
      </c>
      <c r="H1411" s="1" t="s">
        <v>26</v>
      </c>
      <c r="I1411" s="1" t="s">
        <v>104</v>
      </c>
      <c r="K1411" s="1" t="s">
        <v>1178</v>
      </c>
      <c r="O1411" s="55">
        <v>12</v>
      </c>
      <c r="T1411" s="60">
        <v>4</v>
      </c>
      <c r="U1411" s="1">
        <v>10</v>
      </c>
      <c r="V1411" s="4" t="s">
        <v>4037</v>
      </c>
      <c r="AL1411" s="60" t="s">
        <v>30</v>
      </c>
      <c r="AQ1411" s="1"/>
    </row>
    <row r="1412" spans="1:43" ht="60" x14ac:dyDescent="0.2">
      <c r="A1412" s="1" t="s">
        <v>4034</v>
      </c>
      <c r="B1412" s="1" t="s">
        <v>4068</v>
      </c>
      <c r="C1412" s="1" t="s">
        <v>5720</v>
      </c>
      <c r="D1412" s="48">
        <v>44</v>
      </c>
      <c r="E1412" s="1">
        <v>3</v>
      </c>
      <c r="F1412" s="1" t="s">
        <v>4036</v>
      </c>
      <c r="G1412" s="1" t="s">
        <v>4069</v>
      </c>
      <c r="I1412" s="1" t="s">
        <v>104</v>
      </c>
      <c r="K1412" s="1" t="s">
        <v>1112</v>
      </c>
      <c r="O1412" s="55">
        <v>4</v>
      </c>
      <c r="T1412" s="60">
        <v>4</v>
      </c>
      <c r="V1412" s="4" t="s">
        <v>4070</v>
      </c>
      <c r="AL1412" s="60" t="s">
        <v>30</v>
      </c>
      <c r="AQ1412" s="1"/>
    </row>
    <row r="1413" spans="1:43" ht="84" x14ac:dyDescent="0.2">
      <c r="A1413" s="1" t="s">
        <v>4034</v>
      </c>
      <c r="B1413" s="1" t="s">
        <v>4256</v>
      </c>
      <c r="C1413" s="1" t="s">
        <v>5720</v>
      </c>
      <c r="D1413" s="48">
        <v>45</v>
      </c>
      <c r="E1413" s="1">
        <v>2</v>
      </c>
      <c r="F1413" s="1" t="s">
        <v>4036</v>
      </c>
      <c r="G1413" s="1" t="s">
        <v>4257</v>
      </c>
      <c r="I1413" s="1" t="s">
        <v>104</v>
      </c>
      <c r="K1413" s="1" t="s">
        <v>1178</v>
      </c>
      <c r="O1413" s="55">
        <v>1</v>
      </c>
      <c r="T1413" s="60">
        <v>1</v>
      </c>
      <c r="V1413" s="4" t="s">
        <v>4258</v>
      </c>
      <c r="AL1413" s="60" t="s">
        <v>30</v>
      </c>
      <c r="AQ1413" s="1"/>
    </row>
    <row r="1414" spans="1:43" ht="60" x14ac:dyDescent="0.2">
      <c r="A1414" s="1" t="s">
        <v>4034</v>
      </c>
      <c r="B1414" s="1" t="s">
        <v>4105</v>
      </c>
      <c r="C1414" s="1" t="s">
        <v>5720</v>
      </c>
      <c r="D1414" s="48">
        <v>46</v>
      </c>
      <c r="E1414" s="1">
        <v>3</v>
      </c>
      <c r="F1414" s="1" t="s">
        <v>4036</v>
      </c>
      <c r="G1414" s="1" t="s">
        <v>4106</v>
      </c>
      <c r="I1414" s="1" t="s">
        <v>104</v>
      </c>
      <c r="K1414" s="1" t="s">
        <v>626</v>
      </c>
      <c r="O1414" s="55">
        <v>3</v>
      </c>
      <c r="T1414" s="60">
        <v>3</v>
      </c>
      <c r="V1414" s="4" t="s">
        <v>4107</v>
      </c>
      <c r="AL1414" s="60" t="s">
        <v>30</v>
      </c>
      <c r="AQ1414" s="1"/>
    </row>
    <row r="1415" spans="1:43" ht="84" x14ac:dyDescent="0.2">
      <c r="A1415" s="1" t="s">
        <v>4034</v>
      </c>
      <c r="B1415" s="1" t="s">
        <v>4071</v>
      </c>
      <c r="C1415" s="1" t="s">
        <v>5720</v>
      </c>
      <c r="D1415" s="48">
        <v>47</v>
      </c>
      <c r="E1415" s="1">
        <v>3</v>
      </c>
      <c r="F1415" s="1" t="s">
        <v>4036</v>
      </c>
      <c r="G1415" s="1" t="s">
        <v>4072</v>
      </c>
      <c r="I1415" s="1" t="s">
        <v>104</v>
      </c>
      <c r="K1415" s="1" t="s">
        <v>1178</v>
      </c>
      <c r="O1415" s="55">
        <v>2</v>
      </c>
      <c r="T1415" s="60">
        <v>5</v>
      </c>
      <c r="V1415" s="4" t="s">
        <v>4073</v>
      </c>
      <c r="AL1415" s="60" t="s">
        <v>30</v>
      </c>
      <c r="AQ1415" s="1"/>
    </row>
    <row r="1416" spans="1:43" ht="72" x14ac:dyDescent="0.2">
      <c r="A1416" s="1" t="s">
        <v>4034</v>
      </c>
      <c r="B1416" s="1" t="s">
        <v>4231</v>
      </c>
      <c r="C1416" s="1" t="s">
        <v>5720</v>
      </c>
      <c r="D1416" s="48">
        <v>48</v>
      </c>
      <c r="E1416" s="1">
        <v>3</v>
      </c>
      <c r="F1416" s="1" t="s">
        <v>4036</v>
      </c>
      <c r="G1416" s="1" t="s">
        <v>4232</v>
      </c>
      <c r="I1416" s="1" t="s">
        <v>82</v>
      </c>
      <c r="L1416" s="2" t="s">
        <v>155</v>
      </c>
      <c r="V1416" s="4" t="s">
        <v>4233</v>
      </c>
      <c r="AL1416" s="60" t="s">
        <v>30</v>
      </c>
      <c r="AQ1416" s="1"/>
    </row>
    <row r="1417" spans="1:43" ht="84" x14ac:dyDescent="0.2">
      <c r="A1417" s="1" t="s">
        <v>4034</v>
      </c>
      <c r="B1417" s="1" t="s">
        <v>4250</v>
      </c>
      <c r="C1417" s="1" t="s">
        <v>5720</v>
      </c>
      <c r="D1417" s="48">
        <v>49</v>
      </c>
      <c r="E1417" s="1">
        <v>2</v>
      </c>
      <c r="F1417" s="1" t="s">
        <v>4036</v>
      </c>
      <c r="G1417" s="1" t="s">
        <v>4251</v>
      </c>
      <c r="I1417" s="1" t="s">
        <v>82</v>
      </c>
      <c r="V1417" s="4" t="s">
        <v>4252</v>
      </c>
      <c r="AL1417" s="60" t="s">
        <v>30</v>
      </c>
      <c r="AQ1417" s="1"/>
    </row>
    <row r="1418" spans="1:43" ht="84" x14ac:dyDescent="0.2">
      <c r="A1418" s="1" t="s">
        <v>4034</v>
      </c>
      <c r="B1418" s="1" t="s">
        <v>4152</v>
      </c>
      <c r="C1418" s="1" t="s">
        <v>5720</v>
      </c>
      <c r="D1418" s="48">
        <v>50</v>
      </c>
      <c r="E1418" s="1">
        <v>4</v>
      </c>
      <c r="F1418" s="1" t="s">
        <v>4036</v>
      </c>
      <c r="G1418" s="1" t="s">
        <v>4153</v>
      </c>
      <c r="I1418" s="1" t="s">
        <v>82</v>
      </c>
      <c r="V1418" s="4" t="s">
        <v>4154</v>
      </c>
      <c r="AL1418" s="60" t="s">
        <v>30</v>
      </c>
      <c r="AQ1418" s="1"/>
    </row>
    <row r="1419" spans="1:43" ht="60" x14ac:dyDescent="0.2">
      <c r="A1419" s="1" t="s">
        <v>4034</v>
      </c>
      <c r="B1419" s="1" t="s">
        <v>4253</v>
      </c>
      <c r="C1419" s="1" t="s">
        <v>5720</v>
      </c>
      <c r="D1419" s="48">
        <v>51</v>
      </c>
      <c r="E1419" s="1">
        <v>2</v>
      </c>
      <c r="F1419" s="1" t="s">
        <v>4036</v>
      </c>
      <c r="G1419" s="1" t="s">
        <v>4254</v>
      </c>
      <c r="I1419" s="1" t="s">
        <v>82</v>
      </c>
      <c r="K1419" s="1" t="s">
        <v>1077</v>
      </c>
      <c r="V1419" s="4" t="s">
        <v>4255</v>
      </c>
      <c r="AL1419" s="60" t="s">
        <v>30</v>
      </c>
      <c r="AQ1419" s="1"/>
    </row>
    <row r="1420" spans="1:43" ht="36" x14ac:dyDescent="0.2">
      <c r="A1420" s="111" t="s">
        <v>4034</v>
      </c>
      <c r="B1420" s="111" t="s">
        <v>4148</v>
      </c>
      <c r="C1420" s="111" t="s">
        <v>5720</v>
      </c>
      <c r="D1420" s="112">
        <v>52</v>
      </c>
      <c r="E1420" s="111">
        <v>1</v>
      </c>
      <c r="F1420" s="111" t="s">
        <v>4042</v>
      </c>
      <c r="G1420" s="111" t="s">
        <v>4149</v>
      </c>
      <c r="I1420" s="1" t="s">
        <v>88</v>
      </c>
      <c r="K1420" s="1" t="s">
        <v>51</v>
      </c>
      <c r="P1420" s="56">
        <v>3</v>
      </c>
      <c r="Q1420" s="57">
        <v>3</v>
      </c>
      <c r="R1420" s="58">
        <v>3</v>
      </c>
      <c r="S1420" s="59">
        <v>2</v>
      </c>
      <c r="V1420" s="4" t="s">
        <v>4150</v>
      </c>
      <c r="W1420" s="4" t="s">
        <v>4151</v>
      </c>
      <c r="AL1420" s="60" t="s">
        <v>30</v>
      </c>
      <c r="AQ1420" s="1"/>
    </row>
    <row r="1421" spans="1:43" ht="60" x14ac:dyDescent="0.2">
      <c r="A1421" s="1" t="s">
        <v>4034</v>
      </c>
      <c r="B1421" s="1" t="s">
        <v>4129</v>
      </c>
      <c r="C1421" s="1" t="s">
        <v>5720</v>
      </c>
      <c r="D1421" s="48">
        <v>53</v>
      </c>
      <c r="E1421" s="1">
        <v>1</v>
      </c>
      <c r="F1421" s="1" t="s">
        <v>4042</v>
      </c>
      <c r="G1421" s="1" t="s">
        <v>4130</v>
      </c>
      <c r="H1421" s="1" t="s">
        <v>26</v>
      </c>
      <c r="I1421" s="1" t="s">
        <v>94</v>
      </c>
      <c r="K1421" s="1" t="s">
        <v>604</v>
      </c>
      <c r="L1421" s="2" t="s">
        <v>331</v>
      </c>
      <c r="N1421" s="54">
        <v>50</v>
      </c>
      <c r="O1421" s="55" t="s">
        <v>113</v>
      </c>
      <c r="Q1421" s="57">
        <v>6</v>
      </c>
      <c r="R1421" s="58">
        <v>3</v>
      </c>
      <c r="S1421" s="59">
        <v>8</v>
      </c>
      <c r="V1421" s="4" t="s">
        <v>4131</v>
      </c>
      <c r="AL1421" s="60" t="s">
        <v>30</v>
      </c>
      <c r="AQ1421" s="1"/>
    </row>
    <row r="1422" spans="1:43" ht="24" x14ac:dyDescent="0.2">
      <c r="A1422" s="1" t="s">
        <v>4034</v>
      </c>
      <c r="B1422" s="1" t="s">
        <v>4137</v>
      </c>
      <c r="C1422" s="1" t="s">
        <v>5720</v>
      </c>
      <c r="D1422" s="48">
        <v>54</v>
      </c>
      <c r="E1422" s="1">
        <v>4</v>
      </c>
      <c r="F1422" s="1" t="s">
        <v>4042</v>
      </c>
      <c r="G1422" s="1" t="s">
        <v>4138</v>
      </c>
      <c r="I1422" s="1" t="s">
        <v>94</v>
      </c>
      <c r="K1422" s="1" t="s">
        <v>604</v>
      </c>
      <c r="L1422" s="2" t="s">
        <v>4139</v>
      </c>
      <c r="N1422" s="54">
        <v>35</v>
      </c>
      <c r="O1422" s="55">
        <v>2</v>
      </c>
      <c r="Q1422" s="57">
        <v>4</v>
      </c>
      <c r="R1422" s="58">
        <v>2</v>
      </c>
      <c r="S1422" s="59">
        <v>5</v>
      </c>
      <c r="V1422" s="4" t="s">
        <v>4140</v>
      </c>
      <c r="AL1422" s="60" t="s">
        <v>30</v>
      </c>
      <c r="AQ1422" s="1"/>
    </row>
    <row r="1423" spans="1:43" ht="24" x14ac:dyDescent="0.2">
      <c r="A1423" s="1" t="s">
        <v>4034</v>
      </c>
      <c r="B1423" s="1" t="s">
        <v>4038</v>
      </c>
      <c r="C1423" s="1" t="s">
        <v>5720</v>
      </c>
      <c r="D1423" s="48">
        <v>55</v>
      </c>
      <c r="E1423" s="1">
        <v>3</v>
      </c>
      <c r="F1423" s="1" t="s">
        <v>4042</v>
      </c>
      <c r="G1423" s="1" t="s">
        <v>4039</v>
      </c>
      <c r="I1423" s="1" t="s">
        <v>94</v>
      </c>
      <c r="K1423" s="1" t="s">
        <v>604</v>
      </c>
      <c r="N1423" s="54">
        <v>15</v>
      </c>
      <c r="O1423" s="55">
        <v>1</v>
      </c>
      <c r="Q1423" s="57">
        <v>3</v>
      </c>
      <c r="R1423" s="58">
        <v>0</v>
      </c>
      <c r="S1423" s="59">
        <v>3</v>
      </c>
      <c r="V1423" s="4" t="s">
        <v>4040</v>
      </c>
      <c r="W1423" s="4" t="s">
        <v>4041</v>
      </c>
      <c r="AL1423" s="60" t="s">
        <v>30</v>
      </c>
      <c r="AQ1423" s="1"/>
    </row>
    <row r="1424" spans="1:43" ht="24" x14ac:dyDescent="0.2">
      <c r="A1424" s="1" t="s">
        <v>4034</v>
      </c>
      <c r="B1424" s="1" t="s">
        <v>4158</v>
      </c>
      <c r="C1424" s="1" t="s">
        <v>5720</v>
      </c>
      <c r="D1424" s="48">
        <v>56</v>
      </c>
      <c r="E1424" s="1">
        <v>4</v>
      </c>
      <c r="F1424" s="1" t="s">
        <v>4042</v>
      </c>
      <c r="G1424" s="1" t="s">
        <v>4159</v>
      </c>
      <c r="I1424" s="1" t="s">
        <v>94</v>
      </c>
      <c r="K1424" s="1" t="s">
        <v>604</v>
      </c>
      <c r="N1424" s="54">
        <v>33</v>
      </c>
      <c r="O1424" s="55">
        <v>1</v>
      </c>
      <c r="Q1424" s="57">
        <v>2</v>
      </c>
      <c r="R1424" s="58">
        <v>2</v>
      </c>
      <c r="S1424" s="59">
        <v>2</v>
      </c>
      <c r="V1424" s="4" t="s">
        <v>4160</v>
      </c>
      <c r="AL1424" s="60" t="s">
        <v>30</v>
      </c>
      <c r="AQ1424" s="1"/>
    </row>
    <row r="1425" spans="1:43" ht="24" x14ac:dyDescent="0.2">
      <c r="A1425" s="1" t="s">
        <v>4034</v>
      </c>
      <c r="B1425" s="1" t="s">
        <v>4119</v>
      </c>
      <c r="C1425" s="1" t="s">
        <v>5720</v>
      </c>
      <c r="D1425" s="48">
        <v>57</v>
      </c>
      <c r="E1425" s="1">
        <v>4</v>
      </c>
      <c r="F1425" s="1" t="s">
        <v>4042</v>
      </c>
      <c r="G1425" s="1" t="s">
        <v>4120</v>
      </c>
      <c r="I1425" s="1" t="s">
        <v>94</v>
      </c>
      <c r="K1425" s="1" t="s">
        <v>604</v>
      </c>
      <c r="N1425" s="54">
        <v>20</v>
      </c>
      <c r="O1425" s="55">
        <v>1</v>
      </c>
      <c r="Q1425" s="57">
        <v>1</v>
      </c>
      <c r="R1425" s="58">
        <v>1</v>
      </c>
      <c r="S1425" s="59">
        <v>4</v>
      </c>
      <c r="V1425" s="4" t="s">
        <v>4121</v>
      </c>
      <c r="W1425" s="4" t="s">
        <v>3474</v>
      </c>
      <c r="AL1425" s="60" t="s">
        <v>30</v>
      </c>
      <c r="AQ1425" s="1"/>
    </row>
    <row r="1426" spans="1:43" ht="24" x14ac:dyDescent="0.2">
      <c r="A1426" s="1" t="s">
        <v>4034</v>
      </c>
      <c r="B1426" s="1" t="s">
        <v>4283</v>
      </c>
      <c r="C1426" s="1" t="s">
        <v>5720</v>
      </c>
      <c r="D1426" s="48">
        <v>58</v>
      </c>
      <c r="E1426" s="1">
        <v>2</v>
      </c>
      <c r="F1426" s="1" t="s">
        <v>4042</v>
      </c>
      <c r="G1426" s="1" t="s">
        <v>4284</v>
      </c>
      <c r="I1426" s="1" t="s">
        <v>94</v>
      </c>
      <c r="K1426" s="1" t="s">
        <v>604</v>
      </c>
      <c r="N1426" s="54">
        <v>40</v>
      </c>
      <c r="O1426" s="55">
        <v>2</v>
      </c>
      <c r="Q1426" s="57">
        <v>2</v>
      </c>
      <c r="R1426" s="58">
        <v>1</v>
      </c>
      <c r="S1426" s="59">
        <v>3</v>
      </c>
      <c r="V1426" s="4" t="s">
        <v>4285</v>
      </c>
      <c r="W1426" s="4" t="s">
        <v>4286</v>
      </c>
      <c r="AL1426" s="60" t="s">
        <v>30</v>
      </c>
      <c r="AQ1426" s="1"/>
    </row>
    <row r="1427" spans="1:43" ht="36" x14ac:dyDescent="0.2">
      <c r="A1427" s="1" t="s">
        <v>4034</v>
      </c>
      <c r="B1427" s="1" t="s">
        <v>4273</v>
      </c>
      <c r="C1427" s="1" t="s">
        <v>5720</v>
      </c>
      <c r="D1427" s="48">
        <v>59</v>
      </c>
      <c r="E1427" s="1">
        <v>3</v>
      </c>
      <c r="F1427" s="1" t="s">
        <v>4042</v>
      </c>
      <c r="G1427" s="1" t="s">
        <v>4274</v>
      </c>
      <c r="I1427" s="1" t="s">
        <v>94</v>
      </c>
      <c r="K1427" s="1" t="s">
        <v>95</v>
      </c>
      <c r="N1427" s="54">
        <v>30</v>
      </c>
      <c r="O1427" s="55">
        <v>2</v>
      </c>
      <c r="Q1427" s="57">
        <v>3</v>
      </c>
      <c r="R1427" s="58">
        <v>1</v>
      </c>
      <c r="S1427" s="59">
        <v>3</v>
      </c>
      <c r="V1427" s="4" t="s">
        <v>4275</v>
      </c>
      <c r="W1427" s="4" t="s">
        <v>4276</v>
      </c>
      <c r="AL1427" s="60" t="s">
        <v>30</v>
      </c>
      <c r="AQ1427" s="1"/>
    </row>
    <row r="1428" spans="1:43" ht="72" x14ac:dyDescent="0.2">
      <c r="A1428" s="1" t="s">
        <v>4034</v>
      </c>
      <c r="B1428" s="1" t="s">
        <v>4080</v>
      </c>
      <c r="C1428" s="1" t="s">
        <v>5720</v>
      </c>
      <c r="D1428" s="48">
        <v>60</v>
      </c>
      <c r="E1428" s="1">
        <v>3</v>
      </c>
      <c r="F1428" s="1" t="s">
        <v>4042</v>
      </c>
      <c r="G1428" s="1" t="s">
        <v>4081</v>
      </c>
      <c r="I1428" s="1" t="s">
        <v>104</v>
      </c>
      <c r="K1428" s="1" t="s">
        <v>1178</v>
      </c>
      <c r="O1428" s="55">
        <v>3</v>
      </c>
      <c r="T1428" s="60">
        <v>3</v>
      </c>
      <c r="V1428" s="4" t="s">
        <v>4082</v>
      </c>
      <c r="AL1428" s="60" t="s">
        <v>30</v>
      </c>
      <c r="AQ1428" s="1"/>
    </row>
    <row r="1429" spans="1:43" ht="60" x14ac:dyDescent="0.2">
      <c r="A1429" s="1" t="s">
        <v>4034</v>
      </c>
      <c r="B1429" s="1" t="s">
        <v>4269</v>
      </c>
      <c r="C1429" s="1" t="s">
        <v>5720</v>
      </c>
      <c r="D1429" s="48">
        <v>61</v>
      </c>
      <c r="E1429" s="1">
        <v>1</v>
      </c>
      <c r="F1429" s="1" t="s">
        <v>4042</v>
      </c>
      <c r="G1429" s="1" t="s">
        <v>4270</v>
      </c>
      <c r="H1429" s="1" t="s">
        <v>26</v>
      </c>
      <c r="I1429" s="1" t="s">
        <v>104</v>
      </c>
      <c r="K1429" s="1" t="s">
        <v>4271</v>
      </c>
      <c r="L1429" s="2" t="s">
        <v>331</v>
      </c>
      <c r="O1429" s="55">
        <v>2</v>
      </c>
      <c r="T1429" s="60">
        <v>2</v>
      </c>
      <c r="U1429" s="1">
        <v>3</v>
      </c>
      <c r="V1429" s="4" t="s">
        <v>4272</v>
      </c>
      <c r="AL1429" s="60" t="s">
        <v>30</v>
      </c>
      <c r="AQ1429" s="1"/>
    </row>
    <row r="1430" spans="1:43" ht="60" x14ac:dyDescent="0.2">
      <c r="A1430" s="1" t="s">
        <v>4034</v>
      </c>
      <c r="B1430" s="1" t="s">
        <v>4277</v>
      </c>
      <c r="C1430" s="1" t="s">
        <v>5720</v>
      </c>
      <c r="D1430" s="48">
        <v>62</v>
      </c>
      <c r="E1430" s="1">
        <v>1</v>
      </c>
      <c r="F1430" s="1" t="s">
        <v>4042</v>
      </c>
      <c r="G1430" s="1" t="s">
        <v>4278</v>
      </c>
      <c r="H1430" s="1" t="s">
        <v>26</v>
      </c>
      <c r="I1430" s="1" t="s">
        <v>104</v>
      </c>
      <c r="K1430" s="1" t="s">
        <v>4066</v>
      </c>
      <c r="L1430" s="2" t="s">
        <v>331</v>
      </c>
      <c r="O1430" s="55">
        <v>2</v>
      </c>
      <c r="T1430" s="60">
        <v>2</v>
      </c>
      <c r="U1430" s="1">
        <v>3</v>
      </c>
      <c r="V1430" s="4" t="s">
        <v>4279</v>
      </c>
      <c r="AL1430" s="60" t="s">
        <v>30</v>
      </c>
      <c r="AQ1430" s="1"/>
    </row>
    <row r="1431" spans="1:43" ht="60" x14ac:dyDescent="0.2">
      <c r="A1431" s="1" t="s">
        <v>4034</v>
      </c>
      <c r="B1431" s="1" t="s">
        <v>4064</v>
      </c>
      <c r="C1431" s="1" t="s">
        <v>5720</v>
      </c>
      <c r="D1431" s="48">
        <v>63</v>
      </c>
      <c r="E1431" s="1">
        <v>1</v>
      </c>
      <c r="F1431" s="1" t="s">
        <v>4042</v>
      </c>
      <c r="G1431" s="1" t="s">
        <v>4065</v>
      </c>
      <c r="H1431" s="1" t="s">
        <v>26</v>
      </c>
      <c r="I1431" s="1" t="s">
        <v>104</v>
      </c>
      <c r="K1431" s="1" t="s">
        <v>4066</v>
      </c>
      <c r="L1431" s="2" t="s">
        <v>331</v>
      </c>
      <c r="O1431" s="55">
        <v>2</v>
      </c>
      <c r="T1431" s="60">
        <v>2</v>
      </c>
      <c r="U1431" s="1">
        <v>3</v>
      </c>
      <c r="V1431" s="4" t="s">
        <v>4067</v>
      </c>
      <c r="AL1431" s="60" t="s">
        <v>30</v>
      </c>
      <c r="AQ1431" s="1"/>
    </row>
    <row r="1432" spans="1:43" ht="36" x14ac:dyDescent="0.2">
      <c r="A1432" s="1" t="s">
        <v>4034</v>
      </c>
      <c r="B1432" s="1" t="s">
        <v>4185</v>
      </c>
      <c r="C1432" s="1" t="s">
        <v>5720</v>
      </c>
      <c r="D1432" s="48">
        <v>64</v>
      </c>
      <c r="E1432" s="1">
        <v>2</v>
      </c>
      <c r="F1432" s="1" t="s">
        <v>4042</v>
      </c>
      <c r="G1432" s="1" t="s">
        <v>4186</v>
      </c>
      <c r="I1432" s="1" t="s">
        <v>82</v>
      </c>
      <c r="V1432" s="4" t="s">
        <v>4187</v>
      </c>
      <c r="W1432" s="4" t="s">
        <v>4188</v>
      </c>
      <c r="AL1432" s="60" t="s">
        <v>30</v>
      </c>
      <c r="AQ1432" s="1"/>
    </row>
    <row r="1433" spans="1:43" ht="48" x14ac:dyDescent="0.2">
      <c r="A1433" s="1" t="s">
        <v>4034</v>
      </c>
      <c r="B1433" s="1" t="s">
        <v>4210</v>
      </c>
      <c r="C1433" s="1" t="s">
        <v>5720</v>
      </c>
      <c r="D1433" s="48">
        <v>65</v>
      </c>
      <c r="E1433" s="1">
        <v>2</v>
      </c>
      <c r="F1433" s="1" t="s">
        <v>4042</v>
      </c>
      <c r="G1433" s="1" t="s">
        <v>4211</v>
      </c>
      <c r="I1433" s="1" t="s">
        <v>82</v>
      </c>
      <c r="V1433" s="4" t="s">
        <v>4212</v>
      </c>
      <c r="W1433" s="4" t="s">
        <v>4213</v>
      </c>
      <c r="AL1433" s="60" t="s">
        <v>30</v>
      </c>
      <c r="AQ1433" s="1"/>
    </row>
    <row r="1434" spans="1:43" ht="36" x14ac:dyDescent="0.2">
      <c r="A1434" s="1" t="s">
        <v>4034</v>
      </c>
      <c r="B1434" s="1" t="s">
        <v>4061</v>
      </c>
      <c r="C1434" s="1" t="s">
        <v>5720</v>
      </c>
      <c r="D1434" s="48">
        <v>66</v>
      </c>
      <c r="E1434" s="1">
        <v>2</v>
      </c>
      <c r="F1434" s="1" t="s">
        <v>4042</v>
      </c>
      <c r="G1434" s="1" t="s">
        <v>4062</v>
      </c>
      <c r="I1434" s="1" t="s">
        <v>82</v>
      </c>
      <c r="L1434" s="2" t="s">
        <v>155</v>
      </c>
      <c r="V1434" s="4" t="s">
        <v>4063</v>
      </c>
      <c r="AL1434" s="60" t="s">
        <v>30</v>
      </c>
      <c r="AQ1434" s="1"/>
    </row>
    <row r="1435" spans="1:43" ht="48" x14ac:dyDescent="0.2">
      <c r="A1435" s="1" t="s">
        <v>4034</v>
      </c>
      <c r="B1435" s="1" t="s">
        <v>4057</v>
      </c>
      <c r="C1435" s="1" t="s">
        <v>5720</v>
      </c>
      <c r="D1435" s="48">
        <v>67</v>
      </c>
      <c r="E1435" s="1">
        <v>1</v>
      </c>
      <c r="F1435" s="1" t="s">
        <v>4059</v>
      </c>
      <c r="G1435" s="1" t="s">
        <v>9568</v>
      </c>
      <c r="I1435" s="1" t="s">
        <v>125</v>
      </c>
      <c r="M1435" s="18">
        <v>1</v>
      </c>
      <c r="N1435" s="54" t="s">
        <v>9529</v>
      </c>
      <c r="V1435" s="4" t="s">
        <v>4058</v>
      </c>
      <c r="X1435" s="1" t="s">
        <v>4334</v>
      </c>
      <c r="Y1435" s="1" t="s">
        <v>9568</v>
      </c>
      <c r="AA1435" s="1" t="s">
        <v>125</v>
      </c>
      <c r="AE1435" s="1">
        <v>1</v>
      </c>
      <c r="AF1435" s="54" t="s">
        <v>9530</v>
      </c>
      <c r="AL1435" s="60" t="s">
        <v>346</v>
      </c>
      <c r="AN1435" s="4" t="s">
        <v>4060</v>
      </c>
      <c r="AQ1435" s="1"/>
    </row>
    <row r="1436" spans="1:43" ht="36" x14ac:dyDescent="0.2">
      <c r="A1436" s="1" t="s">
        <v>4034</v>
      </c>
      <c r="B1436" s="1" t="s">
        <v>4203</v>
      </c>
      <c r="C1436" s="1" t="s">
        <v>5720</v>
      </c>
      <c r="D1436" s="48">
        <v>68</v>
      </c>
      <c r="E1436" s="1">
        <v>1</v>
      </c>
      <c r="F1436" s="1" t="s">
        <v>4059</v>
      </c>
      <c r="G1436" s="1" t="s">
        <v>9627</v>
      </c>
      <c r="I1436" s="1" t="s">
        <v>125</v>
      </c>
      <c r="M1436" s="18">
        <v>2</v>
      </c>
      <c r="N1436" s="54" t="s">
        <v>9529</v>
      </c>
      <c r="Y1436" s="1" t="s">
        <v>9627</v>
      </c>
      <c r="AA1436" s="1" t="s">
        <v>125</v>
      </c>
      <c r="AE1436" s="1">
        <v>2</v>
      </c>
      <c r="AF1436" s="54" t="s">
        <v>9530</v>
      </c>
      <c r="AL1436" s="60" t="s">
        <v>799</v>
      </c>
      <c r="AN1436" s="4" t="s">
        <v>4204</v>
      </c>
      <c r="AQ1436" s="1"/>
    </row>
    <row r="1437" spans="1:43" ht="108" x14ac:dyDescent="0.2">
      <c r="A1437" s="1" t="s">
        <v>4034</v>
      </c>
      <c r="B1437" s="1" t="s">
        <v>4247</v>
      </c>
      <c r="C1437" s="1" t="s">
        <v>5720</v>
      </c>
      <c r="D1437" s="48">
        <v>69</v>
      </c>
      <c r="E1437" s="1">
        <v>1</v>
      </c>
      <c r="F1437" s="1" t="s">
        <v>4059</v>
      </c>
      <c r="G1437" s="1" t="s">
        <v>9688</v>
      </c>
      <c r="I1437" s="1" t="s">
        <v>125</v>
      </c>
      <c r="M1437" s="18">
        <v>3</v>
      </c>
      <c r="N1437" s="54" t="s">
        <v>9529</v>
      </c>
      <c r="V1437" s="4" t="s">
        <v>4248</v>
      </c>
      <c r="Y1437" s="1" t="s">
        <v>9688</v>
      </c>
      <c r="AA1437" s="1" t="s">
        <v>125</v>
      </c>
      <c r="AE1437" s="1">
        <v>3</v>
      </c>
      <c r="AF1437" s="54" t="s">
        <v>9530</v>
      </c>
      <c r="AL1437" s="60" t="s">
        <v>31</v>
      </c>
      <c r="AN1437" s="4" t="s">
        <v>4249</v>
      </c>
      <c r="AQ1437" s="1"/>
    </row>
    <row r="1438" spans="1:43" ht="120" x14ac:dyDescent="0.2">
      <c r="A1438" s="1" t="s">
        <v>4034</v>
      </c>
      <c r="B1438" s="1" t="s">
        <v>4074</v>
      </c>
      <c r="C1438" s="1" t="s">
        <v>5720</v>
      </c>
      <c r="D1438" s="48">
        <v>70</v>
      </c>
      <c r="E1438" s="1">
        <v>1</v>
      </c>
      <c r="F1438" s="1" t="s">
        <v>4059</v>
      </c>
      <c r="G1438" s="1" t="s">
        <v>9712</v>
      </c>
      <c r="I1438" s="1" t="s">
        <v>125</v>
      </c>
      <c r="M1438" s="18">
        <v>4</v>
      </c>
      <c r="N1438" s="54" t="s">
        <v>9529</v>
      </c>
      <c r="V1438" s="4" t="s">
        <v>4075</v>
      </c>
      <c r="Y1438" s="1" t="s">
        <v>9712</v>
      </c>
      <c r="AA1438" s="1" t="s">
        <v>125</v>
      </c>
      <c r="AE1438" s="1">
        <v>4</v>
      </c>
      <c r="AF1438" s="54" t="s">
        <v>9530</v>
      </c>
      <c r="AL1438" s="60" t="s">
        <v>33</v>
      </c>
      <c r="AN1438" s="4" t="s">
        <v>4076</v>
      </c>
      <c r="AQ1438" s="1"/>
    </row>
    <row r="1439" spans="1:43" ht="72" x14ac:dyDescent="0.2">
      <c r="A1439" s="1" t="s">
        <v>4034</v>
      </c>
      <c r="B1439" s="1" t="s">
        <v>4122</v>
      </c>
      <c r="C1439" s="1" t="s">
        <v>5720</v>
      </c>
      <c r="D1439" s="48">
        <v>71</v>
      </c>
      <c r="E1439" s="1">
        <v>1</v>
      </c>
      <c r="F1439" s="1" t="s">
        <v>4036</v>
      </c>
      <c r="G1439" s="1" t="s">
        <v>9569</v>
      </c>
      <c r="I1439" s="1" t="s">
        <v>125</v>
      </c>
      <c r="M1439" s="18">
        <v>1</v>
      </c>
      <c r="N1439" s="54" t="s">
        <v>9529</v>
      </c>
      <c r="V1439" s="4" t="s">
        <v>4123</v>
      </c>
      <c r="X1439" s="1" t="s">
        <v>3774</v>
      </c>
      <c r="Y1439" s="1" t="s">
        <v>9569</v>
      </c>
      <c r="AA1439" s="1" t="s">
        <v>125</v>
      </c>
      <c r="AE1439" s="1">
        <v>1</v>
      </c>
      <c r="AF1439" s="54" t="s">
        <v>9530</v>
      </c>
      <c r="AL1439" s="60" t="s">
        <v>799</v>
      </c>
      <c r="AN1439" s="4" t="s">
        <v>4124</v>
      </c>
      <c r="AQ1439" s="1"/>
    </row>
    <row r="1440" spans="1:43" ht="84" x14ac:dyDescent="0.2">
      <c r="A1440" s="1" t="s">
        <v>4034</v>
      </c>
      <c r="B1440" s="1" t="s">
        <v>4103</v>
      </c>
      <c r="C1440" s="1" t="s">
        <v>5720</v>
      </c>
      <c r="D1440" s="48">
        <v>72</v>
      </c>
      <c r="E1440" s="1">
        <v>1</v>
      </c>
      <c r="F1440" s="1" t="s">
        <v>4036</v>
      </c>
      <c r="G1440" s="1" t="s">
        <v>9628</v>
      </c>
      <c r="I1440" s="1" t="s">
        <v>125</v>
      </c>
      <c r="M1440" s="18">
        <v>2</v>
      </c>
      <c r="N1440" s="54" t="s">
        <v>9529</v>
      </c>
      <c r="Y1440" s="1" t="s">
        <v>9628</v>
      </c>
      <c r="AA1440" s="1" t="s">
        <v>125</v>
      </c>
      <c r="AE1440" s="1">
        <v>2</v>
      </c>
      <c r="AF1440" s="54" t="s">
        <v>9530</v>
      </c>
      <c r="AL1440" s="60" t="s">
        <v>799</v>
      </c>
      <c r="AN1440" s="4" t="s">
        <v>4104</v>
      </c>
      <c r="AQ1440" s="1"/>
    </row>
    <row r="1441" spans="1:43" ht="96" x14ac:dyDescent="0.2">
      <c r="A1441" s="1" t="s">
        <v>4034</v>
      </c>
      <c r="B1441" s="1" t="s">
        <v>4205</v>
      </c>
      <c r="C1441" s="1" t="s">
        <v>5720</v>
      </c>
      <c r="D1441" s="48">
        <v>73</v>
      </c>
      <c r="E1441" s="1">
        <v>1</v>
      </c>
      <c r="F1441" s="1" t="s">
        <v>4036</v>
      </c>
      <c r="G1441" s="1" t="s">
        <v>9689</v>
      </c>
      <c r="I1441" s="1" t="s">
        <v>125</v>
      </c>
      <c r="M1441" s="18">
        <v>3</v>
      </c>
      <c r="N1441" s="54" t="s">
        <v>9529</v>
      </c>
      <c r="V1441" s="4" t="s">
        <v>4206</v>
      </c>
      <c r="Y1441" s="1" t="s">
        <v>9689</v>
      </c>
      <c r="AA1441" s="1" t="s">
        <v>125</v>
      </c>
      <c r="AE1441" s="1">
        <v>3</v>
      </c>
      <c r="AF1441" s="54" t="s">
        <v>9530</v>
      </c>
      <c r="AL1441" s="60" t="s">
        <v>122</v>
      </c>
      <c r="AN1441" s="4" t="s">
        <v>4207</v>
      </c>
      <c r="AQ1441" s="1"/>
    </row>
    <row r="1442" spans="1:43" ht="36" x14ac:dyDescent="0.2">
      <c r="A1442" s="1" t="s">
        <v>4034</v>
      </c>
      <c r="B1442" s="1" t="s">
        <v>4077</v>
      </c>
      <c r="C1442" s="1" t="s">
        <v>5720</v>
      </c>
      <c r="D1442" s="48">
        <v>74</v>
      </c>
      <c r="E1442" s="1">
        <v>1</v>
      </c>
      <c r="F1442" s="1" t="s">
        <v>4036</v>
      </c>
      <c r="G1442" s="1" t="s">
        <v>9713</v>
      </c>
      <c r="I1442" s="1" t="s">
        <v>125</v>
      </c>
      <c r="M1442" s="18">
        <v>4</v>
      </c>
      <c r="N1442" s="54" t="s">
        <v>9529</v>
      </c>
      <c r="V1442" s="4" t="s">
        <v>4078</v>
      </c>
      <c r="Y1442" s="1" t="s">
        <v>9713</v>
      </c>
      <c r="AA1442" s="1" t="s">
        <v>125</v>
      </c>
      <c r="AE1442" s="1">
        <v>4</v>
      </c>
      <c r="AF1442" s="54" t="s">
        <v>9530</v>
      </c>
      <c r="AL1442" s="60" t="s">
        <v>243</v>
      </c>
      <c r="AN1442" s="4" t="s">
        <v>4079</v>
      </c>
      <c r="AQ1442" s="1"/>
    </row>
    <row r="1443" spans="1:43" ht="36" x14ac:dyDescent="0.2">
      <c r="A1443" s="1" t="s">
        <v>4034</v>
      </c>
      <c r="B1443" s="1" t="s">
        <v>4259</v>
      </c>
      <c r="C1443" s="1" t="s">
        <v>5720</v>
      </c>
      <c r="D1443" s="48">
        <v>75</v>
      </c>
      <c r="E1443" s="1">
        <v>1</v>
      </c>
      <c r="F1443" s="1" t="s">
        <v>4042</v>
      </c>
      <c r="G1443" s="1" t="s">
        <v>9570</v>
      </c>
      <c r="I1443" s="1" t="s">
        <v>125</v>
      </c>
      <c r="M1443" s="18">
        <v>1</v>
      </c>
      <c r="N1443" s="54" t="s">
        <v>9529</v>
      </c>
      <c r="V1443" s="4" t="s">
        <v>4260</v>
      </c>
      <c r="X1443" s="1" t="s">
        <v>1629</v>
      </c>
      <c r="Y1443" s="1" t="s">
        <v>9570</v>
      </c>
      <c r="AA1443" s="1" t="s">
        <v>125</v>
      </c>
      <c r="AE1443" s="1">
        <v>1</v>
      </c>
      <c r="AF1443" s="54" t="s">
        <v>9530</v>
      </c>
      <c r="AL1443" s="60" t="s">
        <v>799</v>
      </c>
      <c r="AN1443" s="4" t="s">
        <v>4261</v>
      </c>
      <c r="AQ1443" s="1"/>
    </row>
    <row r="1444" spans="1:43" ht="48" x14ac:dyDescent="0.2">
      <c r="A1444" s="1" t="s">
        <v>4034</v>
      </c>
      <c r="B1444" s="1" t="s">
        <v>4208</v>
      </c>
      <c r="C1444" s="1" t="s">
        <v>5720</v>
      </c>
      <c r="D1444" s="48">
        <v>76</v>
      </c>
      <c r="E1444" s="1">
        <v>1</v>
      </c>
      <c r="F1444" s="1" t="s">
        <v>4042</v>
      </c>
      <c r="G1444" s="1" t="s">
        <v>9629</v>
      </c>
      <c r="I1444" s="1" t="s">
        <v>125</v>
      </c>
      <c r="M1444" s="18">
        <v>2</v>
      </c>
      <c r="N1444" s="54" t="s">
        <v>9529</v>
      </c>
      <c r="Y1444" s="1" t="s">
        <v>9629</v>
      </c>
      <c r="AA1444" s="1" t="s">
        <v>125</v>
      </c>
      <c r="AE1444" s="1">
        <v>2</v>
      </c>
      <c r="AF1444" s="54" t="s">
        <v>9530</v>
      </c>
      <c r="AL1444" s="60" t="s">
        <v>341</v>
      </c>
      <c r="AN1444" s="4" t="s">
        <v>4209</v>
      </c>
      <c r="AQ1444" s="1"/>
    </row>
    <row r="1445" spans="1:43" ht="48" x14ac:dyDescent="0.2">
      <c r="A1445" s="1" t="s">
        <v>4034</v>
      </c>
      <c r="B1445" s="1" t="s">
        <v>4174</v>
      </c>
      <c r="C1445" s="1" t="s">
        <v>5720</v>
      </c>
      <c r="D1445" s="48">
        <v>77</v>
      </c>
      <c r="E1445" s="1">
        <v>1</v>
      </c>
      <c r="F1445" s="1" t="s">
        <v>4042</v>
      </c>
      <c r="G1445" s="1" t="s">
        <v>9690</v>
      </c>
      <c r="I1445" s="1" t="s">
        <v>125</v>
      </c>
      <c r="M1445" s="18">
        <v>3</v>
      </c>
      <c r="N1445" s="54" t="s">
        <v>9529</v>
      </c>
      <c r="Y1445" s="1" t="s">
        <v>9690</v>
      </c>
      <c r="AA1445" s="1" t="s">
        <v>125</v>
      </c>
      <c r="AE1445" s="1">
        <v>3</v>
      </c>
      <c r="AF1445" s="54" t="s">
        <v>9530</v>
      </c>
      <c r="AL1445" s="60" t="s">
        <v>341</v>
      </c>
      <c r="AN1445" s="4" t="s">
        <v>4175</v>
      </c>
      <c r="AQ1445" s="1"/>
    </row>
    <row r="1446" spans="1:43" ht="48" x14ac:dyDescent="0.2">
      <c r="A1446" s="1" t="s">
        <v>4034</v>
      </c>
      <c r="B1446" s="1" t="s">
        <v>4117</v>
      </c>
      <c r="C1446" s="1" t="s">
        <v>5720</v>
      </c>
      <c r="D1446" s="48">
        <v>78</v>
      </c>
      <c r="E1446" s="1">
        <v>1</v>
      </c>
      <c r="F1446" s="1" t="s">
        <v>4042</v>
      </c>
      <c r="G1446" s="1" t="s">
        <v>9714</v>
      </c>
      <c r="I1446" s="1" t="s">
        <v>125</v>
      </c>
      <c r="M1446" s="18">
        <v>4</v>
      </c>
      <c r="N1446" s="54" t="s">
        <v>9529</v>
      </c>
      <c r="Y1446" s="1" t="s">
        <v>9714</v>
      </c>
      <c r="AA1446" s="1" t="s">
        <v>125</v>
      </c>
      <c r="AE1446" s="1">
        <v>4</v>
      </c>
      <c r="AF1446" s="54" t="s">
        <v>9530</v>
      </c>
      <c r="AL1446" s="60" t="s">
        <v>341</v>
      </c>
      <c r="AN1446" s="4" t="s">
        <v>4118</v>
      </c>
      <c r="AQ1446" s="1"/>
    </row>
    <row r="1447" spans="1:43" ht="96" x14ac:dyDescent="0.2">
      <c r="A1447" s="1" t="s">
        <v>4034</v>
      </c>
      <c r="B1447" s="1" t="s">
        <v>4176</v>
      </c>
      <c r="C1447" s="1" t="s">
        <v>5720</v>
      </c>
      <c r="D1447" s="48">
        <v>79</v>
      </c>
      <c r="E1447" s="1">
        <v>1</v>
      </c>
      <c r="F1447" s="1" t="s">
        <v>4042</v>
      </c>
      <c r="G1447" s="1" t="s">
        <v>9722</v>
      </c>
      <c r="I1447" s="1" t="s">
        <v>125</v>
      </c>
      <c r="M1447" s="18">
        <v>5</v>
      </c>
      <c r="N1447" s="54" t="s">
        <v>9529</v>
      </c>
      <c r="Y1447" s="1" t="s">
        <v>9722</v>
      </c>
      <c r="AA1447" s="1" t="s">
        <v>125</v>
      </c>
      <c r="AE1447" s="1">
        <v>5</v>
      </c>
      <c r="AF1447" s="54" t="s">
        <v>9530</v>
      </c>
      <c r="AL1447" s="60" t="s">
        <v>799</v>
      </c>
      <c r="AN1447" s="4" t="s">
        <v>4177</v>
      </c>
      <c r="AQ1447" s="1"/>
    </row>
    <row r="1448" spans="1:43" ht="48" x14ac:dyDescent="0.2">
      <c r="A1448" s="121" t="s">
        <v>3452</v>
      </c>
      <c r="B1448" s="121" t="s">
        <v>3532</v>
      </c>
      <c r="C1448" s="121" t="s">
        <v>5721</v>
      </c>
      <c r="D1448" s="122">
        <v>1</v>
      </c>
      <c r="E1448" s="121">
        <v>1</v>
      </c>
      <c r="F1448" s="121"/>
      <c r="G1448" s="121" t="s">
        <v>241</v>
      </c>
      <c r="H1448" s="1" t="s">
        <v>26</v>
      </c>
      <c r="I1448" s="1" t="s">
        <v>27</v>
      </c>
      <c r="J1448" s="1" t="s">
        <v>3533</v>
      </c>
      <c r="K1448" s="1" t="s">
        <v>3534</v>
      </c>
      <c r="M1448" s="18">
        <v>0</v>
      </c>
      <c r="P1448" s="56">
        <v>2</v>
      </c>
      <c r="Q1448" s="57">
        <v>1</v>
      </c>
      <c r="R1448" s="58">
        <v>2</v>
      </c>
      <c r="S1448" s="59">
        <v>2</v>
      </c>
      <c r="V1448" s="4" t="s">
        <v>3535</v>
      </c>
      <c r="AL1448" s="60" t="s">
        <v>30</v>
      </c>
      <c r="AQ1448" s="1"/>
    </row>
    <row r="1449" spans="1:43" ht="36" x14ac:dyDescent="0.2">
      <c r="A1449" s="1" t="s">
        <v>3452</v>
      </c>
      <c r="B1449" s="1" t="s">
        <v>3560</v>
      </c>
      <c r="C1449" s="1" t="s">
        <v>5721</v>
      </c>
      <c r="D1449" s="48">
        <v>2</v>
      </c>
      <c r="E1449" s="1">
        <v>1</v>
      </c>
      <c r="G1449" s="1" t="s">
        <v>3561</v>
      </c>
      <c r="H1449" s="1" t="s">
        <v>26</v>
      </c>
      <c r="I1449" s="1" t="s">
        <v>27</v>
      </c>
      <c r="J1449" s="1" t="s">
        <v>28</v>
      </c>
      <c r="K1449" s="1" t="s">
        <v>242</v>
      </c>
      <c r="M1449" s="18">
        <v>8</v>
      </c>
      <c r="P1449" s="56">
        <v>3</v>
      </c>
      <c r="Q1449" s="57">
        <v>1</v>
      </c>
      <c r="R1449" s="58">
        <v>1</v>
      </c>
      <c r="S1449" s="59">
        <v>3</v>
      </c>
      <c r="V1449" s="4" t="s">
        <v>3562</v>
      </c>
      <c r="AL1449" s="60" t="s">
        <v>30</v>
      </c>
      <c r="AQ1449" s="1"/>
    </row>
    <row r="1450" spans="1:43" ht="48" x14ac:dyDescent="0.2">
      <c r="A1450" s="1" t="s">
        <v>3452</v>
      </c>
      <c r="B1450" s="1" t="s">
        <v>3453</v>
      </c>
      <c r="C1450" s="1" t="s">
        <v>5721</v>
      </c>
      <c r="D1450" s="48">
        <v>3</v>
      </c>
      <c r="E1450" s="1">
        <v>1</v>
      </c>
      <c r="G1450" s="1" t="s">
        <v>3454</v>
      </c>
      <c r="H1450" s="1" t="s">
        <v>26</v>
      </c>
      <c r="I1450" s="1" t="s">
        <v>27</v>
      </c>
      <c r="J1450" s="1" t="s">
        <v>50</v>
      </c>
      <c r="K1450" s="1" t="s">
        <v>242</v>
      </c>
      <c r="M1450" s="18">
        <v>6</v>
      </c>
      <c r="P1450" s="56">
        <v>2</v>
      </c>
      <c r="Q1450" s="57">
        <v>0</v>
      </c>
      <c r="R1450" s="58">
        <v>1</v>
      </c>
      <c r="S1450" s="59">
        <v>2</v>
      </c>
      <c r="V1450" s="4" t="s">
        <v>3455</v>
      </c>
      <c r="AL1450" s="60" t="s">
        <v>30</v>
      </c>
      <c r="AQ1450" s="1"/>
    </row>
    <row r="1451" spans="1:43" ht="60" x14ac:dyDescent="0.2">
      <c r="A1451" s="1" t="s">
        <v>3452</v>
      </c>
      <c r="B1451" s="1" t="s">
        <v>3719</v>
      </c>
      <c r="C1451" s="1" t="s">
        <v>5721</v>
      </c>
      <c r="D1451" s="48">
        <v>4</v>
      </c>
      <c r="E1451" s="1">
        <v>1</v>
      </c>
      <c r="G1451" s="1" t="s">
        <v>2215</v>
      </c>
      <c r="H1451" s="1" t="s">
        <v>26</v>
      </c>
      <c r="I1451" s="1" t="s">
        <v>27</v>
      </c>
      <c r="J1451" s="1" t="s">
        <v>39</v>
      </c>
      <c r="K1451" s="1" t="s">
        <v>242</v>
      </c>
      <c r="M1451" s="18">
        <v>6</v>
      </c>
      <c r="P1451" s="56">
        <v>2</v>
      </c>
      <c r="Q1451" s="57">
        <v>1</v>
      </c>
      <c r="R1451" s="58">
        <v>1</v>
      </c>
      <c r="S1451" s="59">
        <v>2</v>
      </c>
      <c r="V1451" s="4" t="s">
        <v>3720</v>
      </c>
      <c r="AL1451" s="60" t="s">
        <v>30</v>
      </c>
      <c r="AQ1451" s="1"/>
    </row>
    <row r="1452" spans="1:43" ht="36" x14ac:dyDescent="0.2">
      <c r="A1452" s="1" t="s">
        <v>3452</v>
      </c>
      <c r="B1452" s="1" t="s">
        <v>3594</v>
      </c>
      <c r="C1452" s="1" t="s">
        <v>5721</v>
      </c>
      <c r="D1452" s="48">
        <v>5</v>
      </c>
      <c r="E1452" s="1">
        <v>1</v>
      </c>
      <c r="G1452" s="1" t="s">
        <v>3595</v>
      </c>
      <c r="H1452" s="1" t="s">
        <v>26</v>
      </c>
      <c r="I1452" s="1" t="s">
        <v>27</v>
      </c>
      <c r="J1452" s="1" t="s">
        <v>57</v>
      </c>
      <c r="K1452" s="1" t="s">
        <v>242</v>
      </c>
      <c r="M1452" s="18">
        <v>7</v>
      </c>
      <c r="P1452" s="56">
        <v>1</v>
      </c>
      <c r="Q1452" s="57">
        <v>1</v>
      </c>
      <c r="R1452" s="58">
        <v>2</v>
      </c>
      <c r="S1452" s="59">
        <v>3</v>
      </c>
      <c r="V1452" s="4" t="s">
        <v>3596</v>
      </c>
      <c r="AL1452" s="60" t="s">
        <v>30</v>
      </c>
      <c r="AQ1452" s="1"/>
    </row>
    <row r="1453" spans="1:43" ht="36" x14ac:dyDescent="0.2">
      <c r="A1453" s="1" t="s">
        <v>3452</v>
      </c>
      <c r="B1453" s="1" t="s">
        <v>3501</v>
      </c>
      <c r="C1453" s="1" t="s">
        <v>5721</v>
      </c>
      <c r="D1453" s="48">
        <v>6</v>
      </c>
      <c r="E1453" s="1">
        <v>3</v>
      </c>
      <c r="G1453" s="1" t="s">
        <v>3502</v>
      </c>
      <c r="H1453" s="1" t="s">
        <v>26</v>
      </c>
      <c r="I1453" s="1" t="s">
        <v>38</v>
      </c>
      <c r="J1453" s="1" t="s">
        <v>28</v>
      </c>
      <c r="K1453" s="1" t="s">
        <v>3503</v>
      </c>
      <c r="L1453" s="2" t="s">
        <v>3504</v>
      </c>
      <c r="M1453" s="18">
        <v>2</v>
      </c>
      <c r="P1453" s="56">
        <v>1</v>
      </c>
      <c r="Q1453" s="57">
        <v>1</v>
      </c>
      <c r="R1453" s="58">
        <v>0</v>
      </c>
      <c r="S1453" s="59">
        <v>2</v>
      </c>
      <c r="V1453" s="4" t="s">
        <v>3505</v>
      </c>
      <c r="AL1453" s="60" t="s">
        <v>30</v>
      </c>
      <c r="AQ1453" s="1"/>
    </row>
    <row r="1454" spans="1:43" ht="36" x14ac:dyDescent="0.2">
      <c r="A1454" s="1" t="s">
        <v>3452</v>
      </c>
      <c r="B1454" s="1" t="s">
        <v>3622</v>
      </c>
      <c r="C1454" s="1" t="s">
        <v>5721</v>
      </c>
      <c r="D1454" s="48">
        <v>7</v>
      </c>
      <c r="E1454" s="1">
        <v>3</v>
      </c>
      <c r="G1454" s="1" t="s">
        <v>3623</v>
      </c>
      <c r="H1454" s="1" t="s">
        <v>26</v>
      </c>
      <c r="I1454" s="1" t="s">
        <v>38</v>
      </c>
      <c r="J1454" s="1" t="s">
        <v>39</v>
      </c>
      <c r="K1454" s="1" t="s">
        <v>3624</v>
      </c>
      <c r="M1454" s="18">
        <v>2</v>
      </c>
      <c r="P1454" s="56">
        <v>1</v>
      </c>
      <c r="Q1454" s="57">
        <v>0</v>
      </c>
      <c r="R1454" s="58">
        <v>1</v>
      </c>
      <c r="S1454" s="59">
        <v>3</v>
      </c>
      <c r="V1454" s="4" t="s">
        <v>3625</v>
      </c>
      <c r="AL1454" s="60" t="s">
        <v>30</v>
      </c>
      <c r="AQ1454" s="1"/>
    </row>
    <row r="1455" spans="1:43" ht="36" x14ac:dyDescent="0.2">
      <c r="A1455" s="1" t="s">
        <v>3452</v>
      </c>
      <c r="B1455" s="1" t="s">
        <v>3685</v>
      </c>
      <c r="C1455" s="1" t="s">
        <v>5721</v>
      </c>
      <c r="D1455" s="48">
        <v>8</v>
      </c>
      <c r="E1455" s="1">
        <v>3</v>
      </c>
      <c r="G1455" s="1" t="s">
        <v>3686</v>
      </c>
      <c r="H1455" s="1" t="s">
        <v>26</v>
      </c>
      <c r="I1455" s="1" t="s">
        <v>38</v>
      </c>
      <c r="J1455" s="1" t="s">
        <v>50</v>
      </c>
      <c r="K1455" s="1" t="s">
        <v>242</v>
      </c>
      <c r="M1455" s="18">
        <v>3</v>
      </c>
      <c r="P1455" s="56">
        <v>1</v>
      </c>
      <c r="Q1455" s="57">
        <v>2</v>
      </c>
      <c r="R1455" s="58">
        <v>0</v>
      </c>
      <c r="S1455" s="59">
        <v>2</v>
      </c>
      <c r="V1455" s="4" t="s">
        <v>3687</v>
      </c>
      <c r="AL1455" s="60" t="s">
        <v>30</v>
      </c>
      <c r="AQ1455" s="1"/>
    </row>
    <row r="1456" spans="1:43" ht="24" x14ac:dyDescent="0.2">
      <c r="A1456" s="1" t="s">
        <v>3452</v>
      </c>
      <c r="B1456" s="1" t="s">
        <v>3652</v>
      </c>
      <c r="C1456" s="1" t="s">
        <v>5721</v>
      </c>
      <c r="D1456" s="48">
        <v>9</v>
      </c>
      <c r="E1456" s="1">
        <v>3</v>
      </c>
      <c r="G1456" s="1" t="s">
        <v>3653</v>
      </c>
      <c r="I1456" s="1" t="s">
        <v>63</v>
      </c>
      <c r="J1456" s="1" t="s">
        <v>50</v>
      </c>
      <c r="M1456" s="18">
        <v>1</v>
      </c>
      <c r="V1456" s="4" t="s">
        <v>3654</v>
      </c>
      <c r="AL1456" s="60" t="s">
        <v>30</v>
      </c>
      <c r="AQ1456" s="1"/>
    </row>
    <row r="1457" spans="1:43" ht="24" x14ac:dyDescent="0.2">
      <c r="A1457" s="1" t="s">
        <v>3452</v>
      </c>
      <c r="B1457" s="1" t="s">
        <v>3658</v>
      </c>
      <c r="C1457" s="1" t="s">
        <v>5721</v>
      </c>
      <c r="D1457" s="48">
        <v>10</v>
      </c>
      <c r="E1457" s="1">
        <v>3</v>
      </c>
      <c r="G1457" s="1" t="s">
        <v>3659</v>
      </c>
      <c r="I1457" s="1" t="s">
        <v>63</v>
      </c>
      <c r="J1457" s="1" t="s">
        <v>57</v>
      </c>
      <c r="M1457" s="18">
        <v>2</v>
      </c>
      <c r="V1457" s="4" t="s">
        <v>3660</v>
      </c>
      <c r="AL1457" s="60" t="s">
        <v>30</v>
      </c>
      <c r="AQ1457" s="1"/>
    </row>
    <row r="1458" spans="1:43" ht="60" x14ac:dyDescent="0.2">
      <c r="A1458" s="1" t="s">
        <v>3452</v>
      </c>
      <c r="B1458" s="1" t="s">
        <v>3619</v>
      </c>
      <c r="C1458" s="1" t="s">
        <v>5721</v>
      </c>
      <c r="D1458" s="48">
        <v>11</v>
      </c>
      <c r="E1458" s="1">
        <v>3</v>
      </c>
      <c r="G1458" s="1" t="s">
        <v>3620</v>
      </c>
      <c r="I1458" s="1" t="s">
        <v>63</v>
      </c>
      <c r="J1458" s="1" t="s">
        <v>39</v>
      </c>
      <c r="M1458" s="18">
        <v>3</v>
      </c>
      <c r="V1458" s="4" t="s">
        <v>3621</v>
      </c>
      <c r="AL1458" s="60" t="s">
        <v>30</v>
      </c>
      <c r="AQ1458" s="1"/>
    </row>
    <row r="1459" spans="1:43" ht="24" x14ac:dyDescent="0.2">
      <c r="A1459" s="1" t="s">
        <v>3452</v>
      </c>
      <c r="B1459" s="1" t="s">
        <v>3661</v>
      </c>
      <c r="C1459" s="1" t="s">
        <v>5721</v>
      </c>
      <c r="D1459" s="48">
        <v>12</v>
      </c>
      <c r="E1459" s="1">
        <v>3</v>
      </c>
      <c r="G1459" s="1" t="s">
        <v>3662</v>
      </c>
      <c r="I1459" s="1" t="s">
        <v>63</v>
      </c>
      <c r="J1459" s="1" t="s">
        <v>3533</v>
      </c>
      <c r="M1459" s="18">
        <v>2</v>
      </c>
      <c r="V1459" s="4" t="s">
        <v>3663</v>
      </c>
      <c r="AL1459" s="60" t="s">
        <v>30</v>
      </c>
      <c r="AQ1459" s="1"/>
    </row>
    <row r="1460" spans="1:43" ht="24" x14ac:dyDescent="0.2">
      <c r="A1460" s="1" t="s">
        <v>3452</v>
      </c>
      <c r="B1460" s="1" t="s">
        <v>3648</v>
      </c>
      <c r="C1460" s="1" t="s">
        <v>5721</v>
      </c>
      <c r="D1460" s="48">
        <v>13</v>
      </c>
      <c r="E1460" s="1">
        <v>3</v>
      </c>
      <c r="G1460" s="1" t="s">
        <v>3649</v>
      </c>
      <c r="I1460" s="1" t="s">
        <v>56</v>
      </c>
      <c r="J1460" s="1" t="s">
        <v>28</v>
      </c>
      <c r="K1460" s="1" t="s">
        <v>89</v>
      </c>
      <c r="L1460" s="2" t="s">
        <v>3650</v>
      </c>
      <c r="M1460" s="18">
        <v>1</v>
      </c>
      <c r="V1460" s="4" t="s">
        <v>3651</v>
      </c>
      <c r="AL1460" s="60" t="s">
        <v>30</v>
      </c>
      <c r="AQ1460" s="1"/>
    </row>
    <row r="1461" spans="1:43" ht="24" x14ac:dyDescent="0.2">
      <c r="A1461" s="1" t="s">
        <v>3452</v>
      </c>
      <c r="B1461" s="1" t="s">
        <v>3563</v>
      </c>
      <c r="C1461" s="1" t="s">
        <v>5721</v>
      </c>
      <c r="D1461" s="48">
        <v>14</v>
      </c>
      <c r="E1461" s="1">
        <v>3</v>
      </c>
      <c r="G1461" s="1" t="s">
        <v>3564</v>
      </c>
      <c r="I1461" s="1" t="s">
        <v>56</v>
      </c>
      <c r="J1461" s="1" t="s">
        <v>50</v>
      </c>
      <c r="K1461" s="1" t="s">
        <v>3565</v>
      </c>
      <c r="L1461" s="2" t="s">
        <v>3566</v>
      </c>
      <c r="M1461" s="18">
        <v>1</v>
      </c>
      <c r="V1461" s="4" t="s">
        <v>3567</v>
      </c>
      <c r="AL1461" s="60" t="s">
        <v>30</v>
      </c>
      <c r="AQ1461" s="1"/>
    </row>
    <row r="1462" spans="1:43" ht="24" x14ac:dyDescent="0.2">
      <c r="A1462" s="1" t="s">
        <v>3452</v>
      </c>
      <c r="B1462" s="1" t="s">
        <v>3680</v>
      </c>
      <c r="C1462" s="1" t="s">
        <v>5721</v>
      </c>
      <c r="D1462" s="48">
        <v>15</v>
      </c>
      <c r="E1462" s="1">
        <v>3</v>
      </c>
      <c r="G1462" s="1" t="s">
        <v>3681</v>
      </c>
      <c r="I1462" s="1" t="s">
        <v>56</v>
      </c>
      <c r="J1462" s="1" t="s">
        <v>57</v>
      </c>
      <c r="K1462" s="1" t="s">
        <v>3682</v>
      </c>
      <c r="L1462" s="2" t="s">
        <v>3683</v>
      </c>
      <c r="M1462" s="18">
        <v>0</v>
      </c>
      <c r="V1462" s="4" t="s">
        <v>3684</v>
      </c>
      <c r="AL1462" s="60" t="s">
        <v>30</v>
      </c>
      <c r="AQ1462" s="1"/>
    </row>
    <row r="1463" spans="1:43" ht="48" x14ac:dyDescent="0.2">
      <c r="A1463" s="1" t="s">
        <v>3452</v>
      </c>
      <c r="B1463" s="1" t="s">
        <v>3677</v>
      </c>
      <c r="C1463" s="1" t="s">
        <v>5721</v>
      </c>
      <c r="D1463" s="48">
        <v>16</v>
      </c>
      <c r="E1463" s="1">
        <v>3</v>
      </c>
      <c r="G1463" s="1" t="s">
        <v>3678</v>
      </c>
      <c r="H1463" s="1" t="s">
        <v>26</v>
      </c>
      <c r="I1463" s="1" t="s">
        <v>56</v>
      </c>
      <c r="J1463" s="1" t="s">
        <v>39</v>
      </c>
      <c r="K1463" s="1" t="s">
        <v>150</v>
      </c>
      <c r="M1463" s="18">
        <v>1</v>
      </c>
      <c r="V1463" s="4" t="s">
        <v>3679</v>
      </c>
      <c r="AL1463" s="60" t="s">
        <v>30</v>
      </c>
      <c r="AQ1463" s="1"/>
    </row>
    <row r="1464" spans="1:43" ht="60" x14ac:dyDescent="0.2">
      <c r="A1464" s="1" t="s">
        <v>3452</v>
      </c>
      <c r="B1464" s="1" t="s">
        <v>3725</v>
      </c>
      <c r="C1464" s="1" t="s">
        <v>5721</v>
      </c>
      <c r="D1464" s="48">
        <v>17</v>
      </c>
      <c r="E1464" s="1">
        <v>1</v>
      </c>
      <c r="G1464" s="1" t="s">
        <v>5914</v>
      </c>
      <c r="H1464" s="1" t="s">
        <v>26</v>
      </c>
      <c r="I1464" s="1" t="s">
        <v>56</v>
      </c>
      <c r="J1464" s="1" t="s">
        <v>3498</v>
      </c>
      <c r="K1464" s="1" t="s">
        <v>298</v>
      </c>
      <c r="L1464" s="2" t="s">
        <v>3499</v>
      </c>
      <c r="M1464" s="18">
        <v>0</v>
      </c>
      <c r="U1464" s="1">
        <v>1</v>
      </c>
      <c r="V1464" s="4" t="s">
        <v>3726</v>
      </c>
      <c r="X1464" s="1" t="s">
        <v>1681</v>
      </c>
      <c r="AL1464" s="60" t="s">
        <v>30</v>
      </c>
      <c r="AQ1464" s="1"/>
    </row>
    <row r="1465" spans="1:43" ht="36" x14ac:dyDescent="0.2">
      <c r="A1465" s="1" t="s">
        <v>3452</v>
      </c>
      <c r="B1465" s="1" t="s">
        <v>3750</v>
      </c>
      <c r="C1465" s="1" t="s">
        <v>5721</v>
      </c>
      <c r="D1465" s="48">
        <v>18</v>
      </c>
      <c r="E1465" s="1">
        <v>1</v>
      </c>
      <c r="G1465" s="1" t="s">
        <v>3751</v>
      </c>
      <c r="H1465" s="1" t="s">
        <v>26</v>
      </c>
      <c r="I1465" s="1" t="s">
        <v>56</v>
      </c>
      <c r="J1465" s="1" t="s">
        <v>3498</v>
      </c>
      <c r="K1465" s="1" t="s">
        <v>298</v>
      </c>
      <c r="L1465" s="2" t="s">
        <v>3499</v>
      </c>
      <c r="M1465" s="18">
        <v>0</v>
      </c>
      <c r="V1465" s="4" t="s">
        <v>3752</v>
      </c>
      <c r="X1465" s="1" t="s">
        <v>1681</v>
      </c>
      <c r="AL1465" s="60" t="s">
        <v>30</v>
      </c>
      <c r="AQ1465" s="1"/>
    </row>
    <row r="1466" spans="1:43" ht="36" x14ac:dyDescent="0.2">
      <c r="A1466" s="1" t="s">
        <v>3452</v>
      </c>
      <c r="B1466" s="1" t="s">
        <v>3496</v>
      </c>
      <c r="C1466" s="1" t="s">
        <v>5721</v>
      </c>
      <c r="D1466" s="48">
        <v>19</v>
      </c>
      <c r="E1466" s="1">
        <v>1</v>
      </c>
      <c r="G1466" s="1" t="s">
        <v>3497</v>
      </c>
      <c r="H1466" s="1" t="s">
        <v>26</v>
      </c>
      <c r="I1466" s="1" t="s">
        <v>56</v>
      </c>
      <c r="J1466" s="1" t="s">
        <v>3498</v>
      </c>
      <c r="K1466" s="1" t="s">
        <v>298</v>
      </c>
      <c r="L1466" s="2" t="s">
        <v>3499</v>
      </c>
      <c r="M1466" s="18">
        <v>0</v>
      </c>
      <c r="V1466" s="4" t="s">
        <v>3500</v>
      </c>
      <c r="X1466" s="1" t="s">
        <v>1681</v>
      </c>
      <c r="AL1466" s="60" t="s">
        <v>30</v>
      </c>
      <c r="AQ1466" s="1"/>
    </row>
    <row r="1467" spans="1:43" ht="36" x14ac:dyDescent="0.2">
      <c r="A1467" s="1" t="s">
        <v>3452</v>
      </c>
      <c r="B1467" s="1" t="s">
        <v>3757</v>
      </c>
      <c r="C1467" s="1" t="s">
        <v>5721</v>
      </c>
      <c r="D1467" s="48">
        <v>20</v>
      </c>
      <c r="E1467" s="1">
        <v>1</v>
      </c>
      <c r="G1467" s="1" t="s">
        <v>3758</v>
      </c>
      <c r="H1467" s="1" t="s">
        <v>26</v>
      </c>
      <c r="I1467" s="1" t="s">
        <v>56</v>
      </c>
      <c r="J1467" s="1" t="s">
        <v>3498</v>
      </c>
      <c r="K1467" s="1" t="s">
        <v>298</v>
      </c>
      <c r="L1467" s="2" t="s">
        <v>3499</v>
      </c>
      <c r="M1467" s="18">
        <v>0</v>
      </c>
      <c r="V1467" s="4" t="s">
        <v>3759</v>
      </c>
      <c r="X1467" s="1" t="s">
        <v>1681</v>
      </c>
      <c r="AL1467" s="60" t="s">
        <v>30</v>
      </c>
      <c r="AQ1467" s="1"/>
    </row>
    <row r="1468" spans="1:43" ht="36" x14ac:dyDescent="0.2">
      <c r="A1468" s="1" t="s">
        <v>3452</v>
      </c>
      <c r="B1468" s="1" t="s">
        <v>3698</v>
      </c>
      <c r="C1468" s="1" t="s">
        <v>5721</v>
      </c>
      <c r="D1468" s="48">
        <v>21</v>
      </c>
      <c r="E1468" s="1">
        <v>1</v>
      </c>
      <c r="G1468" s="1" t="s">
        <v>3699</v>
      </c>
      <c r="H1468" s="1" t="s">
        <v>26</v>
      </c>
      <c r="I1468" s="1" t="s">
        <v>56</v>
      </c>
      <c r="J1468" s="1" t="s">
        <v>3498</v>
      </c>
      <c r="K1468" s="1" t="s">
        <v>298</v>
      </c>
      <c r="L1468" s="2" t="s">
        <v>3499</v>
      </c>
      <c r="M1468" s="18">
        <v>0</v>
      </c>
      <c r="V1468" s="4" t="s">
        <v>3700</v>
      </c>
      <c r="X1468" s="1" t="s">
        <v>1681</v>
      </c>
      <c r="AL1468" s="60" t="s">
        <v>30</v>
      </c>
      <c r="AQ1468" s="1"/>
    </row>
    <row r="1469" spans="1:43" ht="48" x14ac:dyDescent="0.2">
      <c r="A1469" s="1" t="s">
        <v>3452</v>
      </c>
      <c r="B1469" s="1" t="s">
        <v>3603</v>
      </c>
      <c r="C1469" s="1" t="s">
        <v>5721</v>
      </c>
      <c r="D1469" s="48">
        <v>22</v>
      </c>
      <c r="E1469" s="1">
        <v>1</v>
      </c>
      <c r="F1469" s="1" t="s">
        <v>3470</v>
      </c>
      <c r="G1469" s="1" t="s">
        <v>9571</v>
      </c>
      <c r="I1469" s="1" t="s">
        <v>125</v>
      </c>
      <c r="M1469" s="18">
        <v>1</v>
      </c>
      <c r="N1469" s="54" t="s">
        <v>9529</v>
      </c>
      <c r="V1469" s="4" t="s">
        <v>3604</v>
      </c>
      <c r="X1469" s="1" t="s">
        <v>3605</v>
      </c>
      <c r="Y1469" s="1" t="s">
        <v>9571</v>
      </c>
      <c r="AA1469" s="1" t="s">
        <v>125</v>
      </c>
      <c r="AE1469" s="1">
        <v>1</v>
      </c>
      <c r="AF1469" s="54" t="s">
        <v>9530</v>
      </c>
      <c r="AL1469" s="60" t="s">
        <v>36</v>
      </c>
      <c r="AN1469" s="4" t="s">
        <v>3606</v>
      </c>
      <c r="AQ1469" s="1"/>
    </row>
    <row r="1470" spans="1:43" ht="108" x14ac:dyDescent="0.2">
      <c r="A1470" s="1" t="s">
        <v>3452</v>
      </c>
      <c r="B1470" s="1" t="s">
        <v>3555</v>
      </c>
      <c r="C1470" s="1" t="s">
        <v>5721</v>
      </c>
      <c r="D1470" s="48">
        <v>23</v>
      </c>
      <c r="E1470" s="1">
        <v>1</v>
      </c>
      <c r="F1470" s="1" t="s">
        <v>3470</v>
      </c>
      <c r="G1470" s="1" t="s">
        <v>9630</v>
      </c>
      <c r="I1470" s="1" t="s">
        <v>125</v>
      </c>
      <c r="M1470" s="18">
        <v>2</v>
      </c>
      <c r="N1470" s="54" t="s">
        <v>9529</v>
      </c>
      <c r="Y1470" s="1" t="s">
        <v>9630</v>
      </c>
      <c r="AA1470" s="1" t="s">
        <v>125</v>
      </c>
      <c r="AE1470" s="1">
        <v>2</v>
      </c>
      <c r="AF1470" s="54" t="s">
        <v>9530</v>
      </c>
      <c r="AL1470" s="60" t="s">
        <v>5621</v>
      </c>
      <c r="AN1470" s="4" t="s">
        <v>3556</v>
      </c>
      <c r="AQ1470" s="1"/>
    </row>
    <row r="1471" spans="1:43" ht="108" x14ac:dyDescent="0.2">
      <c r="A1471" s="1" t="s">
        <v>3452</v>
      </c>
      <c r="B1471" s="1" t="s">
        <v>3616</v>
      </c>
      <c r="C1471" s="1" t="s">
        <v>5721</v>
      </c>
      <c r="D1471" s="48">
        <v>24</v>
      </c>
      <c r="E1471" s="1">
        <v>1</v>
      </c>
      <c r="F1471" s="1" t="s">
        <v>3470</v>
      </c>
      <c r="G1471" s="1" t="s">
        <v>9691</v>
      </c>
      <c r="I1471" s="1" t="s">
        <v>125</v>
      </c>
      <c r="M1471" s="18">
        <v>3</v>
      </c>
      <c r="N1471" s="54" t="s">
        <v>9529</v>
      </c>
      <c r="V1471" s="4" t="s">
        <v>3617</v>
      </c>
      <c r="Y1471" s="1" t="s">
        <v>9691</v>
      </c>
      <c r="AA1471" s="1" t="s">
        <v>125</v>
      </c>
      <c r="AE1471" s="1">
        <v>3</v>
      </c>
      <c r="AF1471" s="54" t="s">
        <v>9530</v>
      </c>
      <c r="AL1471" s="60" t="s">
        <v>799</v>
      </c>
      <c r="AN1471" s="4" t="s">
        <v>3618</v>
      </c>
      <c r="AQ1471" s="1"/>
    </row>
    <row r="1472" spans="1:43" ht="36" x14ac:dyDescent="0.2">
      <c r="A1472" s="1" t="s">
        <v>3452</v>
      </c>
      <c r="B1472" s="1" t="s">
        <v>3721</v>
      </c>
      <c r="C1472" s="1" t="s">
        <v>5721</v>
      </c>
      <c r="D1472" s="48">
        <v>25</v>
      </c>
      <c r="E1472" s="1">
        <v>1</v>
      </c>
      <c r="F1472" s="1" t="s">
        <v>3480</v>
      </c>
      <c r="G1472" s="1" t="s">
        <v>9572</v>
      </c>
      <c r="I1472" s="1" t="s">
        <v>125</v>
      </c>
      <c r="M1472" s="18">
        <v>1</v>
      </c>
      <c r="N1472" s="54" t="s">
        <v>9529</v>
      </c>
      <c r="V1472" s="4" t="s">
        <v>3722</v>
      </c>
      <c r="X1472" s="1" t="s">
        <v>3723</v>
      </c>
      <c r="Y1472" s="1" t="s">
        <v>9572</v>
      </c>
      <c r="AA1472" s="1" t="s">
        <v>125</v>
      </c>
      <c r="AE1472" s="1">
        <v>1</v>
      </c>
      <c r="AF1472" s="54" t="s">
        <v>9530</v>
      </c>
      <c r="AL1472" s="60" t="s">
        <v>341</v>
      </c>
      <c r="AN1472" s="4" t="s">
        <v>3724</v>
      </c>
      <c r="AQ1472" s="1"/>
    </row>
    <row r="1473" spans="1:43" ht="96" x14ac:dyDescent="0.2">
      <c r="A1473" s="1" t="s">
        <v>3452</v>
      </c>
      <c r="B1473" s="1" t="s">
        <v>3509</v>
      </c>
      <c r="C1473" s="1" t="s">
        <v>5721</v>
      </c>
      <c r="D1473" s="48">
        <v>26</v>
      </c>
      <c r="E1473" s="1">
        <v>1</v>
      </c>
      <c r="F1473" s="1" t="s">
        <v>3480</v>
      </c>
      <c r="G1473" s="1" t="s">
        <v>9631</v>
      </c>
      <c r="I1473" s="1" t="s">
        <v>125</v>
      </c>
      <c r="M1473" s="18">
        <v>2</v>
      </c>
      <c r="N1473" s="54" t="s">
        <v>9529</v>
      </c>
      <c r="Y1473" s="1" t="s">
        <v>9631</v>
      </c>
      <c r="AA1473" s="1" t="s">
        <v>125</v>
      </c>
      <c r="AE1473" s="1">
        <v>2</v>
      </c>
      <c r="AF1473" s="54" t="s">
        <v>9530</v>
      </c>
      <c r="AL1473" s="60" t="s">
        <v>166</v>
      </c>
      <c r="AN1473" s="4" t="s">
        <v>3510</v>
      </c>
      <c r="AQ1473" s="1"/>
    </row>
    <row r="1474" spans="1:43" ht="36" x14ac:dyDescent="0.2">
      <c r="A1474" s="1" t="s">
        <v>3452</v>
      </c>
      <c r="B1474" s="1" t="s">
        <v>3506</v>
      </c>
      <c r="C1474" s="1" t="s">
        <v>5721</v>
      </c>
      <c r="D1474" s="48">
        <v>27</v>
      </c>
      <c r="E1474" s="1">
        <v>1</v>
      </c>
      <c r="F1474" s="1" t="s">
        <v>3480</v>
      </c>
      <c r="G1474" s="1" t="s">
        <v>9692</v>
      </c>
      <c r="I1474" s="1" t="s">
        <v>125</v>
      </c>
      <c r="M1474" s="18">
        <v>3</v>
      </c>
      <c r="N1474" s="54" t="s">
        <v>9529</v>
      </c>
      <c r="V1474" s="4" t="s">
        <v>3507</v>
      </c>
      <c r="Y1474" s="1" t="s">
        <v>9692</v>
      </c>
      <c r="AA1474" s="1" t="s">
        <v>125</v>
      </c>
      <c r="AE1474" s="1">
        <v>3</v>
      </c>
      <c r="AF1474" s="54" t="s">
        <v>9530</v>
      </c>
      <c r="AL1474" s="60" t="s">
        <v>799</v>
      </c>
      <c r="AN1474" s="4" t="s">
        <v>3508</v>
      </c>
      <c r="AQ1474" s="1"/>
    </row>
    <row r="1475" spans="1:43" ht="60" x14ac:dyDescent="0.2">
      <c r="A1475" s="1" t="s">
        <v>3452</v>
      </c>
      <c r="B1475" s="1" t="s">
        <v>3753</v>
      </c>
      <c r="C1475" s="1" t="s">
        <v>5721</v>
      </c>
      <c r="D1475" s="48">
        <v>28</v>
      </c>
      <c r="E1475" s="1">
        <v>1</v>
      </c>
      <c r="F1475" s="1" t="s">
        <v>3461</v>
      </c>
      <c r="G1475" s="1" t="s">
        <v>9573</v>
      </c>
      <c r="I1475" s="1" t="s">
        <v>125</v>
      </c>
      <c r="M1475" s="18">
        <v>1</v>
      </c>
      <c r="N1475" s="54" t="s">
        <v>9529</v>
      </c>
      <c r="V1475" s="4" t="s">
        <v>3754</v>
      </c>
      <c r="X1475" s="1" t="s">
        <v>3755</v>
      </c>
      <c r="Y1475" s="1" t="s">
        <v>9573</v>
      </c>
      <c r="AA1475" s="1" t="s">
        <v>125</v>
      </c>
      <c r="AE1475" s="1">
        <v>1</v>
      </c>
      <c r="AF1475" s="54" t="s">
        <v>9530</v>
      </c>
      <c r="AL1475" s="60" t="s">
        <v>666</v>
      </c>
      <c r="AN1475" s="4" t="s">
        <v>3756</v>
      </c>
      <c r="AQ1475" s="1"/>
    </row>
    <row r="1476" spans="1:43" ht="96" x14ac:dyDescent="0.2">
      <c r="A1476" s="1" t="s">
        <v>3452</v>
      </c>
      <c r="B1476" s="1" t="s">
        <v>3601</v>
      </c>
      <c r="C1476" s="1" t="s">
        <v>5721</v>
      </c>
      <c r="D1476" s="48">
        <v>29</v>
      </c>
      <c r="E1476" s="1">
        <v>1</v>
      </c>
      <c r="F1476" s="1" t="s">
        <v>3461</v>
      </c>
      <c r="G1476" s="1" t="s">
        <v>9632</v>
      </c>
      <c r="I1476" s="1" t="s">
        <v>125</v>
      </c>
      <c r="M1476" s="18">
        <v>2</v>
      </c>
      <c r="N1476" s="54" t="s">
        <v>9529</v>
      </c>
      <c r="Y1476" s="1" t="s">
        <v>9632</v>
      </c>
      <c r="AA1476" s="1" t="s">
        <v>125</v>
      </c>
      <c r="AE1476" s="1">
        <v>2</v>
      </c>
      <c r="AF1476" s="54" t="s">
        <v>9530</v>
      </c>
      <c r="AL1476" s="60" t="s">
        <v>666</v>
      </c>
      <c r="AN1476" s="4" t="s">
        <v>3602</v>
      </c>
      <c r="AQ1476" s="1"/>
    </row>
    <row r="1477" spans="1:43" ht="36" x14ac:dyDescent="0.2">
      <c r="A1477" s="111" t="s">
        <v>3452</v>
      </c>
      <c r="B1477" s="111" t="s">
        <v>3524</v>
      </c>
      <c r="C1477" s="111" t="s">
        <v>5721</v>
      </c>
      <c r="D1477" s="112">
        <v>30</v>
      </c>
      <c r="E1477" s="111">
        <v>1</v>
      </c>
      <c r="F1477" s="111" t="s">
        <v>10401</v>
      </c>
      <c r="G1477" s="111" t="s">
        <v>3470</v>
      </c>
      <c r="I1477" s="1" t="s">
        <v>3482</v>
      </c>
      <c r="L1477" s="2" t="s">
        <v>3483</v>
      </c>
      <c r="N1477" s="54" t="s">
        <v>9529</v>
      </c>
      <c r="V1477" s="4" t="s">
        <v>3525</v>
      </c>
      <c r="X1477" s="1" t="s">
        <v>3526</v>
      </c>
      <c r="Y1477" s="1" t="s">
        <v>3470</v>
      </c>
      <c r="AA1477" s="1" t="s">
        <v>3482</v>
      </c>
      <c r="AF1477" s="54" t="s">
        <v>9530</v>
      </c>
      <c r="AL1477" s="60" t="s">
        <v>30</v>
      </c>
      <c r="AN1477" s="4" t="s">
        <v>3527</v>
      </c>
      <c r="AQ1477" s="1"/>
    </row>
    <row r="1478" spans="1:43" ht="24" x14ac:dyDescent="0.2">
      <c r="A1478" s="1" t="s">
        <v>3452</v>
      </c>
      <c r="B1478" s="1" t="s">
        <v>3466</v>
      </c>
      <c r="C1478" s="1" t="s">
        <v>5721</v>
      </c>
      <c r="D1478" s="48">
        <v>31</v>
      </c>
      <c r="E1478" s="1">
        <v>1</v>
      </c>
      <c r="F1478" s="1" t="s">
        <v>3470</v>
      </c>
      <c r="G1478" s="1" t="s">
        <v>3467</v>
      </c>
      <c r="H1478" s="1" t="s">
        <v>26</v>
      </c>
      <c r="I1478" s="1" t="s">
        <v>104</v>
      </c>
      <c r="K1478" s="1" t="s">
        <v>3468</v>
      </c>
      <c r="O1478" s="55">
        <v>0</v>
      </c>
      <c r="T1478" s="60">
        <v>3</v>
      </c>
      <c r="U1478" s="1">
        <v>1</v>
      </c>
      <c r="V1478" s="4" t="s">
        <v>3469</v>
      </c>
      <c r="AL1478" s="60" t="s">
        <v>30</v>
      </c>
      <c r="AQ1478" s="1"/>
    </row>
    <row r="1479" spans="1:43" ht="24" x14ac:dyDescent="0.2">
      <c r="A1479" s="1" t="s">
        <v>3452</v>
      </c>
      <c r="B1479" s="1" t="s">
        <v>3701</v>
      </c>
      <c r="C1479" s="1" t="s">
        <v>5721</v>
      </c>
      <c r="D1479" s="48">
        <v>32</v>
      </c>
      <c r="E1479" s="1">
        <v>1</v>
      </c>
      <c r="F1479" s="1" t="s">
        <v>3470</v>
      </c>
      <c r="G1479" s="1" t="s">
        <v>3702</v>
      </c>
      <c r="H1479" s="1" t="s">
        <v>26</v>
      </c>
      <c r="I1479" s="1" t="s">
        <v>104</v>
      </c>
      <c r="K1479" s="1" t="s">
        <v>105</v>
      </c>
      <c r="O1479" s="55">
        <v>1</v>
      </c>
      <c r="T1479" s="60">
        <v>1</v>
      </c>
      <c r="U1479" s="1">
        <v>1</v>
      </c>
      <c r="V1479" s="4" t="s">
        <v>3703</v>
      </c>
      <c r="AL1479" s="60" t="s">
        <v>30</v>
      </c>
    </row>
    <row r="1480" spans="1:43" ht="24" x14ac:dyDescent="0.2">
      <c r="A1480" s="1" t="s">
        <v>3452</v>
      </c>
      <c r="B1480" s="1" t="s">
        <v>3511</v>
      </c>
      <c r="C1480" s="1" t="s">
        <v>5721</v>
      </c>
      <c r="D1480" s="48">
        <v>33</v>
      </c>
      <c r="E1480" s="1">
        <v>1</v>
      </c>
      <c r="F1480" s="1" t="s">
        <v>3470</v>
      </c>
      <c r="G1480" s="1" t="s">
        <v>3512</v>
      </c>
      <c r="H1480" s="1" t="s">
        <v>26</v>
      </c>
      <c r="I1480" s="1" t="s">
        <v>104</v>
      </c>
      <c r="K1480" s="1" t="s">
        <v>3513</v>
      </c>
      <c r="O1480" s="55">
        <v>1</v>
      </c>
      <c r="T1480" s="60">
        <v>5</v>
      </c>
      <c r="U1480" s="1">
        <v>1</v>
      </c>
      <c r="V1480" s="4" t="s">
        <v>3514</v>
      </c>
      <c r="AL1480" s="60" t="s">
        <v>30</v>
      </c>
    </row>
    <row r="1481" spans="1:43" ht="24" x14ac:dyDescent="0.2">
      <c r="A1481" s="1" t="s">
        <v>3452</v>
      </c>
      <c r="B1481" s="1" t="s">
        <v>3642</v>
      </c>
      <c r="C1481" s="1" t="s">
        <v>5721</v>
      </c>
      <c r="D1481" s="48">
        <v>34</v>
      </c>
      <c r="E1481" s="1">
        <v>1</v>
      </c>
      <c r="F1481" s="1" t="s">
        <v>3470</v>
      </c>
      <c r="G1481" s="1" t="s">
        <v>3643</v>
      </c>
      <c r="H1481" s="1" t="s">
        <v>26</v>
      </c>
      <c r="I1481" s="1" t="s">
        <v>104</v>
      </c>
      <c r="K1481" s="1" t="s">
        <v>3468</v>
      </c>
      <c r="O1481" s="55">
        <v>2</v>
      </c>
      <c r="T1481" s="60">
        <v>2</v>
      </c>
      <c r="U1481" s="1">
        <v>1</v>
      </c>
      <c r="V1481" s="4" t="s">
        <v>3644</v>
      </c>
      <c r="AL1481" s="60" t="s">
        <v>30</v>
      </c>
    </row>
    <row r="1482" spans="1:43" ht="84" x14ac:dyDescent="0.2">
      <c r="A1482" s="1" t="s">
        <v>3452</v>
      </c>
      <c r="B1482" s="1" t="s">
        <v>3584</v>
      </c>
      <c r="C1482" s="1" t="s">
        <v>5721</v>
      </c>
      <c r="D1482" s="48">
        <v>35</v>
      </c>
      <c r="E1482" s="1">
        <v>1</v>
      </c>
      <c r="F1482" s="1" t="s">
        <v>3470</v>
      </c>
      <c r="G1482" s="1" t="s">
        <v>3585</v>
      </c>
      <c r="H1482" s="1" t="s">
        <v>26</v>
      </c>
      <c r="I1482" s="1" t="s">
        <v>104</v>
      </c>
      <c r="K1482" s="1" t="s">
        <v>3548</v>
      </c>
      <c r="L1482" s="2" t="s">
        <v>331</v>
      </c>
      <c r="O1482" s="55">
        <v>3</v>
      </c>
      <c r="T1482" s="60">
        <v>9</v>
      </c>
      <c r="V1482" s="4" t="s">
        <v>3586</v>
      </c>
      <c r="AL1482" s="60" t="s">
        <v>30</v>
      </c>
    </row>
    <row r="1483" spans="1:43" ht="24" x14ac:dyDescent="0.2">
      <c r="A1483" s="1" t="s">
        <v>3452</v>
      </c>
      <c r="B1483" s="1" t="s">
        <v>3673</v>
      </c>
      <c r="C1483" s="1" t="s">
        <v>5721</v>
      </c>
      <c r="D1483" s="48">
        <v>36</v>
      </c>
      <c r="E1483" s="1">
        <v>3</v>
      </c>
      <c r="F1483" s="1" t="s">
        <v>3470</v>
      </c>
      <c r="G1483" s="1" t="s">
        <v>3674</v>
      </c>
      <c r="I1483" s="1" t="s">
        <v>104</v>
      </c>
      <c r="K1483" s="1" t="s">
        <v>105</v>
      </c>
      <c r="O1483" s="55">
        <v>2</v>
      </c>
      <c r="T1483" s="60">
        <v>3</v>
      </c>
      <c r="V1483" s="4" t="s">
        <v>3675</v>
      </c>
      <c r="W1483" s="4" t="s">
        <v>3676</v>
      </c>
      <c r="AL1483" s="60" t="s">
        <v>30</v>
      </c>
    </row>
    <row r="1484" spans="1:43" ht="48" x14ac:dyDescent="0.2">
      <c r="A1484" s="1" t="s">
        <v>3452</v>
      </c>
      <c r="B1484" s="1" t="s">
        <v>3645</v>
      </c>
      <c r="C1484" s="1" t="s">
        <v>5721</v>
      </c>
      <c r="D1484" s="48">
        <v>37</v>
      </c>
      <c r="E1484" s="1">
        <v>3</v>
      </c>
      <c r="F1484" s="1" t="s">
        <v>3470</v>
      </c>
      <c r="G1484" s="1" t="s">
        <v>3646</v>
      </c>
      <c r="I1484" s="1" t="s">
        <v>104</v>
      </c>
      <c r="K1484" s="1" t="s">
        <v>3058</v>
      </c>
      <c r="O1484" s="55">
        <v>3</v>
      </c>
      <c r="T1484" s="60">
        <v>3</v>
      </c>
      <c r="V1484" s="4" t="s">
        <v>3647</v>
      </c>
      <c r="AL1484" s="60" t="s">
        <v>30</v>
      </c>
    </row>
    <row r="1485" spans="1:43" ht="24" x14ac:dyDescent="0.2">
      <c r="A1485" s="1" t="s">
        <v>3452</v>
      </c>
      <c r="B1485" s="1" t="s">
        <v>3551</v>
      </c>
      <c r="C1485" s="1" t="s">
        <v>5721</v>
      </c>
      <c r="D1485" s="48">
        <v>38</v>
      </c>
      <c r="E1485" s="1">
        <v>2</v>
      </c>
      <c r="F1485" s="1" t="s">
        <v>3470</v>
      </c>
      <c r="G1485" s="1" t="s">
        <v>3552</v>
      </c>
      <c r="I1485" s="1" t="s">
        <v>104</v>
      </c>
      <c r="K1485" s="1" t="s">
        <v>726</v>
      </c>
      <c r="O1485" s="55">
        <v>3</v>
      </c>
      <c r="T1485" s="60">
        <v>4</v>
      </c>
      <c r="V1485" s="4" t="s">
        <v>3553</v>
      </c>
      <c r="W1485" s="4" t="s">
        <v>3554</v>
      </c>
      <c r="AL1485" s="60" t="s">
        <v>30</v>
      </c>
    </row>
    <row r="1486" spans="1:43" ht="24" x14ac:dyDescent="0.2">
      <c r="A1486" s="1" t="s">
        <v>3452</v>
      </c>
      <c r="B1486" s="1" t="s">
        <v>3587</v>
      </c>
      <c r="C1486" s="1" t="s">
        <v>5721</v>
      </c>
      <c r="D1486" s="48">
        <v>39</v>
      </c>
      <c r="E1486" s="1">
        <v>5</v>
      </c>
      <c r="F1486" s="1" t="s">
        <v>3470</v>
      </c>
      <c r="G1486" s="1" t="s">
        <v>3588</v>
      </c>
      <c r="I1486" s="1" t="s">
        <v>94</v>
      </c>
      <c r="K1486" s="1" t="s">
        <v>679</v>
      </c>
      <c r="L1486" s="2" t="s">
        <v>3589</v>
      </c>
      <c r="N1486" s="54">
        <v>35</v>
      </c>
      <c r="O1486" s="55">
        <v>4</v>
      </c>
      <c r="Q1486" s="57">
        <v>5</v>
      </c>
      <c r="R1486" s="58">
        <v>4</v>
      </c>
      <c r="S1486" s="59">
        <v>6</v>
      </c>
      <c r="V1486" s="4" t="s">
        <v>3590</v>
      </c>
      <c r="AL1486" s="60" t="s">
        <v>30</v>
      </c>
    </row>
    <row r="1487" spans="1:43" ht="24" x14ac:dyDescent="0.2">
      <c r="A1487" s="1" t="s">
        <v>3452</v>
      </c>
      <c r="B1487" s="1" t="s">
        <v>3760</v>
      </c>
      <c r="C1487" s="1" t="s">
        <v>5721</v>
      </c>
      <c r="D1487" s="48">
        <v>40</v>
      </c>
      <c r="E1487" s="1">
        <v>3</v>
      </c>
      <c r="F1487" s="1" t="s">
        <v>3470</v>
      </c>
      <c r="G1487" s="1" t="s">
        <v>3761</v>
      </c>
      <c r="I1487" s="1" t="s">
        <v>94</v>
      </c>
      <c r="K1487" s="1" t="s">
        <v>95</v>
      </c>
      <c r="N1487" s="54">
        <v>25</v>
      </c>
      <c r="O1487" s="55">
        <v>2</v>
      </c>
      <c r="Q1487" s="57">
        <v>0</v>
      </c>
      <c r="R1487" s="58">
        <v>1</v>
      </c>
      <c r="S1487" s="59">
        <v>2</v>
      </c>
      <c r="V1487" s="4" t="s">
        <v>3762</v>
      </c>
      <c r="W1487" s="4" t="s">
        <v>3763</v>
      </c>
      <c r="AL1487" s="60" t="s">
        <v>30</v>
      </c>
    </row>
    <row r="1488" spans="1:43" ht="24" x14ac:dyDescent="0.2">
      <c r="A1488" s="1" t="s">
        <v>3452</v>
      </c>
      <c r="B1488" s="1" t="s">
        <v>3630</v>
      </c>
      <c r="C1488" s="1" t="s">
        <v>5721</v>
      </c>
      <c r="D1488" s="48">
        <v>41</v>
      </c>
      <c r="E1488" s="1">
        <v>3</v>
      </c>
      <c r="F1488" s="1" t="s">
        <v>3470</v>
      </c>
      <c r="G1488" s="1" t="s">
        <v>3631</v>
      </c>
      <c r="I1488" s="1" t="s">
        <v>82</v>
      </c>
      <c r="L1488" s="2" t="s">
        <v>3632</v>
      </c>
      <c r="V1488" s="4" t="s">
        <v>3633</v>
      </c>
      <c r="W1488" s="4" t="s">
        <v>3491</v>
      </c>
      <c r="AL1488" s="60" t="s">
        <v>30</v>
      </c>
    </row>
    <row r="1489" spans="1:40" ht="36" x14ac:dyDescent="0.2">
      <c r="A1489" s="1" t="s">
        <v>3452</v>
      </c>
      <c r="B1489" s="1" t="s">
        <v>3688</v>
      </c>
      <c r="C1489" s="1" t="s">
        <v>5721</v>
      </c>
      <c r="D1489" s="48">
        <v>42</v>
      </c>
      <c r="E1489" s="1">
        <v>3</v>
      </c>
      <c r="F1489" s="1" t="s">
        <v>3470</v>
      </c>
      <c r="G1489" s="1" t="s">
        <v>3689</v>
      </c>
      <c r="I1489" s="1" t="s">
        <v>82</v>
      </c>
      <c r="L1489" s="2" t="s">
        <v>1233</v>
      </c>
      <c r="V1489" s="4" t="s">
        <v>3690</v>
      </c>
      <c r="AL1489" s="60" t="s">
        <v>30</v>
      </c>
    </row>
    <row r="1490" spans="1:40" ht="36" x14ac:dyDescent="0.2">
      <c r="A1490" s="1" t="s">
        <v>3452</v>
      </c>
      <c r="B1490" s="1" t="s">
        <v>3528</v>
      </c>
      <c r="C1490" s="1" t="s">
        <v>5721</v>
      </c>
      <c r="D1490" s="48">
        <v>43</v>
      </c>
      <c r="E1490" s="1">
        <v>2</v>
      </c>
      <c r="F1490" s="1" t="s">
        <v>3470</v>
      </c>
      <c r="G1490" s="1" t="s">
        <v>3529</v>
      </c>
      <c r="I1490" s="1" t="s">
        <v>82</v>
      </c>
      <c r="L1490" s="2" t="s">
        <v>3530</v>
      </c>
      <c r="V1490" s="4" t="s">
        <v>3531</v>
      </c>
      <c r="AL1490" s="60" t="s">
        <v>30</v>
      </c>
    </row>
    <row r="1491" spans="1:40" ht="48" x14ac:dyDescent="0.2">
      <c r="A1491" s="111" t="s">
        <v>3452</v>
      </c>
      <c r="B1491" s="111" t="s">
        <v>3521</v>
      </c>
      <c r="C1491" s="111" t="s">
        <v>5721</v>
      </c>
      <c r="D1491" s="112">
        <v>44</v>
      </c>
      <c r="E1491" s="111">
        <v>1</v>
      </c>
      <c r="F1491" s="111" t="s">
        <v>10400</v>
      </c>
      <c r="G1491" s="111" t="s">
        <v>3480</v>
      </c>
      <c r="I1491" s="1" t="s">
        <v>3482</v>
      </c>
      <c r="L1491" s="2" t="s">
        <v>3483</v>
      </c>
      <c r="N1491" s="54" t="s">
        <v>9529</v>
      </c>
      <c r="X1491" s="1" t="s">
        <v>3522</v>
      </c>
      <c r="Y1491" s="1" t="s">
        <v>3480</v>
      </c>
      <c r="AA1491" s="1" t="s">
        <v>3482</v>
      </c>
      <c r="AF1491" s="54" t="s">
        <v>9530</v>
      </c>
      <c r="AL1491" s="60" t="s">
        <v>30</v>
      </c>
      <c r="AN1491" s="4" t="s">
        <v>3523</v>
      </c>
    </row>
    <row r="1492" spans="1:40" ht="84" x14ac:dyDescent="0.2">
      <c r="A1492" s="1" t="s">
        <v>3452</v>
      </c>
      <c r="B1492" s="1" t="s">
        <v>3664</v>
      </c>
      <c r="C1492" s="1" t="s">
        <v>5721</v>
      </c>
      <c r="D1492" s="48">
        <v>45</v>
      </c>
      <c r="E1492" s="1">
        <v>1</v>
      </c>
      <c r="F1492" s="1" t="s">
        <v>3480</v>
      </c>
      <c r="G1492" s="1" t="s">
        <v>3665</v>
      </c>
      <c r="H1492" s="1" t="s">
        <v>26</v>
      </c>
      <c r="I1492" s="1" t="s">
        <v>104</v>
      </c>
      <c r="K1492" s="1" t="s">
        <v>3624</v>
      </c>
      <c r="O1492" s="55">
        <v>2</v>
      </c>
      <c r="T1492" s="60">
        <v>4</v>
      </c>
      <c r="U1492" s="1">
        <v>1</v>
      </c>
      <c r="V1492" s="4" t="s">
        <v>3666</v>
      </c>
      <c r="AL1492" s="60" t="s">
        <v>30</v>
      </c>
    </row>
    <row r="1493" spans="1:40" ht="48" x14ac:dyDescent="0.2">
      <c r="A1493" s="1" t="s">
        <v>3452</v>
      </c>
      <c r="B1493" s="1" t="s">
        <v>3691</v>
      </c>
      <c r="C1493" s="1" t="s">
        <v>5721</v>
      </c>
      <c r="D1493" s="48">
        <v>46</v>
      </c>
      <c r="E1493" s="1">
        <v>1</v>
      </c>
      <c r="F1493" s="1" t="s">
        <v>3480</v>
      </c>
      <c r="G1493" s="1" t="s">
        <v>3692</v>
      </c>
      <c r="H1493" s="1" t="s">
        <v>26</v>
      </c>
      <c r="I1493" s="1" t="s">
        <v>104</v>
      </c>
      <c r="K1493" s="1" t="s">
        <v>3693</v>
      </c>
      <c r="L1493" s="2" t="s">
        <v>331</v>
      </c>
      <c r="O1493" s="55">
        <v>4</v>
      </c>
      <c r="T1493" s="60">
        <v>4</v>
      </c>
      <c r="U1493" s="1">
        <v>4</v>
      </c>
      <c r="V1493" s="4" t="s">
        <v>3694</v>
      </c>
      <c r="AL1493" s="60" t="s">
        <v>30</v>
      </c>
    </row>
    <row r="1494" spans="1:40" ht="24" x14ac:dyDescent="0.2">
      <c r="A1494" s="1" t="s">
        <v>3452</v>
      </c>
      <c r="B1494" s="1" t="s">
        <v>3737</v>
      </c>
      <c r="C1494" s="1" t="s">
        <v>5721</v>
      </c>
      <c r="D1494" s="48">
        <v>47</v>
      </c>
      <c r="E1494" s="1">
        <v>3</v>
      </c>
      <c r="F1494" s="1" t="s">
        <v>3480</v>
      </c>
      <c r="G1494" s="1" t="s">
        <v>3738</v>
      </c>
      <c r="I1494" s="1" t="s">
        <v>104</v>
      </c>
      <c r="K1494" s="1" t="s">
        <v>105</v>
      </c>
      <c r="O1494" s="55">
        <v>2</v>
      </c>
      <c r="T1494" s="60">
        <v>2</v>
      </c>
      <c r="V1494" s="4" t="s">
        <v>3739</v>
      </c>
      <c r="W1494" s="4" t="s">
        <v>3740</v>
      </c>
      <c r="AL1494" s="60" t="s">
        <v>30</v>
      </c>
    </row>
    <row r="1495" spans="1:40" ht="60" x14ac:dyDescent="0.2">
      <c r="A1495" s="1" t="s">
        <v>3452</v>
      </c>
      <c r="B1495" s="1" t="s">
        <v>3655</v>
      </c>
      <c r="C1495" s="1" t="s">
        <v>5721</v>
      </c>
      <c r="D1495" s="48">
        <v>48</v>
      </c>
      <c r="E1495" s="1">
        <v>1</v>
      </c>
      <c r="F1495" s="1" t="s">
        <v>3480</v>
      </c>
      <c r="G1495" s="1" t="s">
        <v>3656</v>
      </c>
      <c r="H1495" s="1" t="s">
        <v>26</v>
      </c>
      <c r="I1495" s="1" t="s">
        <v>104</v>
      </c>
      <c r="K1495" s="1" t="s">
        <v>726</v>
      </c>
      <c r="O1495" s="55">
        <v>3</v>
      </c>
      <c r="T1495" s="60">
        <v>6</v>
      </c>
      <c r="U1495" s="1">
        <v>1</v>
      </c>
      <c r="V1495" s="4" t="s">
        <v>3657</v>
      </c>
      <c r="AL1495" s="60" t="s">
        <v>30</v>
      </c>
    </row>
    <row r="1496" spans="1:40" ht="72" x14ac:dyDescent="0.2">
      <c r="A1496" s="1" t="s">
        <v>3452</v>
      </c>
      <c r="B1496" s="1" t="s">
        <v>3733</v>
      </c>
      <c r="C1496" s="1" t="s">
        <v>5721</v>
      </c>
      <c r="D1496" s="48">
        <v>49</v>
      </c>
      <c r="E1496" s="1">
        <v>3</v>
      </c>
      <c r="F1496" s="1" t="s">
        <v>3480</v>
      </c>
      <c r="G1496" s="1" t="s">
        <v>3734</v>
      </c>
      <c r="I1496" s="1" t="s">
        <v>104</v>
      </c>
      <c r="K1496" s="1" t="s">
        <v>3735</v>
      </c>
      <c r="O1496" s="55">
        <v>3</v>
      </c>
      <c r="T1496" s="60">
        <v>2</v>
      </c>
      <c r="V1496" s="4" t="s">
        <v>3736</v>
      </c>
      <c r="AL1496" s="60" t="s">
        <v>30</v>
      </c>
    </row>
    <row r="1497" spans="1:40" ht="60" x14ac:dyDescent="0.2">
      <c r="A1497" s="1" t="s">
        <v>3452</v>
      </c>
      <c r="B1497" s="1" t="s">
        <v>3540</v>
      </c>
      <c r="C1497" s="1" t="s">
        <v>5721</v>
      </c>
      <c r="D1497" s="48">
        <v>50</v>
      </c>
      <c r="E1497" s="1">
        <v>2</v>
      </c>
      <c r="F1497" s="1" t="s">
        <v>3480</v>
      </c>
      <c r="G1497" s="1" t="s">
        <v>3541</v>
      </c>
      <c r="I1497" s="1" t="s">
        <v>94</v>
      </c>
      <c r="K1497" s="1" t="s">
        <v>679</v>
      </c>
      <c r="L1497" s="2" t="s">
        <v>3517</v>
      </c>
      <c r="N1497" s="54">
        <v>35</v>
      </c>
      <c r="O1497" s="55">
        <v>4</v>
      </c>
      <c r="Q1497" s="57">
        <v>4</v>
      </c>
      <c r="R1497" s="58">
        <v>3</v>
      </c>
      <c r="S1497" s="59">
        <v>5</v>
      </c>
      <c r="V1497" s="4" t="s">
        <v>3542</v>
      </c>
      <c r="AL1497" s="60" t="s">
        <v>30</v>
      </c>
    </row>
    <row r="1498" spans="1:40" ht="36" x14ac:dyDescent="0.2">
      <c r="A1498" s="1" t="s">
        <v>3452</v>
      </c>
      <c r="B1498" s="1" t="s">
        <v>3597</v>
      </c>
      <c r="C1498" s="1" t="s">
        <v>5721</v>
      </c>
      <c r="D1498" s="48">
        <v>51</v>
      </c>
      <c r="E1498" s="1">
        <v>1</v>
      </c>
      <c r="F1498" s="1" t="s">
        <v>3480</v>
      </c>
      <c r="G1498" s="1" t="s">
        <v>3598</v>
      </c>
      <c r="H1498" s="1" t="s">
        <v>26</v>
      </c>
      <c r="I1498" s="1" t="s">
        <v>94</v>
      </c>
      <c r="K1498" s="1" t="s">
        <v>3477</v>
      </c>
      <c r="L1498" s="2" t="s">
        <v>3599</v>
      </c>
      <c r="N1498" s="54">
        <v>38</v>
      </c>
      <c r="O1498" s="55">
        <v>3</v>
      </c>
      <c r="Q1498" s="57">
        <v>1</v>
      </c>
      <c r="R1498" s="58">
        <v>3</v>
      </c>
      <c r="S1498" s="59">
        <v>5</v>
      </c>
      <c r="U1498" s="1">
        <v>1</v>
      </c>
      <c r="V1498" s="4" t="s">
        <v>3600</v>
      </c>
      <c r="AL1498" s="60" t="s">
        <v>30</v>
      </c>
    </row>
    <row r="1499" spans="1:40" ht="24" x14ac:dyDescent="0.2">
      <c r="A1499" s="1" t="s">
        <v>3452</v>
      </c>
      <c r="B1499" s="1" t="s">
        <v>3475</v>
      </c>
      <c r="C1499" s="1" t="s">
        <v>5721</v>
      </c>
      <c r="D1499" s="48">
        <v>52</v>
      </c>
      <c r="E1499" s="1">
        <v>4</v>
      </c>
      <c r="F1499" s="1" t="s">
        <v>3480</v>
      </c>
      <c r="G1499" s="1" t="s">
        <v>3476</v>
      </c>
      <c r="I1499" s="1" t="s">
        <v>94</v>
      </c>
      <c r="K1499" s="1" t="s">
        <v>3477</v>
      </c>
      <c r="N1499" s="54">
        <v>28</v>
      </c>
      <c r="O1499" s="55">
        <v>2</v>
      </c>
      <c r="Q1499" s="57">
        <v>3</v>
      </c>
      <c r="R1499" s="58">
        <v>1</v>
      </c>
      <c r="S1499" s="59">
        <v>4</v>
      </c>
      <c r="V1499" s="4" t="s">
        <v>3478</v>
      </c>
      <c r="W1499" s="4" t="s">
        <v>3479</v>
      </c>
      <c r="AL1499" s="60" t="s">
        <v>30</v>
      </c>
    </row>
    <row r="1500" spans="1:40" ht="24" x14ac:dyDescent="0.2">
      <c r="A1500" s="1" t="s">
        <v>3452</v>
      </c>
      <c r="B1500" s="1" t="s">
        <v>3626</v>
      </c>
      <c r="C1500" s="1" t="s">
        <v>5721</v>
      </c>
      <c r="D1500" s="48">
        <v>53</v>
      </c>
      <c r="E1500" s="1">
        <v>3</v>
      </c>
      <c r="F1500" s="1" t="s">
        <v>3480</v>
      </c>
      <c r="G1500" s="1" t="s">
        <v>3627</v>
      </c>
      <c r="I1500" s="1" t="s">
        <v>94</v>
      </c>
      <c r="K1500" s="1" t="s">
        <v>3628</v>
      </c>
      <c r="N1500" s="54">
        <v>33</v>
      </c>
      <c r="O1500" s="55">
        <v>2</v>
      </c>
      <c r="Q1500" s="57">
        <v>2</v>
      </c>
      <c r="R1500" s="58">
        <v>2</v>
      </c>
      <c r="S1500" s="59">
        <v>3</v>
      </c>
      <c r="V1500" s="4" t="s">
        <v>3629</v>
      </c>
      <c r="AL1500" s="60" t="s">
        <v>30</v>
      </c>
    </row>
    <row r="1501" spans="1:40" ht="24" x14ac:dyDescent="0.2">
      <c r="A1501" s="1" t="s">
        <v>3452</v>
      </c>
      <c r="B1501" s="1" t="s">
        <v>3727</v>
      </c>
      <c r="C1501" s="1" t="s">
        <v>5721</v>
      </c>
      <c r="D1501" s="48">
        <v>54</v>
      </c>
      <c r="E1501" s="1">
        <v>3</v>
      </c>
      <c r="F1501" s="1" t="s">
        <v>3480</v>
      </c>
      <c r="G1501" s="1" t="s">
        <v>3728</v>
      </c>
      <c r="I1501" s="1" t="s">
        <v>82</v>
      </c>
      <c r="L1501" s="2" t="s">
        <v>3636</v>
      </c>
      <c r="V1501" s="4" t="s">
        <v>3729</v>
      </c>
      <c r="W1501" s="4" t="s">
        <v>3491</v>
      </c>
      <c r="AL1501" s="60" t="s">
        <v>30</v>
      </c>
    </row>
    <row r="1502" spans="1:40" ht="36" x14ac:dyDescent="0.2">
      <c r="A1502" s="1" t="s">
        <v>3452</v>
      </c>
      <c r="B1502" s="1" t="s">
        <v>3741</v>
      </c>
      <c r="C1502" s="1" t="s">
        <v>5721</v>
      </c>
      <c r="D1502" s="48">
        <v>55</v>
      </c>
      <c r="E1502" s="1">
        <v>2</v>
      </c>
      <c r="F1502" s="1" t="s">
        <v>3480</v>
      </c>
      <c r="G1502" s="1" t="s">
        <v>3742</v>
      </c>
      <c r="I1502" s="1" t="s">
        <v>82</v>
      </c>
      <c r="L1502" s="2" t="s">
        <v>3636</v>
      </c>
      <c r="V1502" s="4" t="s">
        <v>3743</v>
      </c>
      <c r="AL1502" s="60" t="s">
        <v>30</v>
      </c>
    </row>
    <row r="1503" spans="1:40" ht="36" x14ac:dyDescent="0.2">
      <c r="A1503" s="111" t="s">
        <v>3452</v>
      </c>
      <c r="B1503" s="111" t="s">
        <v>3481</v>
      </c>
      <c r="C1503" s="111" t="s">
        <v>5721</v>
      </c>
      <c r="D1503" s="112">
        <v>56</v>
      </c>
      <c r="E1503" s="111">
        <v>1</v>
      </c>
      <c r="F1503" s="111" t="s">
        <v>3485</v>
      </c>
      <c r="G1503" s="111" t="s">
        <v>3461</v>
      </c>
      <c r="I1503" s="1" t="s">
        <v>3482</v>
      </c>
      <c r="L1503" s="2" t="s">
        <v>3483</v>
      </c>
      <c r="N1503" s="54" t="s">
        <v>9529</v>
      </c>
      <c r="V1503" s="4" t="s">
        <v>3484</v>
      </c>
      <c r="X1503" s="1" t="s">
        <v>3486</v>
      </c>
      <c r="Y1503" s="1" t="s">
        <v>3461</v>
      </c>
      <c r="AA1503" s="1" t="s">
        <v>3482</v>
      </c>
      <c r="AF1503" s="54" t="s">
        <v>9530</v>
      </c>
      <c r="AL1503" s="60" t="s">
        <v>30</v>
      </c>
      <c r="AN1503" s="4" t="s">
        <v>3487</v>
      </c>
    </row>
    <row r="1504" spans="1:40" ht="48" x14ac:dyDescent="0.2">
      <c r="A1504" s="1" t="s">
        <v>3452</v>
      </c>
      <c r="B1504" s="1" t="s">
        <v>3611</v>
      </c>
      <c r="C1504" s="1" t="s">
        <v>5721</v>
      </c>
      <c r="D1504" s="48">
        <v>57</v>
      </c>
      <c r="E1504" s="1">
        <v>1</v>
      </c>
      <c r="F1504" s="1" t="s">
        <v>3461</v>
      </c>
      <c r="G1504" s="1" t="s">
        <v>3612</v>
      </c>
      <c r="I1504" s="1" t="s">
        <v>88</v>
      </c>
      <c r="K1504" s="1" t="s">
        <v>3613</v>
      </c>
      <c r="L1504" s="2" t="s">
        <v>3614</v>
      </c>
      <c r="V1504" s="4" t="s">
        <v>3615</v>
      </c>
      <c r="AL1504" s="60" t="s">
        <v>30</v>
      </c>
    </row>
    <row r="1505" spans="1:38" ht="60" x14ac:dyDescent="0.2">
      <c r="A1505" s="1" t="s">
        <v>3452</v>
      </c>
      <c r="B1505" s="1" t="s">
        <v>3704</v>
      </c>
      <c r="C1505" s="1" t="s">
        <v>5721</v>
      </c>
      <c r="D1505" s="48">
        <v>58</v>
      </c>
      <c r="E1505" s="1">
        <v>1</v>
      </c>
      <c r="F1505" s="1" t="s">
        <v>3461</v>
      </c>
      <c r="G1505" s="1" t="s">
        <v>3705</v>
      </c>
      <c r="H1505" s="1" t="s">
        <v>26</v>
      </c>
      <c r="I1505" s="1" t="s">
        <v>104</v>
      </c>
      <c r="K1505" s="1" t="s">
        <v>3706</v>
      </c>
      <c r="L1505" s="2" t="s">
        <v>3549</v>
      </c>
      <c r="O1505" s="55" t="s">
        <v>113</v>
      </c>
      <c r="T1505" s="60">
        <v>4</v>
      </c>
      <c r="U1505" s="1">
        <v>3</v>
      </c>
      <c r="V1505" s="4" t="s">
        <v>3707</v>
      </c>
      <c r="AL1505" s="60" t="s">
        <v>30</v>
      </c>
    </row>
    <row r="1506" spans="1:38" ht="60" x14ac:dyDescent="0.2">
      <c r="A1506" s="1" t="s">
        <v>3452</v>
      </c>
      <c r="B1506" s="1" t="s">
        <v>3546</v>
      </c>
      <c r="C1506" s="1" t="s">
        <v>5721</v>
      </c>
      <c r="D1506" s="48">
        <v>59</v>
      </c>
      <c r="E1506" s="1">
        <v>1</v>
      </c>
      <c r="F1506" s="1" t="s">
        <v>3461</v>
      </c>
      <c r="G1506" s="1" t="s">
        <v>3547</v>
      </c>
      <c r="H1506" s="1" t="s">
        <v>26</v>
      </c>
      <c r="I1506" s="1" t="s">
        <v>104</v>
      </c>
      <c r="K1506" s="1" t="s">
        <v>3548</v>
      </c>
      <c r="L1506" s="2" t="s">
        <v>3549</v>
      </c>
      <c r="O1506" s="55">
        <v>2</v>
      </c>
      <c r="T1506" s="60">
        <v>6</v>
      </c>
      <c r="U1506" s="1">
        <v>5</v>
      </c>
      <c r="V1506" s="4" t="s">
        <v>3550</v>
      </c>
      <c r="AL1506" s="60" t="s">
        <v>30</v>
      </c>
    </row>
    <row r="1507" spans="1:38" ht="24" x14ac:dyDescent="0.2">
      <c r="A1507" s="1" t="s">
        <v>3452</v>
      </c>
      <c r="B1507" s="1" t="s">
        <v>3543</v>
      </c>
      <c r="C1507" s="1" t="s">
        <v>5721</v>
      </c>
      <c r="D1507" s="48">
        <v>60</v>
      </c>
      <c r="E1507" s="1">
        <v>1</v>
      </c>
      <c r="F1507" s="1" t="s">
        <v>3461</v>
      </c>
      <c r="G1507" s="1" t="s">
        <v>3544</v>
      </c>
      <c r="H1507" s="1" t="s">
        <v>26</v>
      </c>
      <c r="I1507" s="1" t="s">
        <v>104</v>
      </c>
      <c r="K1507" s="1" t="s">
        <v>105</v>
      </c>
      <c r="O1507" s="55">
        <v>1</v>
      </c>
      <c r="T1507" s="60">
        <v>2</v>
      </c>
      <c r="U1507" s="1">
        <v>1</v>
      </c>
      <c r="V1507" s="4" t="s">
        <v>3545</v>
      </c>
      <c r="AL1507" s="60" t="s">
        <v>30</v>
      </c>
    </row>
    <row r="1508" spans="1:38" ht="60" x14ac:dyDescent="0.2">
      <c r="A1508" s="1" t="s">
        <v>3452</v>
      </c>
      <c r="B1508" s="1" t="s">
        <v>3695</v>
      </c>
      <c r="C1508" s="1" t="s">
        <v>5721</v>
      </c>
      <c r="D1508" s="48">
        <v>61</v>
      </c>
      <c r="E1508" s="1">
        <v>3</v>
      </c>
      <c r="F1508" s="1" t="s">
        <v>3461</v>
      </c>
      <c r="G1508" s="1" t="s">
        <v>3696</v>
      </c>
      <c r="I1508" s="1" t="s">
        <v>104</v>
      </c>
      <c r="K1508" s="1" t="s">
        <v>105</v>
      </c>
      <c r="O1508" s="55">
        <v>2</v>
      </c>
      <c r="T1508" s="60">
        <v>3</v>
      </c>
      <c r="V1508" s="4" t="s">
        <v>3697</v>
      </c>
      <c r="AL1508" s="60" t="s">
        <v>30</v>
      </c>
    </row>
    <row r="1509" spans="1:38" ht="36" x14ac:dyDescent="0.2">
      <c r="A1509" s="1" t="s">
        <v>3452</v>
      </c>
      <c r="B1509" s="1" t="s">
        <v>3747</v>
      </c>
      <c r="C1509" s="1" t="s">
        <v>5721</v>
      </c>
      <c r="D1509" s="48">
        <v>62</v>
      </c>
      <c r="E1509" s="1">
        <v>3</v>
      </c>
      <c r="F1509" s="1" t="s">
        <v>3461</v>
      </c>
      <c r="G1509" s="1" t="s">
        <v>3748</v>
      </c>
      <c r="I1509" s="1" t="s">
        <v>104</v>
      </c>
      <c r="K1509" s="1" t="s">
        <v>3058</v>
      </c>
      <c r="O1509" s="55">
        <v>3</v>
      </c>
      <c r="T1509" s="60">
        <v>4</v>
      </c>
      <c r="V1509" s="4" t="s">
        <v>3749</v>
      </c>
      <c r="AL1509" s="60" t="s">
        <v>30</v>
      </c>
    </row>
    <row r="1510" spans="1:38" ht="36" x14ac:dyDescent="0.2">
      <c r="A1510" s="1" t="s">
        <v>3452</v>
      </c>
      <c r="B1510" s="1" t="s">
        <v>3591</v>
      </c>
      <c r="C1510" s="1" t="s">
        <v>5721</v>
      </c>
      <c r="D1510" s="48">
        <v>63</v>
      </c>
      <c r="E1510" s="1">
        <v>4</v>
      </c>
      <c r="F1510" s="1" t="s">
        <v>3461</v>
      </c>
      <c r="G1510" s="1" t="s">
        <v>3592</v>
      </c>
      <c r="I1510" s="1" t="s">
        <v>94</v>
      </c>
      <c r="K1510" s="1" t="s">
        <v>679</v>
      </c>
      <c r="L1510" s="2" t="s">
        <v>3517</v>
      </c>
      <c r="N1510" s="54">
        <v>30</v>
      </c>
      <c r="O1510" s="55">
        <v>2</v>
      </c>
      <c r="Q1510" s="57">
        <v>4</v>
      </c>
      <c r="R1510" s="58">
        <v>3</v>
      </c>
      <c r="S1510" s="59">
        <v>6</v>
      </c>
      <c r="V1510" s="4" t="s">
        <v>3593</v>
      </c>
      <c r="AL1510" s="60" t="s">
        <v>30</v>
      </c>
    </row>
    <row r="1511" spans="1:38" ht="48" x14ac:dyDescent="0.2">
      <c r="A1511" s="1" t="s">
        <v>3452</v>
      </c>
      <c r="B1511" s="1" t="s">
        <v>3639</v>
      </c>
      <c r="C1511" s="1" t="s">
        <v>5721</v>
      </c>
      <c r="D1511" s="48">
        <v>64</v>
      </c>
      <c r="E1511" s="1">
        <v>3</v>
      </c>
      <c r="F1511" s="1" t="s">
        <v>3461</v>
      </c>
      <c r="G1511" s="1" t="s">
        <v>3640</v>
      </c>
      <c r="I1511" s="1" t="s">
        <v>82</v>
      </c>
      <c r="L1511" s="2" t="s">
        <v>3636</v>
      </c>
      <c r="V1511" s="4" t="s">
        <v>3641</v>
      </c>
      <c r="AL1511" s="60" t="s">
        <v>30</v>
      </c>
    </row>
    <row r="1512" spans="1:38" ht="24" x14ac:dyDescent="0.2">
      <c r="A1512" s="1" t="s">
        <v>3452</v>
      </c>
      <c r="B1512" s="1" t="s">
        <v>3471</v>
      </c>
      <c r="C1512" s="1" t="s">
        <v>5721</v>
      </c>
      <c r="D1512" s="48">
        <v>65</v>
      </c>
      <c r="E1512" s="1">
        <v>2</v>
      </c>
      <c r="F1512" s="1" t="s">
        <v>3461</v>
      </c>
      <c r="G1512" s="1" t="s">
        <v>3472</v>
      </c>
      <c r="I1512" s="1" t="s">
        <v>82</v>
      </c>
      <c r="V1512" s="4" t="s">
        <v>3473</v>
      </c>
      <c r="W1512" s="4" t="s">
        <v>3474</v>
      </c>
      <c r="AL1512" s="60" t="s">
        <v>30</v>
      </c>
    </row>
    <row r="1513" spans="1:38" ht="24" x14ac:dyDescent="0.2">
      <c r="A1513" s="1" t="s">
        <v>3452</v>
      </c>
      <c r="B1513" s="1" t="s">
        <v>3670</v>
      </c>
      <c r="C1513" s="1" t="s">
        <v>5721</v>
      </c>
      <c r="D1513" s="48">
        <v>66</v>
      </c>
      <c r="E1513" s="1">
        <v>3</v>
      </c>
      <c r="F1513" s="1" t="s">
        <v>3461</v>
      </c>
      <c r="G1513" s="1" t="s">
        <v>5915</v>
      </c>
      <c r="I1513" s="1" t="s">
        <v>82</v>
      </c>
      <c r="V1513" s="4" t="s">
        <v>3671</v>
      </c>
      <c r="W1513" s="4" t="s">
        <v>3672</v>
      </c>
      <c r="AL1513" s="60" t="s">
        <v>30</v>
      </c>
    </row>
    <row r="1514" spans="1:38" ht="36" x14ac:dyDescent="0.2">
      <c r="A1514" s="1" t="s">
        <v>3452</v>
      </c>
      <c r="B1514" s="1" t="s">
        <v>3667</v>
      </c>
      <c r="C1514" s="1" t="s">
        <v>5721</v>
      </c>
      <c r="D1514" s="48">
        <v>67</v>
      </c>
      <c r="E1514" s="1">
        <v>2</v>
      </c>
      <c r="F1514" s="1" t="s">
        <v>3461</v>
      </c>
      <c r="G1514" s="1" t="s">
        <v>3668</v>
      </c>
      <c r="I1514" s="1" t="s">
        <v>82</v>
      </c>
      <c r="L1514" s="2" t="s">
        <v>3636</v>
      </c>
      <c r="V1514" s="4" t="s">
        <v>3669</v>
      </c>
      <c r="W1514" s="4" t="s">
        <v>3491</v>
      </c>
      <c r="AL1514" s="60" t="s">
        <v>30</v>
      </c>
    </row>
    <row r="1515" spans="1:38" ht="60" x14ac:dyDescent="0.2">
      <c r="A1515" s="111" t="s">
        <v>3452</v>
      </c>
      <c r="B1515" s="111" t="s">
        <v>3708</v>
      </c>
      <c r="C1515" s="111" t="s">
        <v>5721</v>
      </c>
      <c r="D1515" s="112">
        <v>68</v>
      </c>
      <c r="E1515" s="111">
        <v>1</v>
      </c>
      <c r="F1515" s="111" t="s">
        <v>3520</v>
      </c>
      <c r="G1515" s="111" t="s">
        <v>3709</v>
      </c>
      <c r="H1515" s="1" t="s">
        <v>26</v>
      </c>
      <c r="I1515" s="1" t="s">
        <v>94</v>
      </c>
      <c r="K1515" s="1" t="s">
        <v>679</v>
      </c>
      <c r="L1515" s="2" t="s">
        <v>331</v>
      </c>
      <c r="N1515" s="54">
        <v>45</v>
      </c>
      <c r="O1515" s="55">
        <v>5</v>
      </c>
      <c r="Q1515" s="57">
        <v>6</v>
      </c>
      <c r="R1515" s="58">
        <v>5</v>
      </c>
      <c r="S1515" s="59">
        <v>9</v>
      </c>
      <c r="V1515" s="4" t="s">
        <v>3710</v>
      </c>
      <c r="AL1515" s="60" t="s">
        <v>30</v>
      </c>
    </row>
    <row r="1516" spans="1:38" ht="24" x14ac:dyDescent="0.2">
      <c r="A1516" s="1" t="s">
        <v>3452</v>
      </c>
      <c r="B1516" s="1" t="s">
        <v>3515</v>
      </c>
      <c r="C1516" s="1" t="s">
        <v>5721</v>
      </c>
      <c r="D1516" s="48">
        <v>69</v>
      </c>
      <c r="E1516" s="1">
        <v>4</v>
      </c>
      <c r="F1516" s="1" t="s">
        <v>3520</v>
      </c>
      <c r="G1516" s="1" t="s">
        <v>3516</v>
      </c>
      <c r="I1516" s="1" t="s">
        <v>94</v>
      </c>
      <c r="K1516" s="1" t="s">
        <v>679</v>
      </c>
      <c r="L1516" s="2" t="s">
        <v>3517</v>
      </c>
      <c r="N1516" s="54">
        <v>35</v>
      </c>
      <c r="O1516" s="55">
        <v>3</v>
      </c>
      <c r="Q1516" s="57">
        <v>5</v>
      </c>
      <c r="R1516" s="58">
        <v>4</v>
      </c>
      <c r="S1516" s="59">
        <v>5</v>
      </c>
      <c r="V1516" s="4" t="s">
        <v>3518</v>
      </c>
      <c r="W1516" s="4" t="s">
        <v>3519</v>
      </c>
      <c r="AL1516" s="60" t="s">
        <v>30</v>
      </c>
    </row>
    <row r="1517" spans="1:38" ht="36" x14ac:dyDescent="0.2">
      <c r="A1517" s="1" t="s">
        <v>3452</v>
      </c>
      <c r="B1517" s="1" t="s">
        <v>3577</v>
      </c>
      <c r="C1517" s="1" t="s">
        <v>5721</v>
      </c>
      <c r="D1517" s="48">
        <v>70</v>
      </c>
      <c r="E1517" s="1">
        <v>3</v>
      </c>
      <c r="F1517" s="1" t="s">
        <v>3520</v>
      </c>
      <c r="G1517" s="1" t="s">
        <v>3578</v>
      </c>
      <c r="I1517" s="1" t="s">
        <v>82</v>
      </c>
      <c r="L1517" s="2" t="s">
        <v>155</v>
      </c>
      <c r="V1517" s="4" t="s">
        <v>3579</v>
      </c>
      <c r="AL1517" s="60" t="s">
        <v>30</v>
      </c>
    </row>
    <row r="1518" spans="1:38" ht="24" x14ac:dyDescent="0.2">
      <c r="A1518" s="1" t="s">
        <v>3452</v>
      </c>
      <c r="B1518" s="1" t="s">
        <v>3568</v>
      </c>
      <c r="C1518" s="1" t="s">
        <v>5721</v>
      </c>
      <c r="D1518" s="48">
        <v>71</v>
      </c>
      <c r="E1518" s="1">
        <v>3</v>
      </c>
      <c r="F1518" s="1" t="s">
        <v>3520</v>
      </c>
      <c r="G1518" s="1" t="s">
        <v>3569</v>
      </c>
      <c r="I1518" s="1" t="s">
        <v>82</v>
      </c>
      <c r="V1518" s="4" t="s">
        <v>3570</v>
      </c>
      <c r="W1518" s="4" t="s">
        <v>3571</v>
      </c>
      <c r="AL1518" s="60" t="s">
        <v>30</v>
      </c>
    </row>
    <row r="1519" spans="1:38" ht="24" x14ac:dyDescent="0.2">
      <c r="A1519" s="111" t="s">
        <v>3452</v>
      </c>
      <c r="B1519" s="111" t="s">
        <v>3536</v>
      </c>
      <c r="C1519" s="111" t="s">
        <v>5721</v>
      </c>
      <c r="D1519" s="112">
        <v>72</v>
      </c>
      <c r="E1519" s="111">
        <v>3</v>
      </c>
      <c r="F1519" s="111" t="s">
        <v>3539</v>
      </c>
      <c r="G1519" s="111" t="s">
        <v>3046</v>
      </c>
      <c r="I1519" s="1" t="s">
        <v>104</v>
      </c>
      <c r="K1519" s="1" t="s">
        <v>105</v>
      </c>
      <c r="O1519" s="55">
        <v>2</v>
      </c>
      <c r="T1519" s="60">
        <v>3</v>
      </c>
      <c r="V1519" s="4" t="s">
        <v>3537</v>
      </c>
      <c r="W1519" s="4" t="s">
        <v>3538</v>
      </c>
      <c r="AL1519" s="60" t="s">
        <v>30</v>
      </c>
    </row>
    <row r="1520" spans="1:38" ht="36" x14ac:dyDescent="0.2">
      <c r="A1520" s="1" t="s">
        <v>3452</v>
      </c>
      <c r="B1520" s="1" t="s">
        <v>3634</v>
      </c>
      <c r="C1520" s="1" t="s">
        <v>5721</v>
      </c>
      <c r="D1520" s="48">
        <v>73</v>
      </c>
      <c r="E1520" s="1">
        <v>3</v>
      </c>
      <c r="F1520" s="1" t="s">
        <v>3539</v>
      </c>
      <c r="G1520" s="1" t="s">
        <v>3635</v>
      </c>
      <c r="I1520" s="1" t="s">
        <v>82</v>
      </c>
      <c r="L1520" s="2" t="s">
        <v>3636</v>
      </c>
      <c r="V1520" s="4" t="s">
        <v>3637</v>
      </c>
      <c r="W1520" s="4" t="s">
        <v>3638</v>
      </c>
      <c r="AL1520" s="60" t="s">
        <v>30</v>
      </c>
    </row>
    <row r="1521" spans="1:42" ht="48" x14ac:dyDescent="0.2">
      <c r="A1521" s="111" t="s">
        <v>3452</v>
      </c>
      <c r="B1521" s="111" t="s">
        <v>3462</v>
      </c>
      <c r="C1521" s="111" t="s">
        <v>5721</v>
      </c>
      <c r="D1521" s="112">
        <v>74</v>
      </c>
      <c r="E1521" s="111">
        <v>3</v>
      </c>
      <c r="F1521" s="111" t="s">
        <v>3465</v>
      </c>
      <c r="G1521" s="111" t="s">
        <v>3463</v>
      </c>
      <c r="I1521" s="1" t="s">
        <v>82</v>
      </c>
      <c r="L1521" s="2" t="s">
        <v>155</v>
      </c>
      <c r="V1521" s="4" t="s">
        <v>3464</v>
      </c>
      <c r="AL1521" s="60" t="s">
        <v>30</v>
      </c>
    </row>
    <row r="1522" spans="1:42" ht="36" x14ac:dyDescent="0.2">
      <c r="A1522" s="1" t="s">
        <v>3452</v>
      </c>
      <c r="B1522" s="1" t="s">
        <v>3488</v>
      </c>
      <c r="C1522" s="1" t="s">
        <v>5721</v>
      </c>
      <c r="D1522" s="48">
        <v>75</v>
      </c>
      <c r="E1522" s="1">
        <v>2</v>
      </c>
      <c r="F1522" s="1" t="s">
        <v>3465</v>
      </c>
      <c r="G1522" s="1" t="s">
        <v>3489</v>
      </c>
      <c r="I1522" s="1" t="s">
        <v>82</v>
      </c>
      <c r="V1522" s="4" t="s">
        <v>3490</v>
      </c>
      <c r="W1522" s="4" t="s">
        <v>3491</v>
      </c>
      <c r="AL1522" s="60" t="s">
        <v>30</v>
      </c>
    </row>
    <row r="1523" spans="1:42" ht="24" x14ac:dyDescent="0.2">
      <c r="A1523" s="111" t="s">
        <v>3452</v>
      </c>
      <c r="B1523" s="111" t="s">
        <v>3572</v>
      </c>
      <c r="C1523" s="111" t="s">
        <v>5721</v>
      </c>
      <c r="D1523" s="112">
        <v>76</v>
      </c>
      <c r="E1523" s="111">
        <v>3</v>
      </c>
      <c r="F1523" s="111" t="s">
        <v>3576</v>
      </c>
      <c r="G1523" s="111" t="s">
        <v>3573</v>
      </c>
      <c r="I1523" s="1" t="s">
        <v>82</v>
      </c>
      <c r="L1523" s="2" t="s">
        <v>155</v>
      </c>
      <c r="V1523" s="4" t="s">
        <v>3574</v>
      </c>
      <c r="W1523" s="4" t="s">
        <v>3575</v>
      </c>
      <c r="AL1523" s="60" t="s">
        <v>30</v>
      </c>
    </row>
    <row r="1524" spans="1:42" ht="24" x14ac:dyDescent="0.2">
      <c r="A1524" s="1" t="s">
        <v>3452</v>
      </c>
      <c r="B1524" s="1" t="s">
        <v>3607</v>
      </c>
      <c r="C1524" s="1" t="s">
        <v>5721</v>
      </c>
      <c r="D1524" s="48">
        <v>77</v>
      </c>
      <c r="E1524" s="1">
        <v>1</v>
      </c>
      <c r="G1524" s="1" t="s">
        <v>3608</v>
      </c>
      <c r="H1524" s="1" t="s">
        <v>26</v>
      </c>
      <c r="I1524" s="1" t="s">
        <v>88</v>
      </c>
      <c r="J1524" s="1" t="s">
        <v>3498</v>
      </c>
      <c r="K1524" s="1" t="s">
        <v>1136</v>
      </c>
      <c r="L1524" s="2" t="s">
        <v>3609</v>
      </c>
      <c r="P1524" s="56">
        <v>3</v>
      </c>
      <c r="Q1524" s="57">
        <v>2</v>
      </c>
      <c r="R1524" s="58">
        <v>3</v>
      </c>
      <c r="S1524" s="59">
        <v>3</v>
      </c>
      <c r="V1524" s="4" t="s">
        <v>3610</v>
      </c>
      <c r="AL1524" s="60" t="s">
        <v>30</v>
      </c>
    </row>
    <row r="1525" spans="1:42" ht="36" x14ac:dyDescent="0.2">
      <c r="A1525" s="1" t="s">
        <v>3452</v>
      </c>
      <c r="B1525" s="1" t="s">
        <v>3730</v>
      </c>
      <c r="C1525" s="1" t="s">
        <v>5721</v>
      </c>
      <c r="D1525" s="48">
        <v>78</v>
      </c>
      <c r="E1525" s="1">
        <v>1</v>
      </c>
      <c r="F1525" s="1" t="s">
        <v>3495</v>
      </c>
      <c r="G1525" s="1" t="s">
        <v>3731</v>
      </c>
      <c r="I1525" s="1" t="s">
        <v>88</v>
      </c>
      <c r="J1525" s="1" t="s">
        <v>3458</v>
      </c>
      <c r="V1525" s="4" t="s">
        <v>3732</v>
      </c>
      <c r="X1525" s="1" t="s">
        <v>1629</v>
      </c>
      <c r="AL1525" s="60" t="s">
        <v>30</v>
      </c>
    </row>
    <row r="1526" spans="1:42" ht="36" x14ac:dyDescent="0.2">
      <c r="A1526" s="1" t="s">
        <v>3452</v>
      </c>
      <c r="B1526" s="1" t="s">
        <v>3492</v>
      </c>
      <c r="C1526" s="1" t="s">
        <v>5721</v>
      </c>
      <c r="D1526" s="48">
        <v>79</v>
      </c>
      <c r="E1526" s="1">
        <v>1</v>
      </c>
      <c r="F1526" s="1" t="s">
        <v>3495</v>
      </c>
      <c r="G1526" s="1" t="s">
        <v>3493</v>
      </c>
      <c r="I1526" s="1" t="s">
        <v>82</v>
      </c>
      <c r="J1526" s="1" t="s">
        <v>3458</v>
      </c>
      <c r="L1526" s="2" t="s">
        <v>155</v>
      </c>
      <c r="V1526" s="4" t="s">
        <v>3494</v>
      </c>
      <c r="AL1526" s="60" t="s">
        <v>30</v>
      </c>
    </row>
    <row r="1527" spans="1:42" ht="48" x14ac:dyDescent="0.2">
      <c r="A1527" s="1" t="s">
        <v>3452</v>
      </c>
      <c r="B1527" s="1" t="s">
        <v>3557</v>
      </c>
      <c r="C1527" s="1" t="s">
        <v>5721</v>
      </c>
      <c r="D1527" s="48">
        <v>80</v>
      </c>
      <c r="E1527" s="1">
        <v>1</v>
      </c>
      <c r="F1527" s="1" t="s">
        <v>3461</v>
      </c>
      <c r="G1527" s="1" t="s">
        <v>3558</v>
      </c>
      <c r="I1527" s="1" t="s">
        <v>82</v>
      </c>
      <c r="J1527" s="1" t="s">
        <v>3458</v>
      </c>
      <c r="L1527" s="2" t="s">
        <v>155</v>
      </c>
      <c r="V1527" s="4" t="s">
        <v>3559</v>
      </c>
      <c r="AL1527" s="60" t="s">
        <v>30</v>
      </c>
    </row>
    <row r="1528" spans="1:42" ht="24" x14ac:dyDescent="0.2">
      <c r="A1528" s="1" t="s">
        <v>3452</v>
      </c>
      <c r="B1528" s="1" t="s">
        <v>3456</v>
      </c>
      <c r="C1528" s="1" t="s">
        <v>5721</v>
      </c>
      <c r="D1528" s="48">
        <v>81</v>
      </c>
      <c r="E1528" s="1">
        <v>1</v>
      </c>
      <c r="F1528" s="1" t="s">
        <v>3461</v>
      </c>
      <c r="G1528" s="1" t="s">
        <v>3457</v>
      </c>
      <c r="I1528" s="1" t="s">
        <v>82</v>
      </c>
      <c r="J1528" s="1" t="s">
        <v>3458</v>
      </c>
      <c r="L1528" s="2" t="s">
        <v>155</v>
      </c>
      <c r="V1528" s="4" t="s">
        <v>3459</v>
      </c>
      <c r="W1528" s="4" t="s">
        <v>3460</v>
      </c>
      <c r="AL1528" s="60" t="s">
        <v>30</v>
      </c>
    </row>
    <row r="1529" spans="1:42" ht="24" x14ac:dyDescent="0.2">
      <c r="A1529" s="1" t="s">
        <v>3452</v>
      </c>
      <c r="B1529" s="1" t="s">
        <v>3744</v>
      </c>
      <c r="C1529" s="1" t="s">
        <v>5721</v>
      </c>
      <c r="D1529" s="48">
        <v>82</v>
      </c>
      <c r="E1529" s="1">
        <v>1</v>
      </c>
      <c r="F1529" s="1" t="s">
        <v>3461</v>
      </c>
      <c r="G1529" s="1" t="s">
        <v>3745</v>
      </c>
      <c r="I1529" s="1" t="s">
        <v>82</v>
      </c>
      <c r="J1529" s="1" t="s">
        <v>3458</v>
      </c>
      <c r="L1529" s="2" t="s">
        <v>155</v>
      </c>
      <c r="V1529" s="4" t="s">
        <v>3746</v>
      </c>
      <c r="W1529" s="4" t="s">
        <v>2412</v>
      </c>
      <c r="AL1529" s="60" t="s">
        <v>30</v>
      </c>
    </row>
    <row r="1530" spans="1:42" ht="24" x14ac:dyDescent="0.2">
      <c r="A1530" s="1" t="s">
        <v>3452</v>
      </c>
      <c r="B1530" s="1" t="s">
        <v>3580</v>
      </c>
      <c r="C1530" s="1" t="s">
        <v>5721</v>
      </c>
      <c r="D1530" s="48">
        <v>83</v>
      </c>
      <c r="E1530" s="1">
        <v>1</v>
      </c>
      <c r="F1530" s="1" t="s">
        <v>3461</v>
      </c>
      <c r="G1530" s="1" t="s">
        <v>3581</v>
      </c>
      <c r="I1530" s="1" t="s">
        <v>82</v>
      </c>
      <c r="J1530" s="1" t="s">
        <v>3458</v>
      </c>
      <c r="L1530" s="2" t="s">
        <v>155</v>
      </c>
      <c r="V1530" s="4" t="s">
        <v>3582</v>
      </c>
      <c r="W1530" s="4" t="s">
        <v>3583</v>
      </c>
      <c r="AL1530" s="60" t="s">
        <v>30</v>
      </c>
    </row>
    <row r="1531" spans="1:42" ht="36" x14ac:dyDescent="0.2">
      <c r="A1531" s="1" t="s">
        <v>3452</v>
      </c>
      <c r="B1531" s="1" t="s">
        <v>3715</v>
      </c>
      <c r="C1531" s="1" t="s">
        <v>5721</v>
      </c>
      <c r="D1531" s="48">
        <v>84</v>
      </c>
      <c r="E1531" s="1">
        <v>1</v>
      </c>
      <c r="F1531" s="1" t="s">
        <v>3461</v>
      </c>
      <c r="G1531" s="1" t="s">
        <v>3716</v>
      </c>
      <c r="I1531" s="1" t="s">
        <v>82</v>
      </c>
      <c r="J1531" s="1" t="s">
        <v>3458</v>
      </c>
      <c r="L1531" s="2" t="s">
        <v>155</v>
      </c>
      <c r="V1531" s="4" t="s">
        <v>3717</v>
      </c>
      <c r="W1531" s="4" t="s">
        <v>3718</v>
      </c>
      <c r="AL1531" s="60" t="s">
        <v>30</v>
      </c>
    </row>
    <row r="1532" spans="1:42" ht="84" x14ac:dyDescent="0.2">
      <c r="A1532" s="1" t="s">
        <v>3452</v>
      </c>
      <c r="B1532" s="1" t="s">
        <v>3711</v>
      </c>
      <c r="C1532" s="1" t="s">
        <v>5721</v>
      </c>
      <c r="D1532" s="48">
        <v>85</v>
      </c>
      <c r="E1532" s="1">
        <v>1</v>
      </c>
      <c r="F1532" s="46"/>
      <c r="G1532" s="1" t="s">
        <v>3712</v>
      </c>
      <c r="H1532" s="1" t="s">
        <v>26</v>
      </c>
      <c r="I1532" s="1" t="s">
        <v>88</v>
      </c>
      <c r="K1532" s="1" t="s">
        <v>3713</v>
      </c>
      <c r="V1532" s="4" t="s">
        <v>3714</v>
      </c>
      <c r="AL1532" s="60" t="s">
        <v>30</v>
      </c>
    </row>
    <row r="1533" spans="1:42" ht="48" x14ac:dyDescent="0.2">
      <c r="A1533" s="121" t="s">
        <v>10683</v>
      </c>
      <c r="B1533" s="121" t="s">
        <v>10684</v>
      </c>
      <c r="C1533" s="121" t="s">
        <v>11009</v>
      </c>
      <c r="D1533" s="121">
        <v>1</v>
      </c>
      <c r="E1533" s="121">
        <v>1</v>
      </c>
      <c r="F1533" s="121"/>
      <c r="G1533" s="121" t="s">
        <v>241</v>
      </c>
      <c r="H1533" s="1" t="s">
        <v>26</v>
      </c>
      <c r="I1533" s="1" t="s">
        <v>27</v>
      </c>
      <c r="J1533" s="1" t="s">
        <v>3533</v>
      </c>
      <c r="K1533" s="4" t="s">
        <v>3534</v>
      </c>
      <c r="L1533" s="4"/>
      <c r="M1533" s="18">
        <v>0</v>
      </c>
      <c r="P1533" s="56">
        <v>2</v>
      </c>
      <c r="Q1533" s="57">
        <v>1</v>
      </c>
      <c r="R1533" s="58">
        <v>2</v>
      </c>
      <c r="S1533" s="59">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6">
        <v>3</v>
      </c>
      <c r="Q1534" s="57">
        <v>3</v>
      </c>
      <c r="R1534" s="58">
        <v>3</v>
      </c>
      <c r="S1534" s="59">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6">
        <v>3</v>
      </c>
      <c r="Q1535" s="57">
        <v>0</v>
      </c>
      <c r="R1535" s="58">
        <v>0</v>
      </c>
      <c r="S1535" s="59">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6">
        <v>1</v>
      </c>
      <c r="Q1536" s="57">
        <v>3</v>
      </c>
      <c r="R1536" s="58">
        <v>1</v>
      </c>
      <c r="S1536" s="59">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6">
        <v>3</v>
      </c>
      <c r="Q1537" s="57">
        <v>2</v>
      </c>
      <c r="R1537" s="58">
        <v>3</v>
      </c>
      <c r="S1537" s="59">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6">
        <v>2</v>
      </c>
      <c r="Q1538" s="57">
        <v>0</v>
      </c>
      <c r="R1538" s="58">
        <v>0</v>
      </c>
      <c r="S1538" s="59">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1" t="s">
        <v>10683</v>
      </c>
      <c r="B1551" s="111" t="s">
        <v>10742</v>
      </c>
      <c r="C1551" s="111" t="s">
        <v>11009</v>
      </c>
      <c r="D1551" s="111">
        <v>19</v>
      </c>
      <c r="E1551" s="111">
        <v>1</v>
      </c>
      <c r="F1551" s="111" t="s">
        <v>10743</v>
      </c>
      <c r="G1551" s="111" t="s">
        <v>10744</v>
      </c>
      <c r="I1551" s="1" t="s">
        <v>3482</v>
      </c>
      <c r="K1551" s="4"/>
      <c r="L1551" s="4" t="s">
        <v>3483</v>
      </c>
      <c r="V1551" s="4" t="s">
        <v>10745</v>
      </c>
      <c r="X1551" s="137"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4" t="s">
        <v>9529</v>
      </c>
      <c r="V1552" s="4" t="s">
        <v>10750</v>
      </c>
      <c r="X1552" s="1" t="s">
        <v>4334</v>
      </c>
      <c r="Y1552" s="1" t="s">
        <v>10749</v>
      </c>
      <c r="AA1552" s="1" t="s">
        <v>125</v>
      </c>
      <c r="AE1552" s="1">
        <v>1</v>
      </c>
      <c r="AF1552" s="54" t="s">
        <v>9530</v>
      </c>
      <c r="AL1552" s="60" t="s">
        <v>8130</v>
      </c>
      <c r="AN1552" s="4" t="s">
        <v>10751</v>
      </c>
      <c r="AP1552" s="1"/>
    </row>
    <row r="1553" spans="1:42" ht="48" x14ac:dyDescent="0.2">
      <c r="A1553" s="1" t="s">
        <v>10683</v>
      </c>
      <c r="B1553" s="50" t="s">
        <v>10752</v>
      </c>
      <c r="C1553" s="1" t="s">
        <v>11009</v>
      </c>
      <c r="D1553" s="1">
        <v>21</v>
      </c>
      <c r="E1553" s="1">
        <v>1</v>
      </c>
      <c r="F1553" s="1" t="s">
        <v>10744</v>
      </c>
      <c r="G1553" s="1" t="s">
        <v>10753</v>
      </c>
      <c r="I1553" s="1" t="s">
        <v>125</v>
      </c>
      <c r="K1553" s="4"/>
      <c r="L1553" s="4"/>
      <c r="M1553" s="18">
        <v>2</v>
      </c>
      <c r="N1553" s="54" t="s">
        <v>9529</v>
      </c>
      <c r="V1553" s="4" t="s">
        <v>10754</v>
      </c>
      <c r="Y1553" s="1" t="s">
        <v>10753</v>
      </c>
      <c r="AA1553" s="1" t="s">
        <v>125</v>
      </c>
      <c r="AE1553" s="1">
        <v>2</v>
      </c>
      <c r="AF1553" s="54" t="s">
        <v>9530</v>
      </c>
      <c r="AL1553" s="60">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4" t="s">
        <v>9529</v>
      </c>
      <c r="V1554" s="4" t="s">
        <v>10758</v>
      </c>
      <c r="Y1554" s="1" t="s">
        <v>10757</v>
      </c>
      <c r="AA1554" s="1" t="s">
        <v>125</v>
      </c>
      <c r="AE1554" s="1">
        <v>3</v>
      </c>
      <c r="AF1554" s="54" t="s">
        <v>9530</v>
      </c>
      <c r="AL1554" s="60">
        <v>12</v>
      </c>
      <c r="AN1554" s="4" t="s">
        <v>10759</v>
      </c>
      <c r="AP1554" s="1"/>
    </row>
    <row r="1555" spans="1:42" ht="72" x14ac:dyDescent="0.2">
      <c r="A1555" s="1" t="s">
        <v>10683</v>
      </c>
      <c r="B1555" s="50" t="s">
        <v>10760</v>
      </c>
      <c r="C1555" s="1" t="s">
        <v>11009</v>
      </c>
      <c r="D1555" s="1">
        <v>23</v>
      </c>
      <c r="E1555" s="1">
        <v>1</v>
      </c>
      <c r="F1555" s="1" t="s">
        <v>10744</v>
      </c>
      <c r="G1555" s="1" t="s">
        <v>10761</v>
      </c>
      <c r="I1555" s="1" t="s">
        <v>125</v>
      </c>
      <c r="K1555" s="4"/>
      <c r="L1555" s="4"/>
      <c r="M1555" s="18">
        <v>4</v>
      </c>
      <c r="N1555" s="54" t="s">
        <v>9529</v>
      </c>
      <c r="V1555" s="4" t="s">
        <v>10762</v>
      </c>
      <c r="Y1555" s="1" t="s">
        <v>10761</v>
      </c>
      <c r="AA1555" s="1" t="s">
        <v>125</v>
      </c>
      <c r="AE1555" s="1">
        <v>4</v>
      </c>
      <c r="AF1555" s="54" t="s">
        <v>9530</v>
      </c>
      <c r="AL1555" s="60"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4">
        <v>50</v>
      </c>
      <c r="O1556" s="55">
        <v>5</v>
      </c>
      <c r="Q1556" s="57">
        <v>6</v>
      </c>
      <c r="R1556" s="58">
        <v>5</v>
      </c>
      <c r="S1556" s="59">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4">
        <v>30</v>
      </c>
      <c r="O1557" s="55">
        <v>4</v>
      </c>
      <c r="Q1557" s="57">
        <v>5</v>
      </c>
      <c r="R1557" s="58">
        <v>3</v>
      </c>
      <c r="S1557" s="59">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4">
        <v>50</v>
      </c>
      <c r="O1558" s="55">
        <v>1</v>
      </c>
      <c r="Q1558" s="57">
        <v>4</v>
      </c>
      <c r="R1558" s="58">
        <v>1</v>
      </c>
      <c r="S1558" s="59">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4">
        <v>38</v>
      </c>
      <c r="O1559" s="55">
        <v>2</v>
      </c>
      <c r="Q1559" s="57">
        <v>3</v>
      </c>
      <c r="R1559" s="58">
        <v>2</v>
      </c>
      <c r="S1559" s="59">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4">
        <v>28</v>
      </c>
      <c r="O1560" s="55">
        <v>3</v>
      </c>
      <c r="Q1560" s="57">
        <v>1</v>
      </c>
      <c r="R1560" s="58">
        <v>1</v>
      </c>
      <c r="S1560" s="59">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5">
        <v>4</v>
      </c>
      <c r="T1561" s="60">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5">
        <v>1</v>
      </c>
      <c r="T1562" s="60">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5">
        <v>3</v>
      </c>
      <c r="T1563" s="60">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5">
        <v>2</v>
      </c>
      <c r="T1564" s="60">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5">
        <v>4</v>
      </c>
      <c r="T1565" s="60">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5">
        <v>3</v>
      </c>
      <c r="T1566" s="60">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1" t="s">
        <v>10683</v>
      </c>
      <c r="B1571" s="111" t="s">
        <v>10814</v>
      </c>
      <c r="C1571" s="111" t="s">
        <v>11009</v>
      </c>
      <c r="D1571" s="111">
        <v>39</v>
      </c>
      <c r="E1571" s="111">
        <v>1</v>
      </c>
      <c r="F1571" s="111" t="s">
        <v>10815</v>
      </c>
      <c r="G1571" s="111" t="s">
        <v>10816</v>
      </c>
      <c r="I1571" s="1" t="s">
        <v>3482</v>
      </c>
      <c r="K1571" s="4"/>
      <c r="L1571" s="4" t="s">
        <v>3483</v>
      </c>
      <c r="V1571" s="4" t="s">
        <v>10817</v>
      </c>
      <c r="X1571" s="137"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4" t="s">
        <v>9529</v>
      </c>
      <c r="V1572" s="4" t="s">
        <v>10821</v>
      </c>
      <c r="X1572" s="1" t="s">
        <v>10822</v>
      </c>
      <c r="Y1572" s="1" t="s">
        <v>10820</v>
      </c>
      <c r="AA1572" s="1" t="s">
        <v>125</v>
      </c>
      <c r="AE1572" s="1">
        <v>1</v>
      </c>
      <c r="AF1572" s="54" t="s">
        <v>9530</v>
      </c>
      <c r="AL1572" s="60">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4" t="s">
        <v>9529</v>
      </c>
      <c r="V1573" s="4" t="s">
        <v>10826</v>
      </c>
      <c r="Y1573" s="1" t="s">
        <v>10825</v>
      </c>
      <c r="AA1573" s="1" t="s">
        <v>125</v>
      </c>
      <c r="AE1573" s="1">
        <v>2</v>
      </c>
      <c r="AF1573" s="54" t="s">
        <v>9530</v>
      </c>
      <c r="AL1573" s="60">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4" t="s">
        <v>9529</v>
      </c>
      <c r="V1574" s="4" t="s">
        <v>10830</v>
      </c>
      <c r="Y1574" s="1" t="s">
        <v>10831</v>
      </c>
      <c r="AA1574" s="1" t="s">
        <v>125</v>
      </c>
      <c r="AE1574" s="1">
        <v>3</v>
      </c>
      <c r="AF1574" s="54" t="s">
        <v>9530</v>
      </c>
      <c r="AL1574" s="60">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4">
        <v>50</v>
      </c>
      <c r="O1576" s="55">
        <v>5</v>
      </c>
      <c r="Q1576" s="57">
        <v>8</v>
      </c>
      <c r="R1576" s="58">
        <v>9</v>
      </c>
      <c r="S1576" s="59">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4">
        <v>40</v>
      </c>
      <c r="O1577" s="55">
        <v>4</v>
      </c>
      <c r="Q1577" s="57">
        <v>4</v>
      </c>
      <c r="R1577" s="58">
        <v>3</v>
      </c>
      <c r="S1577" s="59">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4">
        <v>36</v>
      </c>
      <c r="O1578" s="55">
        <v>3</v>
      </c>
      <c r="Q1578" s="57">
        <v>6</v>
      </c>
      <c r="R1578" s="58">
        <v>4</v>
      </c>
      <c r="S1578" s="59">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4">
        <v>34</v>
      </c>
      <c r="O1579" s="55">
        <v>2</v>
      </c>
      <c r="Q1579" s="57">
        <v>4</v>
      </c>
      <c r="R1579" s="58">
        <v>2</v>
      </c>
      <c r="S1579" s="59">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4">
        <v>38</v>
      </c>
      <c r="O1580" s="55">
        <v>2</v>
      </c>
      <c r="Q1580" s="57">
        <v>3</v>
      </c>
      <c r="R1580" s="58">
        <v>1</v>
      </c>
      <c r="S1580" s="59">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4">
        <v>42</v>
      </c>
      <c r="O1581" s="55" t="s">
        <v>113</v>
      </c>
      <c r="Q1581" s="57">
        <v>3</v>
      </c>
      <c r="R1581" s="58">
        <v>3</v>
      </c>
      <c r="S1581" s="59">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5">
        <v>5</v>
      </c>
      <c r="T1582" s="60">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5">
        <v>4</v>
      </c>
      <c r="T1583" s="60">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5">
        <v>2</v>
      </c>
      <c r="T1584" s="60">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5">
        <v>1</v>
      </c>
      <c r="T1585" s="60">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5">
        <v>4</v>
      </c>
      <c r="T1586" s="60">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5">
        <v>3</v>
      </c>
      <c r="T1587" s="60">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1" t="s">
        <v>10683</v>
      </c>
      <c r="B1592" s="111" t="s">
        <v>10894</v>
      </c>
      <c r="C1592" s="111" t="s">
        <v>11009</v>
      </c>
      <c r="D1592" s="111">
        <v>60</v>
      </c>
      <c r="E1592" s="111">
        <v>1</v>
      </c>
      <c r="F1592" s="111" t="s">
        <v>10895</v>
      </c>
      <c r="G1592" s="111" t="s">
        <v>10896</v>
      </c>
      <c r="I1592" s="1" t="s">
        <v>3482</v>
      </c>
      <c r="K1592" s="4"/>
      <c r="L1592" s="4" t="s">
        <v>3483</v>
      </c>
      <c r="V1592" s="4" t="s">
        <v>10897</v>
      </c>
      <c r="X1592" s="137"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4" t="s">
        <v>9529</v>
      </c>
      <c r="V1593" s="4" t="s">
        <v>10902</v>
      </c>
      <c r="X1593" s="1" t="s">
        <v>10903</v>
      </c>
      <c r="Y1593" s="1" t="s">
        <v>10901</v>
      </c>
      <c r="AA1593" s="1" t="s">
        <v>125</v>
      </c>
      <c r="AE1593" s="1">
        <v>1</v>
      </c>
      <c r="AF1593" s="54" t="s">
        <v>9530</v>
      </c>
      <c r="AL1593" s="60">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4" t="s">
        <v>9529</v>
      </c>
      <c r="V1594" s="4" t="s">
        <v>10907</v>
      </c>
      <c r="Y1594" s="1" t="s">
        <v>10906</v>
      </c>
      <c r="AA1594" s="1" t="s">
        <v>125</v>
      </c>
      <c r="AE1594" s="1">
        <v>2</v>
      </c>
      <c r="AF1594" s="54" t="s">
        <v>9530</v>
      </c>
      <c r="AL1594" s="60"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4" t="s">
        <v>9529</v>
      </c>
      <c r="V1595" s="4" t="s">
        <v>10911</v>
      </c>
      <c r="Y1595" s="1" t="s">
        <v>10910</v>
      </c>
      <c r="AA1595" s="1" t="s">
        <v>125</v>
      </c>
      <c r="AE1595" s="1">
        <v>3</v>
      </c>
      <c r="AF1595" s="54" t="s">
        <v>9530</v>
      </c>
      <c r="AL1595" s="60"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4" t="s">
        <v>9529</v>
      </c>
      <c r="V1596" s="4" t="s">
        <v>10911</v>
      </c>
      <c r="Y1596" s="1" t="s">
        <v>10914</v>
      </c>
      <c r="AA1596" s="1" t="s">
        <v>125</v>
      </c>
      <c r="AE1596" s="1">
        <v>3</v>
      </c>
      <c r="AF1596" s="54" t="s">
        <v>9530</v>
      </c>
      <c r="AL1596" s="60"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4" t="s">
        <v>9529</v>
      </c>
      <c r="V1597" s="4" t="s">
        <v>10911</v>
      </c>
      <c r="Y1597" s="1" t="s">
        <v>10917</v>
      </c>
      <c r="AA1597" s="1" t="s">
        <v>125</v>
      </c>
      <c r="AE1597" s="1">
        <v>3</v>
      </c>
      <c r="AF1597" s="54" t="s">
        <v>9530</v>
      </c>
      <c r="AL1597" s="60"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4" t="s">
        <v>9529</v>
      </c>
      <c r="V1598" s="4" t="s">
        <v>10911</v>
      </c>
      <c r="Y1598" s="1" t="s">
        <v>10920</v>
      </c>
      <c r="AA1598" s="1" t="s">
        <v>125</v>
      </c>
      <c r="AE1598" s="1">
        <v>3</v>
      </c>
      <c r="AF1598" s="54" t="s">
        <v>9530</v>
      </c>
      <c r="AL1598" s="60"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4" t="s">
        <v>9529</v>
      </c>
      <c r="V1599" s="4" t="s">
        <v>10924</v>
      </c>
      <c r="Y1599" s="1" t="s">
        <v>10923</v>
      </c>
      <c r="AA1599" s="1" t="s">
        <v>125</v>
      </c>
      <c r="AE1599" s="1">
        <v>4</v>
      </c>
      <c r="AF1599" s="54" t="s">
        <v>9530</v>
      </c>
      <c r="AL1599" s="60">
        <v>16</v>
      </c>
      <c r="AN1599" s="4" t="s">
        <v>10925</v>
      </c>
      <c r="AP1599" s="1"/>
    </row>
    <row r="1600" spans="1:42" ht="36" x14ac:dyDescent="0.2">
      <c r="A1600" s="138" t="s">
        <v>10683</v>
      </c>
      <c r="B1600" s="138" t="s">
        <v>10926</v>
      </c>
      <c r="C1600" s="138" t="s">
        <v>11009</v>
      </c>
      <c r="D1600" s="138">
        <v>68</v>
      </c>
      <c r="E1600" s="138">
        <v>1</v>
      </c>
      <c r="F1600" s="138" t="s">
        <v>10896</v>
      </c>
      <c r="G1600" s="138"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4">
        <v>36</v>
      </c>
      <c r="O1601" s="55">
        <v>3</v>
      </c>
      <c r="Q1601" s="57">
        <v>5</v>
      </c>
      <c r="R1601" s="58">
        <v>2</v>
      </c>
      <c r="S1601" s="59">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4">
        <v>44</v>
      </c>
      <c r="O1602" s="55" t="s">
        <v>113</v>
      </c>
      <c r="Q1602" s="57">
        <v>4</v>
      </c>
      <c r="R1602" s="58">
        <v>1</v>
      </c>
      <c r="S1602" s="59">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4">
        <v>33</v>
      </c>
      <c r="O1603" s="55">
        <v>1</v>
      </c>
      <c r="Q1603" s="57">
        <v>3</v>
      </c>
      <c r="R1603" s="58">
        <v>1</v>
      </c>
      <c r="S1603" s="59">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4">
        <v>28</v>
      </c>
      <c r="O1604" s="55">
        <v>2</v>
      </c>
      <c r="Q1604" s="57">
        <v>4</v>
      </c>
      <c r="R1604" s="58">
        <v>1</v>
      </c>
      <c r="S1604" s="59">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5">
        <v>2</v>
      </c>
      <c r="T1605" s="60">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5">
        <v>1</v>
      </c>
      <c r="T1606" s="60">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5" t="s">
        <v>113</v>
      </c>
      <c r="T1607" s="60">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5">
        <v>3</v>
      </c>
      <c r="T1608" s="60">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5">
        <v>2</v>
      </c>
      <c r="T1609" s="60">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5">
        <v>3</v>
      </c>
      <c r="T1610" s="60">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5">
        <v>3</v>
      </c>
      <c r="T1611" s="60">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1" t="s">
        <v>10683</v>
      </c>
      <c r="B1616" s="111" t="s">
        <v>10987</v>
      </c>
      <c r="C1616" s="111" t="s">
        <v>11009</v>
      </c>
      <c r="D1616" s="111">
        <v>84</v>
      </c>
      <c r="E1616" s="111">
        <v>1</v>
      </c>
      <c r="F1616" s="111" t="s">
        <v>10744</v>
      </c>
      <c r="G1616" s="111"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5" t="s">
        <v>2100</v>
      </c>
      <c r="B1624" s="115" t="s">
        <v>2101</v>
      </c>
      <c r="C1624" s="115" t="s">
        <v>5723</v>
      </c>
      <c r="D1624" s="116">
        <v>1</v>
      </c>
      <c r="E1624" s="115"/>
      <c r="F1624" s="115"/>
      <c r="G1624" s="115" t="s">
        <v>2102</v>
      </c>
      <c r="I1624" s="1" t="s">
        <v>27</v>
      </c>
      <c r="J1624" s="1" t="s">
        <v>57</v>
      </c>
      <c r="K1624" s="1" t="s">
        <v>2103</v>
      </c>
      <c r="M1624" s="18">
        <v>9</v>
      </c>
      <c r="AL1624" s="60" t="s">
        <v>30</v>
      </c>
    </row>
    <row r="1625" spans="1:42" x14ac:dyDescent="0.2">
      <c r="A1625" s="1" t="s">
        <v>2100</v>
      </c>
      <c r="B1625" s="1" t="s">
        <v>2104</v>
      </c>
      <c r="C1625" s="1" t="s">
        <v>5723</v>
      </c>
      <c r="D1625" s="48">
        <v>2</v>
      </c>
      <c r="G1625" s="1" t="s">
        <v>2105</v>
      </c>
      <c r="I1625" s="1" t="s">
        <v>27</v>
      </c>
      <c r="J1625" s="1" t="s">
        <v>39</v>
      </c>
      <c r="K1625" s="1" t="s">
        <v>2106</v>
      </c>
      <c r="AL1625" s="60" t="s">
        <v>30</v>
      </c>
    </row>
    <row r="1626" spans="1:42" x14ac:dyDescent="0.2">
      <c r="A1626" s="1" t="s">
        <v>2100</v>
      </c>
      <c r="B1626" s="1" t="s">
        <v>2126</v>
      </c>
      <c r="C1626" s="1" t="s">
        <v>5723</v>
      </c>
      <c r="D1626" s="48">
        <v>3</v>
      </c>
      <c r="E1626" s="1">
        <v>1</v>
      </c>
      <c r="F1626" s="1" t="s">
        <v>2109</v>
      </c>
      <c r="G1626" s="1" t="s">
        <v>2127</v>
      </c>
      <c r="I1626" s="1" t="s">
        <v>94</v>
      </c>
      <c r="K1626" s="1" t="s">
        <v>2117</v>
      </c>
      <c r="U1626" s="1">
        <v>4</v>
      </c>
      <c r="AL1626" s="60" t="s">
        <v>30</v>
      </c>
    </row>
    <row r="1627" spans="1:42" x14ac:dyDescent="0.2">
      <c r="A1627" s="1" t="s">
        <v>2100</v>
      </c>
      <c r="B1627" s="1" t="s">
        <v>2132</v>
      </c>
      <c r="C1627" s="1" t="s">
        <v>5723</v>
      </c>
      <c r="D1627" s="48">
        <v>4</v>
      </c>
      <c r="E1627" s="1">
        <v>2</v>
      </c>
      <c r="F1627" s="1" t="s">
        <v>2109</v>
      </c>
      <c r="G1627" s="1" t="s">
        <v>2133</v>
      </c>
      <c r="I1627" s="1" t="s">
        <v>94</v>
      </c>
      <c r="K1627" s="1" t="s">
        <v>95</v>
      </c>
      <c r="AL1627" s="60" t="s">
        <v>30</v>
      </c>
    </row>
    <row r="1628" spans="1:42" x14ac:dyDescent="0.2">
      <c r="A1628" s="1" t="s">
        <v>2100</v>
      </c>
      <c r="B1628" s="1" t="s">
        <v>2130</v>
      </c>
      <c r="C1628" s="1" t="s">
        <v>5723</v>
      </c>
      <c r="D1628" s="48">
        <v>5</v>
      </c>
      <c r="E1628" s="1">
        <v>1</v>
      </c>
      <c r="F1628" s="1" t="s">
        <v>2109</v>
      </c>
      <c r="G1628" s="1" t="s">
        <v>2131</v>
      </c>
      <c r="I1628" s="1" t="s">
        <v>94</v>
      </c>
      <c r="K1628" s="1" t="s">
        <v>576</v>
      </c>
      <c r="AL1628" s="60" t="s">
        <v>30</v>
      </c>
    </row>
    <row r="1629" spans="1:42" x14ac:dyDescent="0.2">
      <c r="A1629" s="1" t="s">
        <v>2100</v>
      </c>
      <c r="B1629" s="1" t="s">
        <v>2115</v>
      </c>
      <c r="C1629" s="1" t="s">
        <v>5723</v>
      </c>
      <c r="D1629" s="48">
        <v>6</v>
      </c>
      <c r="E1629" s="1">
        <v>3</v>
      </c>
      <c r="F1629" s="1" t="s">
        <v>2109</v>
      </c>
      <c r="G1629" s="1" t="s">
        <v>2116</v>
      </c>
      <c r="I1629" s="1" t="s">
        <v>94</v>
      </c>
      <c r="K1629" s="1" t="s">
        <v>2117</v>
      </c>
      <c r="AL1629" s="60" t="s">
        <v>30</v>
      </c>
    </row>
    <row r="1630" spans="1:42" x14ac:dyDescent="0.2">
      <c r="A1630" s="1" t="s">
        <v>2100</v>
      </c>
      <c r="B1630" s="1" t="s">
        <v>2136</v>
      </c>
      <c r="C1630" s="1" t="s">
        <v>5723</v>
      </c>
      <c r="D1630" s="48">
        <v>7</v>
      </c>
      <c r="E1630" s="1">
        <v>1</v>
      </c>
      <c r="F1630" s="1" t="s">
        <v>2109</v>
      </c>
      <c r="G1630" s="1" t="s">
        <v>2137</v>
      </c>
      <c r="I1630" s="1" t="s">
        <v>94</v>
      </c>
      <c r="K1630" s="1" t="s">
        <v>2117</v>
      </c>
      <c r="AL1630" s="60" t="s">
        <v>30</v>
      </c>
    </row>
    <row r="1631" spans="1:42" x14ac:dyDescent="0.2">
      <c r="A1631" s="1" t="s">
        <v>2100</v>
      </c>
      <c r="B1631" s="1" t="s">
        <v>2110</v>
      </c>
      <c r="C1631" s="1" t="s">
        <v>5723</v>
      </c>
      <c r="D1631" s="48">
        <v>8</v>
      </c>
      <c r="E1631" s="1">
        <v>2</v>
      </c>
      <c r="F1631" s="1" t="s">
        <v>2109</v>
      </c>
      <c r="G1631" s="1" t="s">
        <v>2111</v>
      </c>
      <c r="I1631" s="1" t="s">
        <v>94</v>
      </c>
      <c r="K1631" s="1" t="s">
        <v>2112</v>
      </c>
      <c r="AL1631" s="60" t="s">
        <v>30</v>
      </c>
    </row>
    <row r="1632" spans="1:42" x14ac:dyDescent="0.2">
      <c r="A1632" s="1" t="s">
        <v>2100</v>
      </c>
      <c r="B1632" s="1" t="s">
        <v>2138</v>
      </c>
      <c r="C1632" s="1" t="s">
        <v>5723</v>
      </c>
      <c r="D1632" s="48">
        <v>9</v>
      </c>
      <c r="E1632" s="1">
        <v>4</v>
      </c>
      <c r="F1632" s="1" t="s">
        <v>2109</v>
      </c>
      <c r="G1632" s="1" t="s">
        <v>2139</v>
      </c>
      <c r="I1632" s="1" t="s">
        <v>94</v>
      </c>
      <c r="K1632" s="1" t="s">
        <v>2117</v>
      </c>
      <c r="U1632" s="1">
        <v>3</v>
      </c>
      <c r="AL1632" s="60" t="s">
        <v>30</v>
      </c>
    </row>
    <row r="1633" spans="1:38" x14ac:dyDescent="0.2">
      <c r="A1633" s="1" t="s">
        <v>2100</v>
      </c>
      <c r="B1633" s="1" t="s">
        <v>2128</v>
      </c>
      <c r="C1633" s="1" t="s">
        <v>5723</v>
      </c>
      <c r="D1633" s="48">
        <v>10</v>
      </c>
      <c r="E1633" s="1">
        <v>3</v>
      </c>
      <c r="F1633" s="1" t="s">
        <v>2109</v>
      </c>
      <c r="G1633" s="1" t="s">
        <v>2129</v>
      </c>
      <c r="I1633" s="1" t="s">
        <v>104</v>
      </c>
      <c r="K1633" s="1" t="s">
        <v>2120</v>
      </c>
      <c r="O1633" s="55">
        <v>2</v>
      </c>
      <c r="T1633" s="60">
        <v>2</v>
      </c>
      <c r="AL1633" s="60" t="s">
        <v>30</v>
      </c>
    </row>
    <row r="1634" spans="1:38" x14ac:dyDescent="0.2">
      <c r="A1634" s="1" t="s">
        <v>2100</v>
      </c>
      <c r="B1634" s="1" t="s">
        <v>2118</v>
      </c>
      <c r="C1634" s="1" t="s">
        <v>5723</v>
      </c>
      <c r="D1634" s="48">
        <v>11</v>
      </c>
      <c r="E1634" s="1">
        <v>2</v>
      </c>
      <c r="F1634" s="1" t="s">
        <v>2109</v>
      </c>
      <c r="G1634" s="1" t="s">
        <v>2119</v>
      </c>
      <c r="I1634" s="1" t="s">
        <v>104</v>
      </c>
      <c r="K1634" s="1" t="s">
        <v>2120</v>
      </c>
      <c r="O1634" s="55" t="s">
        <v>113</v>
      </c>
      <c r="T1634" s="60">
        <v>4</v>
      </c>
      <c r="AL1634" s="60" t="s">
        <v>30</v>
      </c>
    </row>
    <row r="1635" spans="1:38" x14ac:dyDescent="0.2">
      <c r="A1635" s="1" t="s">
        <v>2100</v>
      </c>
      <c r="B1635" s="1" t="s">
        <v>2142</v>
      </c>
      <c r="C1635" s="1" t="s">
        <v>5723</v>
      </c>
      <c r="D1635" s="48">
        <v>12</v>
      </c>
      <c r="E1635" s="1">
        <v>1</v>
      </c>
      <c r="F1635" s="1" t="s">
        <v>2109</v>
      </c>
      <c r="G1635" s="1" t="s">
        <v>2143</v>
      </c>
      <c r="I1635" s="1" t="s">
        <v>104</v>
      </c>
      <c r="K1635" s="1" t="s">
        <v>2120</v>
      </c>
      <c r="O1635" s="55">
        <v>3</v>
      </c>
      <c r="T1635" s="60">
        <v>6</v>
      </c>
      <c r="U1635" s="1">
        <v>4</v>
      </c>
      <c r="AL1635" s="60" t="s">
        <v>30</v>
      </c>
    </row>
    <row r="1636" spans="1:38" x14ac:dyDescent="0.2">
      <c r="A1636" s="1" t="s">
        <v>2100</v>
      </c>
      <c r="B1636" s="1" t="s">
        <v>2123</v>
      </c>
      <c r="C1636" s="1" t="s">
        <v>5723</v>
      </c>
      <c r="D1636" s="48">
        <v>13</v>
      </c>
      <c r="E1636" s="1">
        <v>2</v>
      </c>
      <c r="F1636" s="1" t="s">
        <v>2109</v>
      </c>
      <c r="G1636" s="1" t="s">
        <v>2124</v>
      </c>
      <c r="I1636" s="1" t="s">
        <v>104</v>
      </c>
      <c r="K1636" s="1" t="s">
        <v>2125</v>
      </c>
      <c r="O1636" s="55">
        <v>1</v>
      </c>
      <c r="T1636" s="60">
        <v>1</v>
      </c>
      <c r="AL1636" s="60" t="s">
        <v>30</v>
      </c>
    </row>
    <row r="1637" spans="1:38" x14ac:dyDescent="0.2">
      <c r="A1637" s="1" t="s">
        <v>2100</v>
      </c>
      <c r="B1637" s="1" t="s">
        <v>2107</v>
      </c>
      <c r="C1637" s="1" t="s">
        <v>5723</v>
      </c>
      <c r="D1637" s="48">
        <v>14</v>
      </c>
      <c r="E1637" s="1">
        <v>4</v>
      </c>
      <c r="F1637" s="1" t="s">
        <v>2109</v>
      </c>
      <c r="G1637" s="1" t="s">
        <v>2108</v>
      </c>
      <c r="I1637" s="1" t="s">
        <v>88</v>
      </c>
      <c r="K1637" s="1" t="s">
        <v>196</v>
      </c>
      <c r="AL1637" s="60" t="s">
        <v>30</v>
      </c>
    </row>
    <row r="1638" spans="1:38" x14ac:dyDescent="0.2">
      <c r="A1638" s="1" t="s">
        <v>2100</v>
      </c>
      <c r="B1638" s="1" t="s">
        <v>2121</v>
      </c>
      <c r="C1638" s="1" t="s">
        <v>5723</v>
      </c>
      <c r="D1638" s="48">
        <v>15</v>
      </c>
      <c r="E1638" s="1">
        <v>1</v>
      </c>
      <c r="F1638" s="1" t="s">
        <v>2109</v>
      </c>
      <c r="G1638" s="1" t="s">
        <v>2122</v>
      </c>
      <c r="I1638" s="1" t="s">
        <v>88</v>
      </c>
      <c r="K1638" s="1" t="s">
        <v>324</v>
      </c>
      <c r="AL1638" s="60" t="s">
        <v>30</v>
      </c>
    </row>
    <row r="1639" spans="1:38" x14ac:dyDescent="0.2">
      <c r="A1639" s="1" t="s">
        <v>2100</v>
      </c>
      <c r="B1639" s="1" t="s">
        <v>2144</v>
      </c>
      <c r="C1639" s="1" t="s">
        <v>5723</v>
      </c>
      <c r="D1639" s="48">
        <v>16</v>
      </c>
      <c r="E1639" s="1">
        <v>1</v>
      </c>
      <c r="F1639" s="1" t="s">
        <v>2109</v>
      </c>
      <c r="G1639" s="1" t="s">
        <v>9574</v>
      </c>
      <c r="I1639" s="1" t="s">
        <v>125</v>
      </c>
      <c r="M1639" s="18">
        <v>1</v>
      </c>
      <c r="N1639" s="54" t="s">
        <v>9529</v>
      </c>
      <c r="X1639" s="1" t="s">
        <v>2145</v>
      </c>
      <c r="Y1639" s="1" t="s">
        <v>9574</v>
      </c>
      <c r="AA1639" s="1" t="s">
        <v>125</v>
      </c>
      <c r="AE1639" s="1">
        <v>1</v>
      </c>
      <c r="AF1639" s="54" t="s">
        <v>9530</v>
      </c>
      <c r="AL1639" s="60" t="s">
        <v>243</v>
      </c>
    </row>
    <row r="1640" spans="1:38" x14ac:dyDescent="0.2">
      <c r="A1640" s="1" t="s">
        <v>2100</v>
      </c>
      <c r="B1640" s="1" t="s">
        <v>2146</v>
      </c>
      <c r="C1640" s="1" t="s">
        <v>5723</v>
      </c>
      <c r="D1640" s="48">
        <v>17</v>
      </c>
      <c r="E1640" s="1">
        <v>1</v>
      </c>
      <c r="F1640" s="1" t="s">
        <v>2109</v>
      </c>
      <c r="G1640" s="1" t="s">
        <v>9633</v>
      </c>
      <c r="I1640" s="1" t="s">
        <v>125</v>
      </c>
      <c r="M1640" s="18">
        <v>2</v>
      </c>
      <c r="N1640" s="54" t="s">
        <v>9529</v>
      </c>
      <c r="Y1640" s="1" t="s">
        <v>9633</v>
      </c>
      <c r="AA1640" s="1" t="s">
        <v>125</v>
      </c>
      <c r="AE1640" s="1">
        <v>2</v>
      </c>
      <c r="AF1640" s="54" t="s">
        <v>9530</v>
      </c>
      <c r="AL1640" s="60" t="s">
        <v>166</v>
      </c>
    </row>
    <row r="1641" spans="1:38" x14ac:dyDescent="0.2">
      <c r="A1641" s="1" t="s">
        <v>2100</v>
      </c>
      <c r="B1641" s="1" t="s">
        <v>2147</v>
      </c>
      <c r="C1641" s="1" t="s">
        <v>5723</v>
      </c>
      <c r="D1641" s="48">
        <v>18</v>
      </c>
      <c r="E1641" s="1">
        <v>1</v>
      </c>
      <c r="F1641" s="1" t="s">
        <v>2109</v>
      </c>
      <c r="G1641" s="1" t="s">
        <v>9693</v>
      </c>
      <c r="I1641" s="1" t="s">
        <v>125</v>
      </c>
      <c r="M1641" s="18">
        <v>3</v>
      </c>
      <c r="N1641" s="54" t="s">
        <v>9529</v>
      </c>
      <c r="Y1641" s="1" t="s">
        <v>9693</v>
      </c>
      <c r="AA1641" s="1" t="s">
        <v>125</v>
      </c>
      <c r="AE1641" s="1">
        <v>3</v>
      </c>
      <c r="AF1641" s="54" t="s">
        <v>9530</v>
      </c>
      <c r="AL1641" s="60" t="s">
        <v>341</v>
      </c>
    </row>
    <row r="1642" spans="1:38" x14ac:dyDescent="0.2">
      <c r="A1642" s="1" t="s">
        <v>2100</v>
      </c>
      <c r="B1642" s="1" t="s">
        <v>2140</v>
      </c>
      <c r="C1642" s="1" t="s">
        <v>5723</v>
      </c>
      <c r="D1642" s="48">
        <v>19</v>
      </c>
      <c r="E1642" s="1">
        <v>3</v>
      </c>
      <c r="F1642" s="1" t="s">
        <v>2109</v>
      </c>
      <c r="G1642" s="1" t="s">
        <v>2141</v>
      </c>
      <c r="I1642" s="1" t="s">
        <v>82</v>
      </c>
      <c r="AL1642" s="60" t="s">
        <v>30</v>
      </c>
    </row>
    <row r="1643" spans="1:38" x14ac:dyDescent="0.2">
      <c r="A1643" s="1" t="s">
        <v>2100</v>
      </c>
      <c r="B1643" s="1" t="s">
        <v>2113</v>
      </c>
      <c r="C1643" s="1" t="s">
        <v>5723</v>
      </c>
      <c r="D1643" s="48">
        <v>20</v>
      </c>
      <c r="E1643" s="1">
        <v>2</v>
      </c>
      <c r="F1643" s="1" t="s">
        <v>2109</v>
      </c>
      <c r="G1643" s="1" t="s">
        <v>2114</v>
      </c>
      <c r="I1643" s="1" t="s">
        <v>82</v>
      </c>
      <c r="AL1643" s="60" t="s">
        <v>30</v>
      </c>
    </row>
    <row r="1644" spans="1:38" x14ac:dyDescent="0.2">
      <c r="A1644" s="1" t="s">
        <v>2100</v>
      </c>
      <c r="B1644" s="1" t="s">
        <v>2134</v>
      </c>
      <c r="C1644" s="1" t="s">
        <v>5723</v>
      </c>
      <c r="D1644" s="48">
        <v>21</v>
      </c>
      <c r="E1644" s="1">
        <v>2</v>
      </c>
      <c r="F1644" s="1" t="s">
        <v>2109</v>
      </c>
      <c r="G1644" s="1" t="s">
        <v>2135</v>
      </c>
      <c r="I1644" s="1" t="s">
        <v>82</v>
      </c>
      <c r="AL1644" s="60" t="s">
        <v>30</v>
      </c>
    </row>
    <row r="1645" spans="1:38" x14ac:dyDescent="0.2">
      <c r="A1645" s="115" t="s">
        <v>1869</v>
      </c>
      <c r="B1645" s="115" t="s">
        <v>1897</v>
      </c>
      <c r="C1645" s="115" t="s">
        <v>5724</v>
      </c>
      <c r="D1645" s="116">
        <v>1</v>
      </c>
      <c r="E1645" s="115"/>
      <c r="F1645" s="115" t="s">
        <v>1871</v>
      </c>
      <c r="G1645" s="115" t="s">
        <v>1898</v>
      </c>
      <c r="I1645" s="1" t="s">
        <v>27</v>
      </c>
      <c r="J1645" s="1" t="s">
        <v>50</v>
      </c>
      <c r="K1645" s="1" t="s">
        <v>368</v>
      </c>
      <c r="M1645" s="18">
        <v>10</v>
      </c>
      <c r="P1645" s="56">
        <v>1</v>
      </c>
      <c r="Q1645" s="57">
        <v>3</v>
      </c>
      <c r="R1645" s="58">
        <v>2</v>
      </c>
      <c r="S1645" s="59">
        <v>4</v>
      </c>
      <c r="AL1645" s="60" t="s">
        <v>30</v>
      </c>
    </row>
    <row r="1646" spans="1:38" x14ac:dyDescent="0.2">
      <c r="A1646" s="1" t="s">
        <v>1869</v>
      </c>
      <c r="B1646" s="1" t="s">
        <v>1889</v>
      </c>
      <c r="C1646" s="1" t="s">
        <v>5724</v>
      </c>
      <c r="D1646" s="48">
        <v>2</v>
      </c>
      <c r="E1646" s="1">
        <v>1</v>
      </c>
      <c r="F1646" s="1" t="s">
        <v>1871</v>
      </c>
      <c r="G1646" s="1" t="s">
        <v>1890</v>
      </c>
      <c r="I1646" s="1" t="s">
        <v>94</v>
      </c>
      <c r="K1646" s="1" t="s">
        <v>1877</v>
      </c>
      <c r="N1646" s="54">
        <v>40</v>
      </c>
      <c r="O1646" s="55">
        <v>0</v>
      </c>
      <c r="Q1646" s="57">
        <v>6</v>
      </c>
      <c r="R1646" s="58">
        <v>3</v>
      </c>
      <c r="S1646" s="59">
        <v>5</v>
      </c>
      <c r="U1646" s="1">
        <v>5</v>
      </c>
      <c r="AL1646" s="60" t="s">
        <v>30</v>
      </c>
    </row>
    <row r="1647" spans="1:38" x14ac:dyDescent="0.2">
      <c r="A1647" s="1" t="s">
        <v>1869</v>
      </c>
      <c r="B1647" s="1" t="s">
        <v>1884</v>
      </c>
      <c r="C1647" s="1" t="s">
        <v>5724</v>
      </c>
      <c r="D1647" s="48">
        <v>3</v>
      </c>
      <c r="E1647" s="1">
        <v>3</v>
      </c>
      <c r="F1647" s="1" t="s">
        <v>1871</v>
      </c>
      <c r="G1647" s="1" t="s">
        <v>1885</v>
      </c>
      <c r="I1647" s="1" t="s">
        <v>94</v>
      </c>
      <c r="K1647" s="1" t="s">
        <v>1886</v>
      </c>
      <c r="N1647" s="54">
        <v>22</v>
      </c>
      <c r="O1647" s="55">
        <v>1</v>
      </c>
      <c r="Q1647" s="57">
        <v>3</v>
      </c>
      <c r="R1647" s="58">
        <v>2</v>
      </c>
      <c r="S1647" s="59">
        <v>4</v>
      </c>
      <c r="AL1647" s="60" t="s">
        <v>30</v>
      </c>
    </row>
    <row r="1648" spans="1:38" x14ac:dyDescent="0.2">
      <c r="A1648" s="1" t="s">
        <v>1869</v>
      </c>
      <c r="B1648" s="1" t="s">
        <v>1887</v>
      </c>
      <c r="C1648" s="1" t="s">
        <v>5724</v>
      </c>
      <c r="D1648" s="48">
        <v>4</v>
      </c>
      <c r="E1648" s="1">
        <v>3</v>
      </c>
      <c r="F1648" s="1" t="s">
        <v>1871</v>
      </c>
      <c r="G1648" s="1" t="s">
        <v>1888</v>
      </c>
      <c r="I1648" s="1" t="s">
        <v>94</v>
      </c>
      <c r="K1648" s="1" t="s">
        <v>1877</v>
      </c>
      <c r="N1648" s="54">
        <v>30</v>
      </c>
      <c r="O1648" s="55">
        <v>3</v>
      </c>
      <c r="Q1648" s="57">
        <v>2</v>
      </c>
      <c r="R1648" s="58">
        <v>0</v>
      </c>
      <c r="S1648" s="59">
        <v>3</v>
      </c>
      <c r="AL1648" s="60" t="s">
        <v>30</v>
      </c>
    </row>
    <row r="1649" spans="1:38" x14ac:dyDescent="0.2">
      <c r="A1649" s="1" t="s">
        <v>1869</v>
      </c>
      <c r="B1649" s="1" t="s">
        <v>1895</v>
      </c>
      <c r="C1649" s="1" t="s">
        <v>5724</v>
      </c>
      <c r="D1649" s="48">
        <v>5</v>
      </c>
      <c r="E1649" s="1">
        <v>2</v>
      </c>
      <c r="F1649" s="1" t="s">
        <v>1871</v>
      </c>
      <c r="G1649" s="1" t="s">
        <v>1896</v>
      </c>
      <c r="I1649" s="1" t="s">
        <v>94</v>
      </c>
      <c r="K1649" s="1" t="s">
        <v>1877</v>
      </c>
      <c r="N1649" s="54">
        <v>28</v>
      </c>
      <c r="O1649" s="55">
        <v>2</v>
      </c>
      <c r="Q1649" s="57">
        <v>2</v>
      </c>
      <c r="R1649" s="58">
        <v>1</v>
      </c>
      <c r="S1649" s="59">
        <v>3</v>
      </c>
      <c r="AL1649" s="60" t="s">
        <v>30</v>
      </c>
    </row>
    <row r="1650" spans="1:38" x14ac:dyDescent="0.2">
      <c r="A1650" s="1" t="s">
        <v>1869</v>
      </c>
      <c r="B1650" s="1" t="s">
        <v>1875</v>
      </c>
      <c r="C1650" s="1" t="s">
        <v>5724</v>
      </c>
      <c r="D1650" s="48">
        <v>6</v>
      </c>
      <c r="E1650" s="1">
        <v>1</v>
      </c>
      <c r="F1650" s="1" t="s">
        <v>1871</v>
      </c>
      <c r="G1650" s="1" t="s">
        <v>1876</v>
      </c>
      <c r="I1650" s="1" t="s">
        <v>94</v>
      </c>
      <c r="K1650" s="1" t="s">
        <v>1877</v>
      </c>
      <c r="N1650" s="54">
        <v>34</v>
      </c>
      <c r="O1650" s="55">
        <v>3</v>
      </c>
      <c r="Q1650" s="57">
        <v>4</v>
      </c>
      <c r="R1650" s="58">
        <v>3</v>
      </c>
      <c r="S1650" s="59">
        <v>6</v>
      </c>
      <c r="U1650" s="1">
        <v>5</v>
      </c>
      <c r="AL1650" s="60" t="s">
        <v>30</v>
      </c>
    </row>
    <row r="1651" spans="1:38" x14ac:dyDescent="0.2">
      <c r="A1651" s="1" t="s">
        <v>1869</v>
      </c>
      <c r="B1651" s="1" t="s">
        <v>1880</v>
      </c>
      <c r="C1651" s="1" t="s">
        <v>5724</v>
      </c>
      <c r="D1651" s="48">
        <v>7</v>
      </c>
      <c r="E1651" s="1">
        <v>2</v>
      </c>
      <c r="F1651" s="1" t="s">
        <v>1871</v>
      </c>
      <c r="G1651" s="1" t="s">
        <v>1881</v>
      </c>
      <c r="I1651" s="1" t="s">
        <v>104</v>
      </c>
      <c r="K1651" s="1" t="s">
        <v>105</v>
      </c>
      <c r="O1651" s="55">
        <v>3</v>
      </c>
      <c r="T1651" s="60">
        <v>4</v>
      </c>
      <c r="AL1651" s="60" t="s">
        <v>30</v>
      </c>
    </row>
    <row r="1652" spans="1:38" x14ac:dyDescent="0.2">
      <c r="A1652" s="1" t="s">
        <v>1869</v>
      </c>
      <c r="B1652" s="1" t="s">
        <v>1878</v>
      </c>
      <c r="C1652" s="1" t="s">
        <v>5724</v>
      </c>
      <c r="D1652" s="48">
        <v>8</v>
      </c>
      <c r="E1652" s="1">
        <v>2</v>
      </c>
      <c r="F1652" s="1" t="s">
        <v>1871</v>
      </c>
      <c r="G1652" s="1" t="s">
        <v>1879</v>
      </c>
      <c r="I1652" s="1" t="s">
        <v>104</v>
      </c>
      <c r="K1652" s="1" t="s">
        <v>105</v>
      </c>
      <c r="O1652" s="55">
        <v>1</v>
      </c>
      <c r="T1652" s="60">
        <v>3</v>
      </c>
      <c r="AL1652" s="60" t="s">
        <v>30</v>
      </c>
    </row>
    <row r="1653" spans="1:38" x14ac:dyDescent="0.2">
      <c r="A1653" s="1" t="s">
        <v>1869</v>
      </c>
      <c r="B1653" s="1" t="s">
        <v>1873</v>
      </c>
      <c r="C1653" s="1" t="s">
        <v>5724</v>
      </c>
      <c r="D1653" s="48">
        <v>9</v>
      </c>
      <c r="E1653" s="1">
        <v>8</v>
      </c>
      <c r="F1653" s="1" t="s">
        <v>1871</v>
      </c>
      <c r="G1653" s="1" t="s">
        <v>1874</v>
      </c>
      <c r="I1653" s="1" t="s">
        <v>88</v>
      </c>
      <c r="K1653" s="1" t="s">
        <v>89</v>
      </c>
      <c r="AL1653" s="60" t="s">
        <v>30</v>
      </c>
    </row>
    <row r="1654" spans="1:38" x14ac:dyDescent="0.2">
      <c r="A1654" s="1" t="s">
        <v>1869</v>
      </c>
      <c r="B1654" s="1" t="s">
        <v>1870</v>
      </c>
      <c r="C1654" s="1" t="s">
        <v>5724</v>
      </c>
      <c r="D1654" s="48">
        <v>10</v>
      </c>
      <c r="E1654" s="1">
        <v>1</v>
      </c>
      <c r="F1654" s="1" t="s">
        <v>1871</v>
      </c>
      <c r="G1654" s="1" t="s">
        <v>9575</v>
      </c>
      <c r="I1654" s="1" t="s">
        <v>125</v>
      </c>
      <c r="M1654" s="18">
        <v>1</v>
      </c>
      <c r="N1654" s="54" t="s">
        <v>9529</v>
      </c>
      <c r="X1654" s="1" t="s">
        <v>1872</v>
      </c>
      <c r="Y1654" s="1" t="s">
        <v>9575</v>
      </c>
      <c r="AA1654" s="1" t="s">
        <v>125</v>
      </c>
      <c r="AE1654" s="1">
        <v>1</v>
      </c>
      <c r="AF1654" s="54" t="s">
        <v>9530</v>
      </c>
      <c r="AL1654" s="60" t="s">
        <v>34</v>
      </c>
    </row>
    <row r="1655" spans="1:38" x14ac:dyDescent="0.2">
      <c r="A1655" s="1" t="s">
        <v>1869</v>
      </c>
      <c r="B1655" s="1" t="s">
        <v>1894</v>
      </c>
      <c r="C1655" s="1" t="s">
        <v>5724</v>
      </c>
      <c r="D1655" s="48">
        <v>11</v>
      </c>
      <c r="E1655" s="1">
        <v>1</v>
      </c>
      <c r="F1655" s="1" t="s">
        <v>1871</v>
      </c>
      <c r="G1655" s="1" t="s">
        <v>9634</v>
      </c>
      <c r="I1655" s="1" t="s">
        <v>125</v>
      </c>
      <c r="M1655" s="18">
        <v>2</v>
      </c>
      <c r="N1655" s="54" t="s">
        <v>9529</v>
      </c>
      <c r="Y1655" s="1" t="s">
        <v>9634</v>
      </c>
      <c r="AA1655" s="1" t="s">
        <v>125</v>
      </c>
      <c r="AE1655" s="1">
        <v>2</v>
      </c>
      <c r="AF1655" s="54" t="s">
        <v>9530</v>
      </c>
      <c r="AL1655" s="60" t="s">
        <v>341</v>
      </c>
    </row>
    <row r="1656" spans="1:38" x14ac:dyDescent="0.2">
      <c r="A1656" s="1" t="s">
        <v>1869</v>
      </c>
      <c r="B1656" s="1" t="s">
        <v>1891</v>
      </c>
      <c r="C1656" s="1" t="s">
        <v>5724</v>
      </c>
      <c r="D1656" s="48">
        <v>12</v>
      </c>
      <c r="E1656" s="1">
        <v>1</v>
      </c>
      <c r="F1656" s="1" t="s">
        <v>1871</v>
      </c>
      <c r="G1656" s="1" t="s">
        <v>9694</v>
      </c>
      <c r="I1656" s="1" t="s">
        <v>125</v>
      </c>
      <c r="M1656" s="18">
        <v>3</v>
      </c>
      <c r="N1656" s="54" t="s">
        <v>9529</v>
      </c>
      <c r="Y1656" s="1" t="s">
        <v>9694</v>
      </c>
      <c r="AA1656" s="1" t="s">
        <v>125</v>
      </c>
      <c r="AE1656" s="1">
        <v>3</v>
      </c>
      <c r="AF1656" s="54" t="s">
        <v>9530</v>
      </c>
      <c r="AL1656" s="60" t="s">
        <v>5621</v>
      </c>
    </row>
    <row r="1657" spans="1:38" x14ac:dyDescent="0.2">
      <c r="A1657" s="1" t="s">
        <v>1869</v>
      </c>
      <c r="B1657" s="1" t="s">
        <v>1882</v>
      </c>
      <c r="C1657" s="1" t="s">
        <v>5724</v>
      </c>
      <c r="D1657" s="48">
        <v>13</v>
      </c>
      <c r="E1657" s="1">
        <v>2</v>
      </c>
      <c r="F1657" s="1" t="s">
        <v>1871</v>
      </c>
      <c r="G1657" s="1" t="s">
        <v>1883</v>
      </c>
      <c r="I1657" s="1" t="s">
        <v>82</v>
      </c>
      <c r="AL1657" s="60" t="s">
        <v>30</v>
      </c>
    </row>
    <row r="1658" spans="1:38" x14ac:dyDescent="0.2">
      <c r="A1658" s="1" t="s">
        <v>1869</v>
      </c>
      <c r="B1658" s="1" t="s">
        <v>1892</v>
      </c>
      <c r="C1658" s="1" t="s">
        <v>5724</v>
      </c>
      <c r="D1658" s="48">
        <v>14</v>
      </c>
      <c r="E1658" s="1">
        <v>2</v>
      </c>
      <c r="F1658" s="1" t="s">
        <v>1871</v>
      </c>
      <c r="G1658" s="1" t="s">
        <v>1893</v>
      </c>
      <c r="I1658" s="1" t="s">
        <v>82</v>
      </c>
      <c r="AL1658" s="60" t="s">
        <v>30</v>
      </c>
    </row>
    <row r="1659" spans="1:38" x14ac:dyDescent="0.2">
      <c r="A1659" s="115" t="s">
        <v>1620</v>
      </c>
      <c r="B1659" s="115" t="s">
        <v>1652</v>
      </c>
      <c r="C1659" s="115" t="s">
        <v>5722</v>
      </c>
      <c r="D1659" s="116">
        <v>1</v>
      </c>
      <c r="E1659" s="115">
        <v>1</v>
      </c>
      <c r="F1659" s="115"/>
      <c r="G1659" s="115" t="s">
        <v>1653</v>
      </c>
      <c r="I1659" s="1" t="s">
        <v>94</v>
      </c>
      <c r="AL1659" s="60" t="s">
        <v>30</v>
      </c>
    </row>
    <row r="1660" spans="1:38" x14ac:dyDescent="0.2">
      <c r="A1660" s="1" t="s">
        <v>1620</v>
      </c>
      <c r="B1660" s="1" t="s">
        <v>1636</v>
      </c>
      <c r="C1660" s="1" t="s">
        <v>5722</v>
      </c>
      <c r="D1660" s="48">
        <v>2</v>
      </c>
      <c r="E1660" s="1">
        <v>2</v>
      </c>
      <c r="G1660" s="1" t="s">
        <v>1637</v>
      </c>
      <c r="I1660" s="1" t="s">
        <v>94</v>
      </c>
      <c r="AL1660" s="60" t="s">
        <v>30</v>
      </c>
    </row>
    <row r="1661" spans="1:38" x14ac:dyDescent="0.2">
      <c r="A1661" s="1" t="s">
        <v>1620</v>
      </c>
      <c r="B1661" s="1" t="s">
        <v>1662</v>
      </c>
      <c r="C1661" s="1" t="s">
        <v>5722</v>
      </c>
      <c r="D1661" s="48">
        <v>3</v>
      </c>
      <c r="E1661" s="1">
        <v>4</v>
      </c>
      <c r="G1661" s="1" t="s">
        <v>1663</v>
      </c>
      <c r="I1661" s="1" t="s">
        <v>94</v>
      </c>
      <c r="AL1661" s="60" t="s">
        <v>30</v>
      </c>
    </row>
    <row r="1662" spans="1:38" x14ac:dyDescent="0.2">
      <c r="A1662" s="1" t="s">
        <v>1620</v>
      </c>
      <c r="B1662" s="1" t="s">
        <v>1630</v>
      </c>
      <c r="C1662" s="1" t="s">
        <v>5722</v>
      </c>
      <c r="D1662" s="48">
        <v>4</v>
      </c>
      <c r="E1662" s="1">
        <v>3</v>
      </c>
      <c r="G1662" s="1" t="s">
        <v>1631</v>
      </c>
      <c r="I1662" s="1" t="s">
        <v>94</v>
      </c>
      <c r="AL1662" s="60" t="s">
        <v>30</v>
      </c>
    </row>
    <row r="1663" spans="1:38" x14ac:dyDescent="0.2">
      <c r="A1663" s="1" t="s">
        <v>1620</v>
      </c>
      <c r="B1663" s="1" t="s">
        <v>1623</v>
      </c>
      <c r="C1663" s="1" t="s">
        <v>5722</v>
      </c>
      <c r="D1663" s="48">
        <v>5</v>
      </c>
      <c r="E1663" s="1">
        <v>4</v>
      </c>
      <c r="G1663" s="1" t="s">
        <v>1624</v>
      </c>
      <c r="I1663" s="1" t="s">
        <v>94</v>
      </c>
      <c r="AL1663" s="60" t="s">
        <v>30</v>
      </c>
    </row>
    <row r="1664" spans="1:38" x14ac:dyDescent="0.2">
      <c r="A1664" s="1" t="s">
        <v>1620</v>
      </c>
      <c r="B1664" s="1" t="s">
        <v>1658</v>
      </c>
      <c r="C1664" s="1" t="s">
        <v>5722</v>
      </c>
      <c r="D1664" s="48">
        <v>6</v>
      </c>
      <c r="E1664" s="1">
        <v>4</v>
      </c>
      <c r="G1664" s="1" t="s">
        <v>1659</v>
      </c>
      <c r="I1664" s="1" t="s">
        <v>94</v>
      </c>
      <c r="AL1664" s="60" t="s">
        <v>30</v>
      </c>
    </row>
    <row r="1665" spans="1:38" x14ac:dyDescent="0.2">
      <c r="A1665" s="1" t="s">
        <v>1620</v>
      </c>
      <c r="B1665" s="1" t="s">
        <v>1632</v>
      </c>
      <c r="C1665" s="1" t="s">
        <v>5722</v>
      </c>
      <c r="D1665" s="48">
        <v>7</v>
      </c>
      <c r="E1665" s="1">
        <v>3</v>
      </c>
      <c r="F1665" s="1" t="s">
        <v>5328</v>
      </c>
      <c r="G1665" s="1" t="s">
        <v>1633</v>
      </c>
      <c r="I1665" s="1" t="s">
        <v>104</v>
      </c>
      <c r="O1665" s="55">
        <v>1</v>
      </c>
      <c r="T1665" s="60">
        <v>6</v>
      </c>
      <c r="AL1665" s="60" t="s">
        <v>30</v>
      </c>
    </row>
    <row r="1666" spans="1:38" x14ac:dyDescent="0.2">
      <c r="A1666" s="1" t="s">
        <v>1620</v>
      </c>
      <c r="B1666" s="1" t="s">
        <v>1650</v>
      </c>
      <c r="C1666" s="1" t="s">
        <v>5722</v>
      </c>
      <c r="D1666" s="48">
        <v>8</v>
      </c>
      <c r="E1666" s="1">
        <v>2</v>
      </c>
      <c r="F1666" s="1" t="s">
        <v>5328</v>
      </c>
      <c r="G1666" s="1" t="s">
        <v>1651</v>
      </c>
      <c r="I1666" s="1" t="s">
        <v>104</v>
      </c>
      <c r="O1666" s="55">
        <v>1</v>
      </c>
      <c r="T1666" s="60">
        <v>3</v>
      </c>
      <c r="AL1666" s="60" t="s">
        <v>30</v>
      </c>
    </row>
    <row r="1667" spans="1:38" x14ac:dyDescent="0.2">
      <c r="A1667" s="1" t="s">
        <v>1620</v>
      </c>
      <c r="B1667" s="1" t="s">
        <v>1625</v>
      </c>
      <c r="C1667" s="1" t="s">
        <v>5722</v>
      </c>
      <c r="D1667" s="48">
        <v>9</v>
      </c>
      <c r="E1667" s="1">
        <v>2</v>
      </c>
      <c r="F1667" s="1" t="s">
        <v>5328</v>
      </c>
      <c r="G1667" s="1" t="s">
        <v>1626</v>
      </c>
      <c r="I1667" s="1" t="s">
        <v>104</v>
      </c>
      <c r="O1667" s="55">
        <v>5</v>
      </c>
      <c r="T1667" s="60">
        <v>5</v>
      </c>
      <c r="AL1667" s="60" t="s">
        <v>30</v>
      </c>
    </row>
    <row r="1668" spans="1:38" x14ac:dyDescent="0.2">
      <c r="A1668" s="1" t="s">
        <v>1620</v>
      </c>
      <c r="B1668" s="1" t="s">
        <v>1642</v>
      </c>
      <c r="C1668" s="1" t="s">
        <v>5722</v>
      </c>
      <c r="D1668" s="48">
        <v>10</v>
      </c>
      <c r="E1668" s="1">
        <v>2</v>
      </c>
      <c r="F1668" s="1" t="s">
        <v>5328</v>
      </c>
      <c r="G1668" s="1" t="s">
        <v>1643</v>
      </c>
      <c r="I1668" s="1" t="s">
        <v>104</v>
      </c>
      <c r="O1668" s="55">
        <v>2</v>
      </c>
      <c r="T1668" s="60">
        <v>2</v>
      </c>
      <c r="AL1668" s="60" t="s">
        <v>30</v>
      </c>
    </row>
    <row r="1669" spans="1:38" x14ac:dyDescent="0.2">
      <c r="A1669" s="1" t="s">
        <v>1620</v>
      </c>
      <c r="B1669" s="1" t="s">
        <v>1656</v>
      </c>
      <c r="C1669" s="1" t="s">
        <v>5722</v>
      </c>
      <c r="D1669" s="48">
        <v>11</v>
      </c>
      <c r="E1669" s="1">
        <v>3</v>
      </c>
      <c r="F1669" s="1" t="s">
        <v>5328</v>
      </c>
      <c r="G1669" s="1" t="s">
        <v>1657</v>
      </c>
      <c r="I1669" s="1" t="s">
        <v>104</v>
      </c>
      <c r="O1669" s="55">
        <v>3</v>
      </c>
      <c r="T1669" s="60">
        <v>3</v>
      </c>
      <c r="AL1669" s="60" t="s">
        <v>30</v>
      </c>
    </row>
    <row r="1670" spans="1:38" x14ac:dyDescent="0.2">
      <c r="A1670" s="1" t="s">
        <v>1620</v>
      </c>
      <c r="B1670" s="1" t="s">
        <v>1666</v>
      </c>
      <c r="C1670" s="1" t="s">
        <v>5722</v>
      </c>
      <c r="D1670" s="48">
        <v>12</v>
      </c>
      <c r="E1670" s="1">
        <v>1</v>
      </c>
      <c r="G1670" s="1" t="s">
        <v>1667</v>
      </c>
      <c r="I1670" s="1" t="s">
        <v>88</v>
      </c>
      <c r="AL1670" s="60" t="s">
        <v>30</v>
      </c>
    </row>
    <row r="1671" spans="1:38" x14ac:dyDescent="0.2">
      <c r="A1671" s="1" t="s">
        <v>1620</v>
      </c>
      <c r="B1671" s="1" t="s">
        <v>1640</v>
      </c>
      <c r="C1671" s="1" t="s">
        <v>5722</v>
      </c>
      <c r="D1671" s="48">
        <v>13</v>
      </c>
      <c r="E1671" s="1">
        <v>2</v>
      </c>
      <c r="G1671" s="1" t="s">
        <v>1641</v>
      </c>
      <c r="I1671" s="1" t="s">
        <v>88</v>
      </c>
      <c r="AL1671" s="60" t="s">
        <v>30</v>
      </c>
    </row>
    <row r="1672" spans="1:38" x14ac:dyDescent="0.2">
      <c r="A1672" s="1" t="s">
        <v>1620</v>
      </c>
      <c r="B1672" s="1" t="s">
        <v>1634</v>
      </c>
      <c r="C1672" s="1" t="s">
        <v>5722</v>
      </c>
      <c r="D1672" s="48">
        <v>14</v>
      </c>
      <c r="E1672" s="1">
        <v>1</v>
      </c>
      <c r="G1672" s="1" t="s">
        <v>1635</v>
      </c>
      <c r="I1672" s="1" t="s">
        <v>125</v>
      </c>
      <c r="M1672" s="18">
        <v>1</v>
      </c>
      <c r="N1672" s="54" t="s">
        <v>9529</v>
      </c>
      <c r="Y1672" s="1" t="s">
        <v>1635</v>
      </c>
      <c r="AA1672" s="1" t="s">
        <v>125</v>
      </c>
      <c r="AE1672" s="1">
        <v>1</v>
      </c>
      <c r="AF1672" s="54" t="s">
        <v>9530</v>
      </c>
      <c r="AL1672" s="60" t="s">
        <v>666</v>
      </c>
    </row>
    <row r="1673" spans="1:38" x14ac:dyDescent="0.2">
      <c r="A1673" s="1" t="s">
        <v>1620</v>
      </c>
      <c r="B1673" s="1" t="s">
        <v>1627</v>
      </c>
      <c r="C1673" s="1" t="s">
        <v>5722</v>
      </c>
      <c r="D1673" s="48">
        <v>15</v>
      </c>
      <c r="E1673" s="1">
        <v>1</v>
      </c>
      <c r="G1673" s="1" t="s">
        <v>1628</v>
      </c>
      <c r="I1673" s="1" t="s">
        <v>125</v>
      </c>
      <c r="M1673" s="18">
        <v>2</v>
      </c>
      <c r="N1673" s="54" t="s">
        <v>9529</v>
      </c>
      <c r="X1673" s="1" t="s">
        <v>1629</v>
      </c>
      <c r="Y1673" s="1" t="s">
        <v>1628</v>
      </c>
      <c r="AA1673" s="1" t="s">
        <v>125</v>
      </c>
      <c r="AE1673" s="1">
        <v>2</v>
      </c>
      <c r="AF1673" s="54" t="s">
        <v>9530</v>
      </c>
      <c r="AL1673" s="60" t="s">
        <v>346</v>
      </c>
    </row>
    <row r="1674" spans="1:38" x14ac:dyDescent="0.2">
      <c r="A1674" s="1" t="s">
        <v>1620</v>
      </c>
      <c r="B1674" s="1" t="s">
        <v>1648</v>
      </c>
      <c r="C1674" s="1" t="s">
        <v>5722</v>
      </c>
      <c r="D1674" s="48">
        <v>16</v>
      </c>
      <c r="E1674" s="1">
        <v>1</v>
      </c>
      <c r="G1674" s="1" t="s">
        <v>1649</v>
      </c>
      <c r="I1674" s="1" t="s">
        <v>125</v>
      </c>
      <c r="M1674" s="18">
        <v>3</v>
      </c>
      <c r="N1674" s="54" t="s">
        <v>9529</v>
      </c>
      <c r="Y1674" s="1" t="s">
        <v>1649</v>
      </c>
      <c r="AA1674" s="1" t="s">
        <v>125</v>
      </c>
      <c r="AE1674" s="1">
        <v>3</v>
      </c>
      <c r="AF1674" s="54" t="s">
        <v>9530</v>
      </c>
      <c r="AL1674" s="60" t="s">
        <v>166</v>
      </c>
    </row>
    <row r="1675" spans="1:38" x14ac:dyDescent="0.2">
      <c r="A1675" s="1" t="s">
        <v>1620</v>
      </c>
      <c r="B1675" s="1" t="s">
        <v>1664</v>
      </c>
      <c r="C1675" s="1" t="s">
        <v>5722</v>
      </c>
      <c r="D1675" s="48">
        <v>17</v>
      </c>
      <c r="E1675" s="1">
        <v>1</v>
      </c>
      <c r="G1675" s="1" t="s">
        <v>1665</v>
      </c>
      <c r="I1675" s="1" t="s">
        <v>125</v>
      </c>
      <c r="M1675" s="18">
        <v>4</v>
      </c>
      <c r="N1675" s="54" t="s">
        <v>9529</v>
      </c>
      <c r="Y1675" s="1" t="s">
        <v>1665</v>
      </c>
      <c r="AA1675" s="1" t="s">
        <v>125</v>
      </c>
      <c r="AE1675" s="1">
        <v>4</v>
      </c>
      <c r="AF1675" s="54" t="s">
        <v>9530</v>
      </c>
      <c r="AL1675" s="60" t="s">
        <v>36</v>
      </c>
    </row>
    <row r="1676" spans="1:38" x14ac:dyDescent="0.2">
      <c r="A1676" s="1" t="s">
        <v>1620</v>
      </c>
      <c r="B1676" s="1" t="s">
        <v>1644</v>
      </c>
      <c r="C1676" s="1" t="s">
        <v>5722</v>
      </c>
      <c r="D1676" s="48">
        <v>18</v>
      </c>
      <c r="E1676" s="1">
        <v>1</v>
      </c>
      <c r="G1676" s="1" t="s">
        <v>1645</v>
      </c>
      <c r="I1676" s="1" t="s">
        <v>125</v>
      </c>
      <c r="M1676" s="18">
        <v>5</v>
      </c>
      <c r="N1676" s="54" t="s">
        <v>9529</v>
      </c>
      <c r="Y1676" s="1" t="s">
        <v>1645</v>
      </c>
      <c r="AA1676" s="1" t="s">
        <v>125</v>
      </c>
      <c r="AE1676" s="1">
        <v>5</v>
      </c>
      <c r="AF1676" s="54" t="s">
        <v>9530</v>
      </c>
      <c r="AL1676" s="60" t="s">
        <v>67</v>
      </c>
    </row>
    <row r="1677" spans="1:38" x14ac:dyDescent="0.2">
      <c r="A1677" s="1" t="s">
        <v>1620</v>
      </c>
      <c r="B1677" s="1" t="s">
        <v>1638</v>
      </c>
      <c r="C1677" s="1" t="s">
        <v>5722</v>
      </c>
      <c r="D1677" s="48">
        <v>19</v>
      </c>
      <c r="E1677" s="1">
        <v>2</v>
      </c>
      <c r="G1677" s="1" t="s">
        <v>1639</v>
      </c>
      <c r="I1677" s="1" t="s">
        <v>82</v>
      </c>
      <c r="AL1677" s="60" t="s">
        <v>30</v>
      </c>
    </row>
    <row r="1678" spans="1:38" x14ac:dyDescent="0.2">
      <c r="A1678" s="1" t="s">
        <v>1620</v>
      </c>
      <c r="B1678" s="1" t="s">
        <v>1660</v>
      </c>
      <c r="C1678" s="1" t="s">
        <v>5722</v>
      </c>
      <c r="D1678" s="48">
        <v>20</v>
      </c>
      <c r="E1678" s="1">
        <v>3</v>
      </c>
      <c r="G1678" s="1" t="s">
        <v>1661</v>
      </c>
      <c r="I1678" s="1" t="s">
        <v>82</v>
      </c>
      <c r="AL1678" s="60" t="s">
        <v>30</v>
      </c>
    </row>
    <row r="1679" spans="1:38" x14ac:dyDescent="0.2">
      <c r="A1679" s="1" t="s">
        <v>1620</v>
      </c>
      <c r="B1679" s="1" t="s">
        <v>1621</v>
      </c>
      <c r="C1679" s="1" t="s">
        <v>5722</v>
      </c>
      <c r="D1679" s="48">
        <v>21</v>
      </c>
      <c r="E1679" s="1">
        <v>3</v>
      </c>
      <c r="G1679" s="1" t="s">
        <v>1622</v>
      </c>
      <c r="I1679" s="1" t="s">
        <v>82</v>
      </c>
      <c r="AL1679" s="60" t="s">
        <v>30</v>
      </c>
    </row>
    <row r="1680" spans="1:38" x14ac:dyDescent="0.2">
      <c r="A1680" s="1" t="s">
        <v>1620</v>
      </c>
      <c r="B1680" s="1" t="s">
        <v>1654</v>
      </c>
      <c r="C1680" s="1" t="s">
        <v>5722</v>
      </c>
      <c r="D1680" s="48">
        <v>22</v>
      </c>
      <c r="E1680" s="1">
        <v>4</v>
      </c>
      <c r="G1680" s="1" t="s">
        <v>1655</v>
      </c>
      <c r="I1680" s="1" t="s">
        <v>82</v>
      </c>
      <c r="AL1680" s="60" t="s">
        <v>30</v>
      </c>
    </row>
    <row r="1681" spans="1:40" x14ac:dyDescent="0.2">
      <c r="A1681" s="1" t="s">
        <v>1620</v>
      </c>
      <c r="B1681" s="1" t="s">
        <v>1646</v>
      </c>
      <c r="C1681" s="1" t="s">
        <v>5722</v>
      </c>
      <c r="D1681" s="48">
        <v>23</v>
      </c>
      <c r="E1681" s="1">
        <v>2</v>
      </c>
      <c r="G1681" s="1" t="s">
        <v>1647</v>
      </c>
      <c r="I1681" s="1" t="s">
        <v>82</v>
      </c>
      <c r="AL1681" s="60" t="s">
        <v>30</v>
      </c>
    </row>
    <row r="1682" spans="1:40" ht="24" x14ac:dyDescent="0.2">
      <c r="A1682" s="115" t="s">
        <v>874</v>
      </c>
      <c r="B1682" s="115" t="s">
        <v>887</v>
      </c>
      <c r="C1682" s="115" t="s">
        <v>5725</v>
      </c>
      <c r="D1682" s="116">
        <v>1</v>
      </c>
      <c r="E1682" s="115"/>
      <c r="F1682" s="115" t="s">
        <v>877</v>
      </c>
      <c r="G1682" s="115" t="s">
        <v>888</v>
      </c>
      <c r="H1682" s="1" t="s">
        <v>26</v>
      </c>
      <c r="I1682" s="1" t="s">
        <v>27</v>
      </c>
      <c r="J1682" s="1" t="s">
        <v>28</v>
      </c>
      <c r="K1682" s="1" t="s">
        <v>358</v>
      </c>
      <c r="M1682" s="18">
        <v>11</v>
      </c>
      <c r="P1682" s="56">
        <v>2</v>
      </c>
      <c r="Q1682" s="57">
        <v>2</v>
      </c>
      <c r="R1682" s="58">
        <v>2</v>
      </c>
      <c r="S1682" s="59">
        <v>5</v>
      </c>
      <c r="V1682" s="4" t="s">
        <v>889</v>
      </c>
      <c r="AL1682" s="60" t="s">
        <v>30</v>
      </c>
    </row>
    <row r="1683" spans="1:40" ht="60" x14ac:dyDescent="0.2">
      <c r="A1683" s="1" t="s">
        <v>874</v>
      </c>
      <c r="B1683" s="1" t="s">
        <v>890</v>
      </c>
      <c r="C1683" s="1" t="s">
        <v>5725</v>
      </c>
      <c r="D1683" s="48">
        <v>2</v>
      </c>
      <c r="F1683" s="1" t="s">
        <v>877</v>
      </c>
      <c r="G1683" s="1" t="s">
        <v>891</v>
      </c>
      <c r="I1683" s="1" t="s">
        <v>104</v>
      </c>
      <c r="K1683" s="1" t="s">
        <v>892</v>
      </c>
      <c r="O1683" s="55">
        <v>1</v>
      </c>
      <c r="T1683" s="60">
        <v>2</v>
      </c>
      <c r="U1683" s="1">
        <v>2</v>
      </c>
      <c r="V1683" s="4" t="s">
        <v>893</v>
      </c>
      <c r="AL1683" s="60" t="s">
        <v>30</v>
      </c>
    </row>
    <row r="1684" spans="1:40" ht="84" x14ac:dyDescent="0.2">
      <c r="A1684" s="1" t="s">
        <v>874</v>
      </c>
      <c r="B1684" s="1" t="s">
        <v>883</v>
      </c>
      <c r="C1684" s="1" t="s">
        <v>5725</v>
      </c>
      <c r="D1684" s="48">
        <v>3</v>
      </c>
      <c r="F1684" s="1" t="s">
        <v>877</v>
      </c>
      <c r="G1684" s="1" t="s">
        <v>884</v>
      </c>
      <c r="I1684" s="1" t="s">
        <v>88</v>
      </c>
      <c r="K1684" s="1" t="s">
        <v>885</v>
      </c>
      <c r="U1684" s="1">
        <v>1</v>
      </c>
      <c r="V1684" s="4" t="s">
        <v>886</v>
      </c>
      <c r="AL1684" s="60" t="s">
        <v>30</v>
      </c>
    </row>
    <row r="1685" spans="1:40" ht="36" x14ac:dyDescent="0.2">
      <c r="A1685" s="1" t="s">
        <v>874</v>
      </c>
      <c r="B1685" s="1" t="s">
        <v>880</v>
      </c>
      <c r="C1685" s="1" t="s">
        <v>5725</v>
      </c>
      <c r="D1685" s="48">
        <v>4</v>
      </c>
      <c r="F1685" s="1" t="s">
        <v>877</v>
      </c>
      <c r="G1685" s="1" t="s">
        <v>9576</v>
      </c>
      <c r="I1685" s="1" t="s">
        <v>125</v>
      </c>
      <c r="M1685" s="18">
        <v>1</v>
      </c>
      <c r="N1685" s="54" t="s">
        <v>9529</v>
      </c>
      <c r="V1685" s="4" t="s">
        <v>881</v>
      </c>
      <c r="X1685" s="1" t="s">
        <v>878</v>
      </c>
      <c r="Y1685" s="1" t="s">
        <v>9576</v>
      </c>
      <c r="AA1685" s="1" t="s">
        <v>125</v>
      </c>
      <c r="AE1685" s="1">
        <v>1</v>
      </c>
      <c r="AF1685" s="54" t="s">
        <v>9530</v>
      </c>
      <c r="AL1685" s="60" t="s">
        <v>275</v>
      </c>
      <c r="AN1685" s="4" t="s">
        <v>882</v>
      </c>
    </row>
    <row r="1686" spans="1:40" ht="48" x14ac:dyDescent="0.2">
      <c r="A1686" s="1" t="s">
        <v>874</v>
      </c>
      <c r="B1686" s="1" t="s">
        <v>875</v>
      </c>
      <c r="C1686" s="1" t="s">
        <v>5725</v>
      </c>
      <c r="D1686" s="48">
        <v>5</v>
      </c>
      <c r="F1686" s="1" t="s">
        <v>877</v>
      </c>
      <c r="G1686" s="1" t="s">
        <v>9635</v>
      </c>
      <c r="I1686" s="1" t="s">
        <v>125</v>
      </c>
      <c r="M1686" s="18">
        <v>2</v>
      </c>
      <c r="N1686" s="54" t="s">
        <v>9529</v>
      </c>
      <c r="V1686" s="4" t="s">
        <v>876</v>
      </c>
      <c r="X1686" s="1" t="s">
        <v>7847</v>
      </c>
      <c r="Y1686" s="1" t="s">
        <v>9635</v>
      </c>
      <c r="AA1686" s="1" t="s">
        <v>125</v>
      </c>
      <c r="AE1686" s="1">
        <v>2</v>
      </c>
      <c r="AF1686" s="54" t="s">
        <v>9530</v>
      </c>
      <c r="AL1686" s="60" t="s">
        <v>32</v>
      </c>
      <c r="AN1686" s="4" t="s">
        <v>879</v>
      </c>
    </row>
    <row r="1687" spans="1:40" ht="108" x14ac:dyDescent="0.2">
      <c r="A1687" s="1" t="s">
        <v>874</v>
      </c>
      <c r="B1687" s="1" t="s">
        <v>894</v>
      </c>
      <c r="C1687" s="1" t="s">
        <v>5725</v>
      </c>
      <c r="D1687" s="48">
        <v>6</v>
      </c>
      <c r="F1687" s="1" t="s">
        <v>877</v>
      </c>
      <c r="G1687" s="1" t="s">
        <v>9695</v>
      </c>
      <c r="I1687" s="1" t="s">
        <v>125</v>
      </c>
      <c r="M1687" s="18">
        <v>3</v>
      </c>
      <c r="N1687" s="54" t="s">
        <v>9529</v>
      </c>
      <c r="V1687" s="4" t="s">
        <v>895</v>
      </c>
      <c r="X1687" s="1" t="s">
        <v>2066</v>
      </c>
      <c r="Y1687" s="1" t="s">
        <v>9695</v>
      </c>
      <c r="AA1687" s="1" t="s">
        <v>125</v>
      </c>
      <c r="AE1687" s="1">
        <v>3</v>
      </c>
      <c r="AF1687" s="54" t="s">
        <v>9530</v>
      </c>
      <c r="AL1687" s="60" t="s">
        <v>34</v>
      </c>
      <c r="AN1687" s="4" t="s">
        <v>896</v>
      </c>
    </row>
    <row r="1688" spans="1:40" ht="96" x14ac:dyDescent="0.2">
      <c r="A1688" s="115" t="s">
        <v>1597</v>
      </c>
      <c r="B1688" s="115" t="s">
        <v>1616</v>
      </c>
      <c r="C1688" s="115" t="s">
        <v>5726</v>
      </c>
      <c r="D1688" s="116">
        <v>1</v>
      </c>
      <c r="E1688" s="115">
        <v>1</v>
      </c>
      <c r="F1688" s="115" t="s">
        <v>1602</v>
      </c>
      <c r="G1688" s="115" t="s">
        <v>1617</v>
      </c>
      <c r="H1688" s="1" t="s">
        <v>26</v>
      </c>
      <c r="I1688" s="1" t="s">
        <v>94</v>
      </c>
      <c r="K1688" s="1" t="s">
        <v>1618</v>
      </c>
      <c r="N1688" s="54">
        <v>44</v>
      </c>
      <c r="O1688" s="55" t="s">
        <v>113</v>
      </c>
      <c r="Q1688" s="57" t="s">
        <v>113</v>
      </c>
      <c r="R1688" s="58">
        <v>5</v>
      </c>
      <c r="S1688" s="59">
        <v>9</v>
      </c>
      <c r="U1688" s="1">
        <v>4</v>
      </c>
      <c r="V1688" s="4" t="s">
        <v>1619</v>
      </c>
      <c r="AL1688" s="60" t="s">
        <v>30</v>
      </c>
    </row>
    <row r="1689" spans="1:40" ht="72" x14ac:dyDescent="0.2">
      <c r="A1689" s="1" t="s">
        <v>1597</v>
      </c>
      <c r="B1689" s="1" t="s">
        <v>1607</v>
      </c>
      <c r="C1689" s="1" t="s">
        <v>5726</v>
      </c>
      <c r="D1689" s="48">
        <v>2</v>
      </c>
      <c r="E1689" s="1">
        <v>1</v>
      </c>
      <c r="F1689" s="1" t="s">
        <v>1602</v>
      </c>
      <c r="G1689" s="1" t="s">
        <v>1608</v>
      </c>
      <c r="I1689" s="1" t="s">
        <v>104</v>
      </c>
      <c r="K1689" s="1" t="s">
        <v>1600</v>
      </c>
      <c r="O1689" s="55" t="s">
        <v>113</v>
      </c>
      <c r="T1689" s="60">
        <v>6</v>
      </c>
      <c r="U1689" s="1">
        <v>2</v>
      </c>
      <c r="V1689" s="4" t="s">
        <v>1609</v>
      </c>
      <c r="AL1689" s="60" t="s">
        <v>30</v>
      </c>
    </row>
    <row r="1690" spans="1:40" ht="72" x14ac:dyDescent="0.2">
      <c r="A1690" s="1" t="s">
        <v>1597</v>
      </c>
      <c r="B1690" s="1" t="s">
        <v>1613</v>
      </c>
      <c r="C1690" s="1" t="s">
        <v>5726</v>
      </c>
      <c r="D1690" s="48">
        <v>3</v>
      </c>
      <c r="E1690" s="1">
        <v>1</v>
      </c>
      <c r="F1690" s="1" t="s">
        <v>1602</v>
      </c>
      <c r="G1690" s="1" t="s">
        <v>1614</v>
      </c>
      <c r="I1690" s="1" t="s">
        <v>104</v>
      </c>
      <c r="K1690" s="1" t="s">
        <v>1600</v>
      </c>
      <c r="O1690" s="55" t="s">
        <v>113</v>
      </c>
      <c r="T1690" s="60">
        <v>6</v>
      </c>
      <c r="U1690" s="1">
        <v>2</v>
      </c>
      <c r="V1690" s="4" t="s">
        <v>1615</v>
      </c>
      <c r="AL1690" s="60" t="s">
        <v>30</v>
      </c>
    </row>
    <row r="1691" spans="1:40" ht="72" x14ac:dyDescent="0.2">
      <c r="A1691" s="1" t="s">
        <v>1597</v>
      </c>
      <c r="B1691" s="1" t="s">
        <v>1598</v>
      </c>
      <c r="C1691" s="1" t="s">
        <v>5726</v>
      </c>
      <c r="D1691" s="48">
        <v>4</v>
      </c>
      <c r="E1691" s="1">
        <v>1</v>
      </c>
      <c r="F1691" s="1" t="s">
        <v>1602</v>
      </c>
      <c r="G1691" s="1" t="s">
        <v>1599</v>
      </c>
      <c r="I1691" s="1" t="s">
        <v>104</v>
      </c>
      <c r="K1691" s="1" t="s">
        <v>1600</v>
      </c>
      <c r="O1691" s="55" t="s">
        <v>113</v>
      </c>
      <c r="T1691" s="60">
        <v>6</v>
      </c>
      <c r="U1691" s="1">
        <v>2</v>
      </c>
      <c r="V1691" s="4" t="s">
        <v>1601</v>
      </c>
      <c r="AL1691" s="60" t="s">
        <v>30</v>
      </c>
    </row>
    <row r="1692" spans="1:40" ht="84" x14ac:dyDescent="0.2">
      <c r="A1692" s="1" t="s">
        <v>1597</v>
      </c>
      <c r="B1692" s="1" t="s">
        <v>1610</v>
      </c>
      <c r="C1692" s="1" t="s">
        <v>5726</v>
      </c>
      <c r="D1692" s="48">
        <v>5</v>
      </c>
      <c r="E1692" s="1">
        <v>1</v>
      </c>
      <c r="F1692" s="1" t="s">
        <v>1602</v>
      </c>
      <c r="G1692" s="1" t="s">
        <v>1611</v>
      </c>
      <c r="I1692" s="1" t="s">
        <v>104</v>
      </c>
      <c r="K1692" s="1" t="s">
        <v>1600</v>
      </c>
      <c r="O1692" s="55" t="s">
        <v>113</v>
      </c>
      <c r="T1692" s="60">
        <v>6</v>
      </c>
      <c r="U1692" s="1">
        <v>2</v>
      </c>
      <c r="V1692" s="4" t="s">
        <v>1612</v>
      </c>
      <c r="AL1692" s="60" t="s">
        <v>30</v>
      </c>
    </row>
    <row r="1693" spans="1:40" ht="96" x14ac:dyDescent="0.2">
      <c r="A1693" s="1" t="s">
        <v>1597</v>
      </c>
      <c r="B1693" s="1" t="s">
        <v>1603</v>
      </c>
      <c r="C1693" s="1" t="s">
        <v>5726</v>
      </c>
      <c r="D1693" s="48">
        <v>6</v>
      </c>
      <c r="E1693" s="1">
        <v>1</v>
      </c>
      <c r="F1693" s="1" t="s">
        <v>1602</v>
      </c>
      <c r="G1693" s="1" t="s">
        <v>9577</v>
      </c>
      <c r="I1693" s="1" t="s">
        <v>125</v>
      </c>
      <c r="M1693" s="18">
        <v>1</v>
      </c>
      <c r="N1693" s="54" t="s">
        <v>9529</v>
      </c>
      <c r="V1693" s="4" t="s">
        <v>1604</v>
      </c>
      <c r="X1693" s="1" t="s">
        <v>1605</v>
      </c>
      <c r="Y1693" s="1" t="s">
        <v>9577</v>
      </c>
      <c r="AA1693" s="1" t="s">
        <v>125</v>
      </c>
      <c r="AE1693" s="1">
        <v>1</v>
      </c>
      <c r="AF1693" s="54" t="s">
        <v>9530</v>
      </c>
      <c r="AL1693" s="60" t="s">
        <v>337</v>
      </c>
      <c r="AN1693" s="4" t="s">
        <v>1606</v>
      </c>
    </row>
    <row r="1694" spans="1:40" x14ac:dyDescent="0.2">
      <c r="A1694" s="115" t="s">
        <v>2148</v>
      </c>
      <c r="B1694" s="115" t="s">
        <v>2176</v>
      </c>
      <c r="C1694" s="115" t="s">
        <v>5727</v>
      </c>
      <c r="D1694" s="116">
        <v>1</v>
      </c>
      <c r="E1694" s="115"/>
      <c r="F1694" s="115" t="s">
        <v>1671</v>
      </c>
      <c r="G1694" s="115" t="s">
        <v>2177</v>
      </c>
      <c r="I1694" s="1" t="s">
        <v>94</v>
      </c>
      <c r="K1694" s="1" t="s">
        <v>2178</v>
      </c>
      <c r="N1694" s="54">
        <v>40</v>
      </c>
      <c r="O1694" s="55">
        <v>4</v>
      </c>
      <c r="Q1694" s="57">
        <v>4</v>
      </c>
      <c r="R1694" s="58">
        <v>2</v>
      </c>
      <c r="S1694" s="59">
        <v>7</v>
      </c>
      <c r="U1694" s="1">
        <v>2</v>
      </c>
      <c r="V1694" s="4" t="s">
        <v>2179</v>
      </c>
      <c r="AL1694" s="60" t="s">
        <v>30</v>
      </c>
    </row>
    <row r="1695" spans="1:40" ht="24" x14ac:dyDescent="0.2">
      <c r="A1695" s="1" t="s">
        <v>2148</v>
      </c>
      <c r="B1695" s="1" t="s">
        <v>2172</v>
      </c>
      <c r="C1695" s="1" t="s">
        <v>5727</v>
      </c>
      <c r="D1695" s="48">
        <v>2</v>
      </c>
      <c r="F1695" s="1" t="s">
        <v>1671</v>
      </c>
      <c r="G1695" s="1" t="s">
        <v>2173</v>
      </c>
      <c r="I1695" s="1" t="s">
        <v>94</v>
      </c>
      <c r="K1695" s="1" t="s">
        <v>2174</v>
      </c>
      <c r="N1695" s="54">
        <v>45</v>
      </c>
      <c r="O1695" s="55">
        <v>1</v>
      </c>
      <c r="Q1695" s="57">
        <v>2</v>
      </c>
      <c r="R1695" s="58">
        <v>3</v>
      </c>
      <c r="S1695" s="59">
        <v>11</v>
      </c>
      <c r="U1695" s="1">
        <v>5</v>
      </c>
      <c r="V1695" s="4" t="s">
        <v>2175</v>
      </c>
      <c r="AL1695" s="60" t="s">
        <v>30</v>
      </c>
    </row>
    <row r="1696" spans="1:40" ht="72" x14ac:dyDescent="0.2">
      <c r="A1696" s="1" t="s">
        <v>2148</v>
      </c>
      <c r="B1696" s="1" t="s">
        <v>2153</v>
      </c>
      <c r="C1696" s="1" t="s">
        <v>5727</v>
      </c>
      <c r="D1696" s="48">
        <v>3</v>
      </c>
      <c r="F1696" s="1" t="s">
        <v>1671</v>
      </c>
      <c r="G1696" s="1" t="s">
        <v>2154</v>
      </c>
      <c r="I1696" s="1" t="s">
        <v>88</v>
      </c>
      <c r="K1696" s="1" t="s">
        <v>2155</v>
      </c>
      <c r="L1696" s="2" t="s">
        <v>704</v>
      </c>
      <c r="V1696" s="4" t="s">
        <v>2156</v>
      </c>
      <c r="AL1696" s="60" t="s">
        <v>30</v>
      </c>
    </row>
    <row r="1697" spans="1:40" ht="96" x14ac:dyDescent="0.2">
      <c r="A1697" s="1" t="s">
        <v>2148</v>
      </c>
      <c r="B1697" s="1" t="s">
        <v>2149</v>
      </c>
      <c r="C1697" s="1" t="s">
        <v>5727</v>
      </c>
      <c r="D1697" s="48">
        <v>4</v>
      </c>
      <c r="F1697" s="1" t="s">
        <v>1671</v>
      </c>
      <c r="G1697" s="1" t="s">
        <v>9578</v>
      </c>
      <c r="I1697" s="1" t="s">
        <v>125</v>
      </c>
      <c r="M1697" s="18">
        <v>1</v>
      </c>
      <c r="N1697" s="54" t="s">
        <v>9529</v>
      </c>
      <c r="V1697" s="4" t="s">
        <v>2150</v>
      </c>
      <c r="X1697" s="1" t="s">
        <v>2151</v>
      </c>
      <c r="Y1697" s="1" t="s">
        <v>9578</v>
      </c>
      <c r="AA1697" s="1" t="s">
        <v>125</v>
      </c>
      <c r="AE1697" s="1">
        <v>1</v>
      </c>
      <c r="AF1697" s="54" t="s">
        <v>9530</v>
      </c>
      <c r="AL1697" s="60" t="s">
        <v>34</v>
      </c>
      <c r="AN1697" s="4" t="s">
        <v>2152</v>
      </c>
    </row>
    <row r="1698" spans="1:40" ht="36" x14ac:dyDescent="0.2">
      <c r="A1698" s="1" t="s">
        <v>2148</v>
      </c>
      <c r="B1698" s="1" t="s">
        <v>2157</v>
      </c>
      <c r="C1698" s="1" t="s">
        <v>5727</v>
      </c>
      <c r="D1698" s="48">
        <v>5</v>
      </c>
      <c r="F1698" s="1" t="s">
        <v>1671</v>
      </c>
      <c r="G1698" s="1" t="s">
        <v>9578</v>
      </c>
      <c r="I1698" s="1" t="s">
        <v>125</v>
      </c>
      <c r="M1698" s="18">
        <v>2</v>
      </c>
      <c r="N1698" s="54" t="s">
        <v>9529</v>
      </c>
      <c r="V1698" s="4" t="s">
        <v>2158</v>
      </c>
      <c r="Y1698" s="1" t="s">
        <v>9654</v>
      </c>
      <c r="AA1698" s="1" t="s">
        <v>125</v>
      </c>
      <c r="AE1698" s="1">
        <v>2</v>
      </c>
      <c r="AF1698" s="54" t="s">
        <v>9530</v>
      </c>
      <c r="AL1698" s="60" t="s">
        <v>32</v>
      </c>
      <c r="AN1698" s="4" t="s">
        <v>2159</v>
      </c>
    </row>
    <row r="1699" spans="1:40" ht="48" x14ac:dyDescent="0.2">
      <c r="A1699" s="1" t="s">
        <v>2148</v>
      </c>
      <c r="B1699" s="1" t="s">
        <v>2160</v>
      </c>
      <c r="C1699" s="1" t="s">
        <v>5727</v>
      </c>
      <c r="D1699" s="48">
        <v>6</v>
      </c>
      <c r="F1699" s="1" t="s">
        <v>1671</v>
      </c>
      <c r="G1699" s="1" t="s">
        <v>9578</v>
      </c>
      <c r="I1699" s="1" t="s">
        <v>125</v>
      </c>
      <c r="M1699" s="18">
        <v>2</v>
      </c>
      <c r="N1699" s="54" t="s">
        <v>9529</v>
      </c>
      <c r="V1699" s="4" t="s">
        <v>2158</v>
      </c>
      <c r="Y1699" s="1" t="s">
        <v>9655</v>
      </c>
      <c r="AA1699" s="1" t="s">
        <v>125</v>
      </c>
      <c r="AE1699" s="1">
        <v>2</v>
      </c>
      <c r="AF1699" s="54" t="s">
        <v>9530</v>
      </c>
      <c r="AL1699" s="60" t="s">
        <v>166</v>
      </c>
      <c r="AN1699" s="4" t="s">
        <v>2161</v>
      </c>
    </row>
    <row r="1700" spans="1:40" ht="60" x14ac:dyDescent="0.2">
      <c r="A1700" s="1" t="s">
        <v>2148</v>
      </c>
      <c r="B1700" s="1" t="s">
        <v>2162</v>
      </c>
      <c r="C1700" s="1" t="s">
        <v>5727</v>
      </c>
      <c r="D1700" s="48">
        <v>7</v>
      </c>
      <c r="F1700" s="1" t="s">
        <v>1671</v>
      </c>
      <c r="G1700" s="1" t="s">
        <v>9578</v>
      </c>
      <c r="I1700" s="1" t="s">
        <v>125</v>
      </c>
      <c r="M1700" s="18">
        <v>2</v>
      </c>
      <c r="N1700" s="54" t="s">
        <v>9529</v>
      </c>
      <c r="V1700" s="4" t="s">
        <v>2158</v>
      </c>
      <c r="Y1700" s="1" t="s">
        <v>9656</v>
      </c>
      <c r="AA1700" s="1" t="s">
        <v>125</v>
      </c>
      <c r="AE1700" s="1">
        <v>2</v>
      </c>
      <c r="AF1700" s="54" t="s">
        <v>9530</v>
      </c>
      <c r="AL1700" s="60" t="s">
        <v>33</v>
      </c>
      <c r="AN1700" s="4" t="s">
        <v>2163</v>
      </c>
    </row>
    <row r="1701" spans="1:40" ht="60" x14ac:dyDescent="0.2">
      <c r="A1701" s="1" t="s">
        <v>2148</v>
      </c>
      <c r="B1701" s="1" t="s">
        <v>2164</v>
      </c>
      <c r="C1701" s="1" t="s">
        <v>5727</v>
      </c>
      <c r="D1701" s="48">
        <v>8</v>
      </c>
      <c r="F1701" s="1" t="s">
        <v>1671</v>
      </c>
      <c r="G1701" s="1" t="s">
        <v>9578</v>
      </c>
      <c r="I1701" s="1" t="s">
        <v>125</v>
      </c>
      <c r="M1701" s="18">
        <v>2</v>
      </c>
      <c r="N1701" s="54" t="s">
        <v>9529</v>
      </c>
      <c r="V1701" s="4" t="s">
        <v>2158</v>
      </c>
      <c r="Y1701" s="1" t="s">
        <v>9657</v>
      </c>
      <c r="AA1701" s="1" t="s">
        <v>125</v>
      </c>
      <c r="AE1701" s="1">
        <v>2</v>
      </c>
      <c r="AF1701" s="54" t="s">
        <v>9530</v>
      </c>
      <c r="AL1701" s="60" t="s">
        <v>34</v>
      </c>
      <c r="AN1701" s="4" t="s">
        <v>2165</v>
      </c>
    </row>
    <row r="1702" spans="1:40" ht="96" x14ac:dyDescent="0.2">
      <c r="A1702" s="1" t="s">
        <v>2148</v>
      </c>
      <c r="B1702" s="1" t="s">
        <v>2166</v>
      </c>
      <c r="C1702" s="1" t="s">
        <v>5727</v>
      </c>
      <c r="D1702" s="48">
        <v>9</v>
      </c>
      <c r="F1702" s="1" t="s">
        <v>1671</v>
      </c>
      <c r="G1702" s="1" t="s">
        <v>9578</v>
      </c>
      <c r="I1702" s="1" t="s">
        <v>125</v>
      </c>
      <c r="M1702" s="18">
        <v>2</v>
      </c>
      <c r="N1702" s="54" t="s">
        <v>9529</v>
      </c>
      <c r="V1702" s="4" t="s">
        <v>2158</v>
      </c>
      <c r="Y1702" s="1" t="s">
        <v>9554</v>
      </c>
      <c r="AA1702" s="1" t="s">
        <v>125</v>
      </c>
      <c r="AE1702" s="1">
        <v>2</v>
      </c>
      <c r="AF1702" s="54" t="s">
        <v>9530</v>
      </c>
      <c r="AL1702" s="60" t="s">
        <v>36</v>
      </c>
      <c r="AN1702" s="4" t="s">
        <v>2167</v>
      </c>
    </row>
    <row r="1703" spans="1:40" ht="72" x14ac:dyDescent="0.2">
      <c r="A1703" s="1" t="s">
        <v>2148</v>
      </c>
      <c r="B1703" s="1" t="s">
        <v>2168</v>
      </c>
      <c r="C1703" s="1" t="s">
        <v>5727</v>
      </c>
      <c r="D1703" s="48">
        <v>10</v>
      </c>
      <c r="F1703" s="1" t="s">
        <v>1671</v>
      </c>
      <c r="G1703" s="1" t="s">
        <v>9578</v>
      </c>
      <c r="I1703" s="1" t="s">
        <v>125</v>
      </c>
      <c r="M1703" s="18">
        <v>2</v>
      </c>
      <c r="N1703" s="54" t="s">
        <v>9529</v>
      </c>
      <c r="V1703" s="4" t="s">
        <v>2158</v>
      </c>
      <c r="Y1703" s="1" t="s">
        <v>9658</v>
      </c>
      <c r="AA1703" s="1" t="s">
        <v>125</v>
      </c>
      <c r="AE1703" s="1">
        <v>2</v>
      </c>
      <c r="AF1703" s="54" t="s">
        <v>9530</v>
      </c>
      <c r="AL1703" s="60" t="s">
        <v>34</v>
      </c>
      <c r="AN1703" s="4" t="s">
        <v>2169</v>
      </c>
    </row>
    <row r="1704" spans="1:40" ht="60" x14ac:dyDescent="0.2">
      <c r="A1704" s="1" t="s">
        <v>2148</v>
      </c>
      <c r="B1704" s="1" t="s">
        <v>2170</v>
      </c>
      <c r="C1704" s="1" t="s">
        <v>5727</v>
      </c>
      <c r="D1704" s="48">
        <v>11</v>
      </c>
      <c r="F1704" s="1" t="s">
        <v>1671</v>
      </c>
      <c r="G1704" s="1" t="s">
        <v>9578</v>
      </c>
      <c r="I1704" s="1" t="s">
        <v>125</v>
      </c>
      <c r="M1704" s="18">
        <v>2</v>
      </c>
      <c r="N1704" s="54" t="s">
        <v>9529</v>
      </c>
      <c r="V1704" s="4" t="s">
        <v>2158</v>
      </c>
      <c r="Y1704" s="1" t="s">
        <v>9659</v>
      </c>
      <c r="AA1704" s="1" t="s">
        <v>125</v>
      </c>
      <c r="AE1704" s="1">
        <v>2</v>
      </c>
      <c r="AF1704" s="54" t="s">
        <v>9530</v>
      </c>
      <c r="AL1704" s="60" t="s">
        <v>46</v>
      </c>
      <c r="AN1704" s="4" t="s">
        <v>2171</v>
      </c>
    </row>
    <row r="1705" spans="1:40" ht="84" x14ac:dyDescent="0.2">
      <c r="A1705" s="1" t="s">
        <v>2148</v>
      </c>
      <c r="B1705" s="1" t="s">
        <v>2180</v>
      </c>
      <c r="C1705" s="1" t="s">
        <v>5727</v>
      </c>
      <c r="D1705" s="48">
        <v>12</v>
      </c>
      <c r="F1705" s="1" t="s">
        <v>1671</v>
      </c>
      <c r="G1705" s="1" t="s">
        <v>9578</v>
      </c>
      <c r="I1705" s="1" t="s">
        <v>125</v>
      </c>
      <c r="M1705" s="18">
        <v>3</v>
      </c>
      <c r="N1705" s="54" t="s">
        <v>9529</v>
      </c>
      <c r="V1705" s="4" t="s">
        <v>2181</v>
      </c>
      <c r="Y1705" s="1" t="s">
        <v>9707</v>
      </c>
      <c r="AA1705" s="1" t="s">
        <v>125</v>
      </c>
      <c r="AE1705" s="1">
        <v>3</v>
      </c>
      <c r="AF1705" s="54" t="s">
        <v>9530</v>
      </c>
      <c r="AL1705" s="60" t="s">
        <v>33</v>
      </c>
      <c r="AN1705" s="4" t="s">
        <v>2182</v>
      </c>
    </row>
    <row r="1706" spans="1:40" x14ac:dyDescent="0.2">
      <c r="A1706" s="115" t="s">
        <v>1899</v>
      </c>
      <c r="B1706" s="115" t="s">
        <v>1987</v>
      </c>
      <c r="C1706" s="115" t="s">
        <v>5728</v>
      </c>
      <c r="D1706" s="116">
        <v>1</v>
      </c>
      <c r="E1706" s="115">
        <v>3</v>
      </c>
      <c r="F1706" s="115" t="s">
        <v>1908</v>
      </c>
      <c r="G1706" s="115" t="s">
        <v>1988</v>
      </c>
      <c r="I1706" s="1" t="s">
        <v>94</v>
      </c>
      <c r="K1706" s="1" t="s">
        <v>1989</v>
      </c>
      <c r="L1706" s="2" t="s">
        <v>1990</v>
      </c>
      <c r="N1706" s="54">
        <v>34</v>
      </c>
      <c r="O1706" s="55">
        <v>2</v>
      </c>
      <c r="Q1706" s="57">
        <v>2</v>
      </c>
      <c r="R1706" s="58">
        <v>2</v>
      </c>
      <c r="S1706" s="59">
        <v>3</v>
      </c>
      <c r="AL1706" s="60" t="s">
        <v>30</v>
      </c>
    </row>
    <row r="1707" spans="1:40" x14ac:dyDescent="0.2">
      <c r="A1707" s="1" t="s">
        <v>1899</v>
      </c>
      <c r="B1707" s="1" t="s">
        <v>1945</v>
      </c>
      <c r="C1707" s="1" t="s">
        <v>5728</v>
      </c>
      <c r="D1707" s="48">
        <v>2</v>
      </c>
      <c r="E1707" s="1">
        <v>1</v>
      </c>
      <c r="F1707" s="1" t="s">
        <v>1908</v>
      </c>
      <c r="G1707" s="1" t="s">
        <v>1946</v>
      </c>
      <c r="H1707" s="1" t="s">
        <v>26</v>
      </c>
      <c r="I1707" s="1" t="s">
        <v>94</v>
      </c>
      <c r="K1707" s="1" t="s">
        <v>1947</v>
      </c>
      <c r="L1707" s="2" t="s">
        <v>1948</v>
      </c>
      <c r="N1707" s="54">
        <v>42</v>
      </c>
      <c r="O1707" s="55">
        <v>2</v>
      </c>
      <c r="Q1707" s="57">
        <v>3</v>
      </c>
      <c r="R1707" s="58">
        <v>3</v>
      </c>
      <c r="S1707" s="59">
        <v>5</v>
      </c>
      <c r="U1707" s="1">
        <v>4</v>
      </c>
      <c r="AL1707" s="60" t="s">
        <v>30</v>
      </c>
    </row>
    <row r="1708" spans="1:40" x14ac:dyDescent="0.2">
      <c r="A1708" s="1" t="s">
        <v>1899</v>
      </c>
      <c r="B1708" s="1" t="s">
        <v>2042</v>
      </c>
      <c r="C1708" s="1" t="s">
        <v>5728</v>
      </c>
      <c r="D1708" s="48">
        <v>3</v>
      </c>
      <c r="E1708" s="1">
        <v>2</v>
      </c>
      <c r="F1708" s="1" t="s">
        <v>1908</v>
      </c>
      <c r="G1708" s="1" t="s">
        <v>2043</v>
      </c>
      <c r="I1708" s="1" t="s">
        <v>94</v>
      </c>
      <c r="K1708" s="1" t="s">
        <v>1907</v>
      </c>
      <c r="L1708" s="2" t="s">
        <v>2044</v>
      </c>
      <c r="N1708" s="54">
        <v>40</v>
      </c>
      <c r="Q1708" s="57">
        <v>4</v>
      </c>
      <c r="R1708" s="58">
        <v>1</v>
      </c>
      <c r="S1708" s="59">
        <v>2</v>
      </c>
      <c r="AL1708" s="60" t="s">
        <v>30</v>
      </c>
    </row>
    <row r="1709" spans="1:40" x14ac:dyDescent="0.2">
      <c r="A1709" s="1" t="s">
        <v>1899</v>
      </c>
      <c r="B1709" s="1" t="s">
        <v>1905</v>
      </c>
      <c r="C1709" s="1" t="s">
        <v>5728</v>
      </c>
      <c r="D1709" s="48">
        <v>4</v>
      </c>
      <c r="E1709" s="1">
        <v>4</v>
      </c>
      <c r="F1709" s="1" t="s">
        <v>1908</v>
      </c>
      <c r="G1709" s="1" t="s">
        <v>1906</v>
      </c>
      <c r="I1709" s="1" t="s">
        <v>94</v>
      </c>
      <c r="K1709" s="1" t="s">
        <v>1907</v>
      </c>
      <c r="N1709" s="54">
        <v>38</v>
      </c>
      <c r="O1709" s="55">
        <v>2</v>
      </c>
      <c r="Q1709" s="57">
        <v>3</v>
      </c>
      <c r="R1709" s="58">
        <v>2</v>
      </c>
      <c r="S1709" s="59">
        <v>3</v>
      </c>
      <c r="AL1709" s="60" t="s">
        <v>30</v>
      </c>
    </row>
    <row r="1710" spans="1:40" x14ac:dyDescent="0.2">
      <c r="A1710" s="1" t="s">
        <v>1899</v>
      </c>
      <c r="B1710" s="1" t="s">
        <v>1964</v>
      </c>
      <c r="C1710" s="1" t="s">
        <v>5728</v>
      </c>
      <c r="D1710" s="48">
        <v>5</v>
      </c>
      <c r="E1710" s="1">
        <v>2</v>
      </c>
      <c r="F1710" s="1" t="s">
        <v>1908</v>
      </c>
      <c r="G1710" s="1" t="s">
        <v>1965</v>
      </c>
      <c r="I1710" s="1" t="s">
        <v>104</v>
      </c>
      <c r="K1710" s="1" t="s">
        <v>1966</v>
      </c>
      <c r="O1710" s="55">
        <v>3</v>
      </c>
      <c r="T1710" s="60">
        <v>3</v>
      </c>
      <c r="AL1710" s="60" t="s">
        <v>30</v>
      </c>
    </row>
    <row r="1711" spans="1:40" x14ac:dyDescent="0.2">
      <c r="A1711" s="1" t="s">
        <v>1899</v>
      </c>
      <c r="B1711" s="1" t="s">
        <v>2080</v>
      </c>
      <c r="C1711" s="1" t="s">
        <v>5728</v>
      </c>
      <c r="D1711" s="48">
        <v>6</v>
      </c>
      <c r="E1711" s="1">
        <v>3</v>
      </c>
      <c r="F1711" s="1" t="s">
        <v>1908</v>
      </c>
      <c r="G1711" s="1" t="s">
        <v>2081</v>
      </c>
      <c r="I1711" s="1" t="s">
        <v>104</v>
      </c>
      <c r="K1711" s="1" t="s">
        <v>2082</v>
      </c>
      <c r="O1711" s="55">
        <v>2</v>
      </c>
      <c r="T1711" s="60">
        <v>1</v>
      </c>
      <c r="AL1711" s="60" t="s">
        <v>30</v>
      </c>
    </row>
    <row r="1712" spans="1:40" x14ac:dyDescent="0.2">
      <c r="A1712" s="1" t="s">
        <v>1899</v>
      </c>
      <c r="B1712" s="1" t="s">
        <v>2091</v>
      </c>
      <c r="C1712" s="1" t="s">
        <v>5728</v>
      </c>
      <c r="D1712" s="48">
        <v>7</v>
      </c>
      <c r="E1712" s="1">
        <v>1</v>
      </c>
      <c r="F1712" s="1" t="s">
        <v>1908</v>
      </c>
      <c r="G1712" s="1" t="s">
        <v>2092</v>
      </c>
      <c r="I1712" s="1" t="s">
        <v>104</v>
      </c>
      <c r="K1712" s="1" t="s">
        <v>2093</v>
      </c>
      <c r="O1712" s="55">
        <v>3</v>
      </c>
      <c r="T1712" s="60">
        <v>4</v>
      </c>
      <c r="AL1712" s="60" t="s">
        <v>30</v>
      </c>
    </row>
    <row r="1713" spans="1:38" x14ac:dyDescent="0.2">
      <c r="A1713" s="1" t="s">
        <v>1899</v>
      </c>
      <c r="B1713" s="1" t="s">
        <v>2078</v>
      </c>
      <c r="C1713" s="1" t="s">
        <v>5728</v>
      </c>
      <c r="D1713" s="48">
        <v>8</v>
      </c>
      <c r="E1713" s="1">
        <v>3</v>
      </c>
      <c r="F1713" s="1" t="s">
        <v>1908</v>
      </c>
      <c r="G1713" s="1" t="s">
        <v>2079</v>
      </c>
      <c r="I1713" s="1" t="s">
        <v>82</v>
      </c>
      <c r="AL1713" s="60" t="s">
        <v>30</v>
      </c>
    </row>
    <row r="1714" spans="1:38" x14ac:dyDescent="0.2">
      <c r="A1714" s="1" t="s">
        <v>1899</v>
      </c>
      <c r="B1714" s="1" t="s">
        <v>2011</v>
      </c>
      <c r="C1714" s="1" t="s">
        <v>5728</v>
      </c>
      <c r="D1714" s="48">
        <v>9</v>
      </c>
      <c r="E1714" s="1">
        <v>2</v>
      </c>
      <c r="F1714" s="1" t="s">
        <v>1908</v>
      </c>
      <c r="G1714" s="1" t="s">
        <v>2012</v>
      </c>
      <c r="I1714" s="1" t="s">
        <v>82</v>
      </c>
      <c r="AL1714" s="60" t="s">
        <v>30</v>
      </c>
    </row>
    <row r="1715" spans="1:38" x14ac:dyDescent="0.2">
      <c r="A1715" s="1" t="s">
        <v>1899</v>
      </c>
      <c r="B1715" s="1" t="s">
        <v>2052</v>
      </c>
      <c r="C1715" s="1" t="s">
        <v>5728</v>
      </c>
      <c r="D1715" s="48">
        <v>10</v>
      </c>
      <c r="E1715" s="1">
        <v>5</v>
      </c>
      <c r="F1715" s="1" t="s">
        <v>1918</v>
      </c>
      <c r="G1715" s="1" t="s">
        <v>2053</v>
      </c>
      <c r="I1715" s="1" t="s">
        <v>94</v>
      </c>
      <c r="K1715" s="1" t="s">
        <v>2054</v>
      </c>
      <c r="N1715" s="54">
        <v>26</v>
      </c>
      <c r="O1715" s="55">
        <v>1</v>
      </c>
      <c r="Q1715" s="57">
        <v>2</v>
      </c>
      <c r="R1715" s="58">
        <v>1</v>
      </c>
      <c r="S1715" s="59">
        <v>2</v>
      </c>
      <c r="AL1715" s="60" t="s">
        <v>30</v>
      </c>
    </row>
    <row r="1716" spans="1:38" x14ac:dyDescent="0.2">
      <c r="A1716" s="1" t="s">
        <v>1899</v>
      </c>
      <c r="B1716" s="1" t="s">
        <v>1915</v>
      </c>
      <c r="C1716" s="1" t="s">
        <v>5728</v>
      </c>
      <c r="D1716" s="48">
        <v>11</v>
      </c>
      <c r="E1716" s="1">
        <v>3</v>
      </c>
      <c r="F1716" s="1" t="s">
        <v>1918</v>
      </c>
      <c r="G1716" s="1" t="s">
        <v>1916</v>
      </c>
      <c r="I1716" s="1" t="s">
        <v>94</v>
      </c>
      <c r="K1716" s="1" t="s">
        <v>1917</v>
      </c>
      <c r="N1716" s="54">
        <v>32</v>
      </c>
      <c r="O1716" s="55">
        <v>0</v>
      </c>
      <c r="Q1716" s="57">
        <v>4</v>
      </c>
      <c r="R1716" s="58">
        <v>1</v>
      </c>
      <c r="S1716" s="59">
        <v>4</v>
      </c>
      <c r="AL1716" s="60" t="s">
        <v>30</v>
      </c>
    </row>
    <row r="1717" spans="1:38" x14ac:dyDescent="0.2">
      <c r="A1717" s="1" t="s">
        <v>1899</v>
      </c>
      <c r="B1717" s="1" t="s">
        <v>2045</v>
      </c>
      <c r="C1717" s="1" t="s">
        <v>5728</v>
      </c>
      <c r="D1717" s="48">
        <v>12</v>
      </c>
      <c r="E1717" s="1">
        <v>2</v>
      </c>
      <c r="F1717" s="1" t="s">
        <v>1918</v>
      </c>
      <c r="G1717" s="1" t="s">
        <v>2046</v>
      </c>
      <c r="I1717" s="1" t="s">
        <v>94</v>
      </c>
      <c r="K1717" s="1" t="s">
        <v>2047</v>
      </c>
      <c r="N1717" s="54">
        <v>37</v>
      </c>
      <c r="O1717" s="55">
        <v>3</v>
      </c>
      <c r="Q1717" s="57">
        <v>5</v>
      </c>
      <c r="R1717" s="58">
        <v>2</v>
      </c>
      <c r="S1717" s="59">
        <v>6</v>
      </c>
      <c r="AL1717" s="60" t="s">
        <v>30</v>
      </c>
    </row>
    <row r="1718" spans="1:38" x14ac:dyDescent="0.2">
      <c r="A1718" s="1" t="s">
        <v>1899</v>
      </c>
      <c r="B1718" s="1" t="s">
        <v>2083</v>
      </c>
      <c r="C1718" s="1" t="s">
        <v>5728</v>
      </c>
      <c r="D1718" s="48">
        <v>13</v>
      </c>
      <c r="E1718" s="1">
        <v>1</v>
      </c>
      <c r="F1718" s="1" t="s">
        <v>1918</v>
      </c>
      <c r="G1718" s="1" t="s">
        <v>2084</v>
      </c>
      <c r="H1718" s="1" t="s">
        <v>26</v>
      </c>
      <c r="I1718" s="1" t="s">
        <v>94</v>
      </c>
      <c r="K1718" s="1" t="s">
        <v>2085</v>
      </c>
      <c r="N1718" s="54">
        <v>50</v>
      </c>
      <c r="O1718" s="55">
        <v>4</v>
      </c>
      <c r="Q1718" s="57">
        <v>0</v>
      </c>
      <c r="R1718" s="58">
        <v>4</v>
      </c>
      <c r="S1718" s="59">
        <v>6</v>
      </c>
      <c r="U1718" s="1">
        <v>5</v>
      </c>
      <c r="AL1718" s="60" t="s">
        <v>30</v>
      </c>
    </row>
    <row r="1719" spans="1:38" x14ac:dyDescent="0.2">
      <c r="A1719" s="1" t="s">
        <v>1899</v>
      </c>
      <c r="B1719" s="1" t="s">
        <v>1923</v>
      </c>
      <c r="C1719" s="1" t="s">
        <v>5728</v>
      </c>
      <c r="D1719" s="48">
        <v>14</v>
      </c>
      <c r="E1719" s="1">
        <v>2</v>
      </c>
      <c r="F1719" s="1" t="s">
        <v>1918</v>
      </c>
      <c r="G1719" s="1" t="s">
        <v>1924</v>
      </c>
      <c r="I1719" s="1" t="s">
        <v>104</v>
      </c>
      <c r="K1719" s="1" t="s">
        <v>1911</v>
      </c>
      <c r="O1719" s="55">
        <v>1</v>
      </c>
      <c r="T1719" s="60">
        <v>3</v>
      </c>
      <c r="AL1719" s="60" t="s">
        <v>30</v>
      </c>
    </row>
    <row r="1720" spans="1:38" x14ac:dyDescent="0.2">
      <c r="A1720" s="1" t="s">
        <v>1899</v>
      </c>
      <c r="B1720" s="1" t="s">
        <v>1953</v>
      </c>
      <c r="C1720" s="1" t="s">
        <v>5728</v>
      </c>
      <c r="D1720" s="48">
        <v>15</v>
      </c>
      <c r="E1720" s="1">
        <v>2</v>
      </c>
      <c r="F1720" s="1" t="s">
        <v>1918</v>
      </c>
      <c r="G1720" s="1" t="s">
        <v>1954</v>
      </c>
      <c r="I1720" s="1" t="s">
        <v>104</v>
      </c>
      <c r="K1720" s="1" t="s">
        <v>1178</v>
      </c>
      <c r="O1720" s="55">
        <v>2</v>
      </c>
      <c r="T1720" s="60">
        <v>4</v>
      </c>
      <c r="U1720" s="1">
        <v>2</v>
      </c>
      <c r="AL1720" s="60" t="s">
        <v>30</v>
      </c>
    </row>
    <row r="1721" spans="1:38" x14ac:dyDescent="0.2">
      <c r="A1721" s="1" t="s">
        <v>1899</v>
      </c>
      <c r="B1721" s="1" t="s">
        <v>2063</v>
      </c>
      <c r="C1721" s="1" t="s">
        <v>5728</v>
      </c>
      <c r="D1721" s="48">
        <v>16</v>
      </c>
      <c r="E1721" s="1">
        <v>3</v>
      </c>
      <c r="F1721" s="1" t="s">
        <v>1918</v>
      </c>
      <c r="G1721" s="1" t="s">
        <v>2064</v>
      </c>
      <c r="I1721" s="1" t="s">
        <v>82</v>
      </c>
      <c r="L1721" s="2" t="s">
        <v>1233</v>
      </c>
      <c r="AL1721" s="60" t="s">
        <v>30</v>
      </c>
    </row>
    <row r="1722" spans="1:38" x14ac:dyDescent="0.2">
      <c r="A1722" s="1" t="s">
        <v>1899</v>
      </c>
      <c r="B1722" s="1" t="s">
        <v>1995</v>
      </c>
      <c r="C1722" s="1" t="s">
        <v>5728</v>
      </c>
      <c r="D1722" s="48">
        <v>17</v>
      </c>
      <c r="E1722" s="1">
        <v>2</v>
      </c>
      <c r="F1722" s="1" t="s">
        <v>1918</v>
      </c>
      <c r="G1722" s="1" t="s">
        <v>1996</v>
      </c>
      <c r="I1722" s="1" t="s">
        <v>82</v>
      </c>
      <c r="AL1722" s="60" t="s">
        <v>30</v>
      </c>
    </row>
    <row r="1723" spans="1:38" x14ac:dyDescent="0.2">
      <c r="A1723" s="1" t="s">
        <v>1899</v>
      </c>
      <c r="B1723" s="1" t="s">
        <v>2070</v>
      </c>
      <c r="C1723" s="1" t="s">
        <v>5728</v>
      </c>
      <c r="D1723" s="48">
        <v>18</v>
      </c>
      <c r="E1723" s="1">
        <v>1</v>
      </c>
      <c r="F1723" s="1" t="s">
        <v>1922</v>
      </c>
      <c r="G1723" s="1" t="s">
        <v>2071</v>
      </c>
      <c r="H1723" s="1" t="s">
        <v>26</v>
      </c>
      <c r="I1723" s="1" t="s">
        <v>27</v>
      </c>
      <c r="J1723" s="1" t="s">
        <v>57</v>
      </c>
      <c r="K1723" s="1" t="s">
        <v>51</v>
      </c>
      <c r="M1723" s="18">
        <v>9</v>
      </c>
      <c r="P1723" s="56">
        <v>3</v>
      </c>
      <c r="Q1723" s="57">
        <v>1</v>
      </c>
      <c r="R1723" s="58">
        <v>1</v>
      </c>
      <c r="S1723" s="59">
        <v>3</v>
      </c>
      <c r="AL1723" s="60" t="s">
        <v>30</v>
      </c>
    </row>
    <row r="1724" spans="1:38" x14ac:dyDescent="0.2">
      <c r="A1724" s="1" t="s">
        <v>1899</v>
      </c>
      <c r="B1724" s="1" t="s">
        <v>2098</v>
      </c>
      <c r="C1724" s="1" t="s">
        <v>5728</v>
      </c>
      <c r="D1724" s="48">
        <v>19</v>
      </c>
      <c r="E1724" s="1">
        <v>1</v>
      </c>
      <c r="F1724" s="1" t="s">
        <v>1922</v>
      </c>
      <c r="G1724" s="1" t="s">
        <v>2099</v>
      </c>
      <c r="H1724" s="1" t="s">
        <v>26</v>
      </c>
      <c r="I1724" s="1" t="s">
        <v>27</v>
      </c>
      <c r="J1724" s="1" t="s">
        <v>50</v>
      </c>
      <c r="K1724" s="1" t="s">
        <v>51</v>
      </c>
      <c r="L1724" s="2" t="s">
        <v>1940</v>
      </c>
      <c r="M1724" s="18">
        <v>11</v>
      </c>
      <c r="P1724" s="56">
        <v>2</v>
      </c>
      <c r="Q1724" s="57">
        <v>2</v>
      </c>
      <c r="R1724" s="58">
        <v>2</v>
      </c>
      <c r="S1724" s="59">
        <v>4</v>
      </c>
      <c r="AL1724" s="60" t="s">
        <v>30</v>
      </c>
    </row>
    <row r="1725" spans="1:38" x14ac:dyDescent="0.2">
      <c r="A1725" s="1" t="s">
        <v>1899</v>
      </c>
      <c r="B1725" s="1" t="s">
        <v>1938</v>
      </c>
      <c r="C1725" s="1" t="s">
        <v>5728</v>
      </c>
      <c r="D1725" s="48">
        <v>20</v>
      </c>
      <c r="E1725" s="1">
        <v>1</v>
      </c>
      <c r="F1725" s="1" t="s">
        <v>1922</v>
      </c>
      <c r="G1725" s="1" t="s">
        <v>1939</v>
      </c>
      <c r="H1725" s="1" t="s">
        <v>26</v>
      </c>
      <c r="I1725" s="1" t="s">
        <v>27</v>
      </c>
      <c r="J1725" s="1" t="s">
        <v>50</v>
      </c>
      <c r="K1725" s="1" t="s">
        <v>51</v>
      </c>
      <c r="L1725" s="2" t="s">
        <v>1940</v>
      </c>
      <c r="M1725" s="18">
        <v>9</v>
      </c>
      <c r="P1725" s="56">
        <v>1</v>
      </c>
      <c r="Q1725" s="57">
        <v>4</v>
      </c>
      <c r="R1725" s="58">
        <v>0</v>
      </c>
      <c r="S1725" s="59">
        <v>4</v>
      </c>
      <c r="AL1725" s="60" t="s">
        <v>30</v>
      </c>
    </row>
    <row r="1726" spans="1:38" x14ac:dyDescent="0.2">
      <c r="A1726" s="1" t="s">
        <v>1899</v>
      </c>
      <c r="B1726" s="1" t="s">
        <v>1919</v>
      </c>
      <c r="C1726" s="1" t="s">
        <v>5728</v>
      </c>
      <c r="D1726" s="48">
        <v>21</v>
      </c>
      <c r="E1726" s="1">
        <v>1</v>
      </c>
      <c r="F1726" s="1" t="s">
        <v>1922</v>
      </c>
      <c r="G1726" s="1" t="s">
        <v>1920</v>
      </c>
      <c r="H1726" s="1" t="s">
        <v>26</v>
      </c>
      <c r="I1726" s="1" t="s">
        <v>27</v>
      </c>
      <c r="J1726" s="1" t="s">
        <v>28</v>
      </c>
      <c r="K1726" s="1" t="s">
        <v>51</v>
      </c>
      <c r="L1726" s="2" t="s">
        <v>1921</v>
      </c>
      <c r="M1726" s="18">
        <v>11</v>
      </c>
      <c r="P1726" s="56">
        <v>1</v>
      </c>
      <c r="Q1726" s="57">
        <v>3</v>
      </c>
      <c r="R1726" s="58">
        <v>2</v>
      </c>
      <c r="S1726" s="59">
        <v>4</v>
      </c>
      <c r="AL1726" s="60" t="s">
        <v>30</v>
      </c>
    </row>
    <row r="1727" spans="1:38" x14ac:dyDescent="0.2">
      <c r="A1727" s="1" t="s">
        <v>1899</v>
      </c>
      <c r="B1727" s="1" t="s">
        <v>1960</v>
      </c>
      <c r="C1727" s="1" t="s">
        <v>5728</v>
      </c>
      <c r="D1727" s="48">
        <v>22</v>
      </c>
      <c r="E1727" s="1">
        <v>1</v>
      </c>
      <c r="F1727" s="1" t="s">
        <v>1922</v>
      </c>
      <c r="G1727" s="1" t="s">
        <v>120</v>
      </c>
      <c r="H1727" s="1" t="s">
        <v>26</v>
      </c>
      <c r="I1727" s="1" t="s">
        <v>27</v>
      </c>
      <c r="J1727" s="1" t="s">
        <v>39</v>
      </c>
      <c r="K1727" s="1" t="s">
        <v>51</v>
      </c>
      <c r="L1727" s="2" t="s">
        <v>1921</v>
      </c>
      <c r="M1727" s="18">
        <v>9</v>
      </c>
      <c r="P1727" s="56">
        <v>2</v>
      </c>
      <c r="Q1727" s="57">
        <v>0</v>
      </c>
      <c r="R1727" s="58">
        <v>2</v>
      </c>
      <c r="S1727" s="59">
        <v>5</v>
      </c>
      <c r="AL1727" s="60" t="s">
        <v>30</v>
      </c>
    </row>
    <row r="1728" spans="1:38" x14ac:dyDescent="0.2">
      <c r="A1728" s="1" t="s">
        <v>1899</v>
      </c>
      <c r="B1728" s="1" t="s">
        <v>1961</v>
      </c>
      <c r="C1728" s="1" t="s">
        <v>5728</v>
      </c>
      <c r="D1728" s="48">
        <v>23</v>
      </c>
      <c r="E1728" s="1">
        <v>4</v>
      </c>
      <c r="F1728" s="1" t="s">
        <v>1922</v>
      </c>
      <c r="G1728" s="1" t="s">
        <v>1962</v>
      </c>
      <c r="I1728" s="1" t="s">
        <v>104</v>
      </c>
      <c r="K1728" s="1" t="s">
        <v>1963</v>
      </c>
      <c r="O1728" s="55">
        <v>2</v>
      </c>
      <c r="T1728" s="60">
        <v>2</v>
      </c>
      <c r="AL1728" s="60" t="s">
        <v>30</v>
      </c>
    </row>
    <row r="1729" spans="1:38" x14ac:dyDescent="0.2">
      <c r="A1729" s="1" t="s">
        <v>1899</v>
      </c>
      <c r="B1729" s="1" t="s">
        <v>2027</v>
      </c>
      <c r="C1729" s="1" t="s">
        <v>5728</v>
      </c>
      <c r="D1729" s="48">
        <v>24</v>
      </c>
      <c r="E1729" s="1">
        <v>3</v>
      </c>
      <c r="F1729" s="1" t="s">
        <v>1922</v>
      </c>
      <c r="G1729" s="1" t="s">
        <v>2028</v>
      </c>
      <c r="I1729" s="1" t="s">
        <v>104</v>
      </c>
      <c r="K1729" s="1" t="s">
        <v>1911</v>
      </c>
      <c r="O1729" s="55">
        <v>2</v>
      </c>
      <c r="T1729" s="60">
        <v>4</v>
      </c>
      <c r="AL1729" s="60" t="s">
        <v>30</v>
      </c>
    </row>
    <row r="1730" spans="1:38" x14ac:dyDescent="0.2">
      <c r="A1730" s="1" t="s">
        <v>1899</v>
      </c>
      <c r="B1730" s="1" t="s">
        <v>1933</v>
      </c>
      <c r="C1730" s="1" t="s">
        <v>5728</v>
      </c>
      <c r="D1730" s="48">
        <v>25</v>
      </c>
      <c r="E1730" s="1">
        <v>1</v>
      </c>
      <c r="F1730" s="1" t="s">
        <v>1922</v>
      </c>
      <c r="G1730" s="1" t="s">
        <v>1934</v>
      </c>
      <c r="I1730" s="1" t="s">
        <v>104</v>
      </c>
      <c r="K1730" s="1" t="s">
        <v>1935</v>
      </c>
      <c r="O1730" s="55">
        <v>0</v>
      </c>
      <c r="T1730" s="60" t="s">
        <v>113</v>
      </c>
      <c r="U1730" s="1">
        <v>1</v>
      </c>
      <c r="AL1730" s="60" t="s">
        <v>30</v>
      </c>
    </row>
    <row r="1731" spans="1:38" x14ac:dyDescent="0.2">
      <c r="A1731" s="1" t="s">
        <v>1899</v>
      </c>
      <c r="B1731" s="1" t="s">
        <v>2087</v>
      </c>
      <c r="C1731" s="1" t="s">
        <v>5728</v>
      </c>
      <c r="D1731" s="48">
        <v>26</v>
      </c>
      <c r="F1731" s="1" t="s">
        <v>1922</v>
      </c>
      <c r="G1731" s="1" t="s">
        <v>9726</v>
      </c>
      <c r="I1731" s="1" t="s">
        <v>125</v>
      </c>
      <c r="M1731" s="18">
        <v>1</v>
      </c>
      <c r="N1731" s="54" t="s">
        <v>9529</v>
      </c>
      <c r="X1731" s="1" t="s">
        <v>2088</v>
      </c>
      <c r="Y1731" s="1" t="s">
        <v>9726</v>
      </c>
      <c r="AA1731" s="1" t="s">
        <v>125</v>
      </c>
      <c r="AE1731" s="1">
        <v>1</v>
      </c>
      <c r="AF1731" s="54" t="s">
        <v>9530</v>
      </c>
      <c r="AL1731" s="60" t="s">
        <v>36</v>
      </c>
    </row>
    <row r="1732" spans="1:38" x14ac:dyDescent="0.2">
      <c r="A1732" s="1" t="s">
        <v>1899</v>
      </c>
      <c r="B1732" s="1" t="s">
        <v>1925</v>
      </c>
      <c r="C1732" s="1" t="s">
        <v>5728</v>
      </c>
      <c r="D1732" s="48">
        <v>27</v>
      </c>
      <c r="E1732" s="1">
        <v>1</v>
      </c>
      <c r="F1732" s="1" t="s">
        <v>1922</v>
      </c>
      <c r="G1732" s="1" t="s">
        <v>9703</v>
      </c>
      <c r="I1732" s="1" t="s">
        <v>125</v>
      </c>
      <c r="M1732" s="18">
        <v>2</v>
      </c>
      <c r="N1732" s="54" t="s">
        <v>9529</v>
      </c>
      <c r="Y1732" s="1" t="s">
        <v>9703</v>
      </c>
      <c r="AA1732" s="1" t="s">
        <v>125</v>
      </c>
      <c r="AE1732" s="1">
        <v>2</v>
      </c>
      <c r="AF1732" s="54" t="s">
        <v>9530</v>
      </c>
      <c r="AL1732" s="60" t="s">
        <v>46</v>
      </c>
    </row>
    <row r="1733" spans="1:38" x14ac:dyDescent="0.2">
      <c r="A1733" s="1" t="s">
        <v>1899</v>
      </c>
      <c r="B1733" s="1" t="s">
        <v>2003</v>
      </c>
      <c r="C1733" s="1" t="s">
        <v>5728</v>
      </c>
      <c r="D1733" s="48">
        <v>28</v>
      </c>
      <c r="E1733" s="1">
        <v>1</v>
      </c>
      <c r="F1733" s="1" t="s">
        <v>1922</v>
      </c>
      <c r="G1733" s="1" t="s">
        <v>9731</v>
      </c>
      <c r="I1733" s="1" t="s">
        <v>125</v>
      </c>
      <c r="M1733" s="18">
        <v>3</v>
      </c>
      <c r="N1733" s="54" t="s">
        <v>9529</v>
      </c>
      <c r="Y1733" s="1" t="s">
        <v>9731</v>
      </c>
      <c r="AA1733" s="1" t="s">
        <v>125</v>
      </c>
      <c r="AE1733" s="1">
        <v>3</v>
      </c>
      <c r="AF1733" s="54" t="s">
        <v>9530</v>
      </c>
      <c r="AL1733" s="60" t="s">
        <v>166</v>
      </c>
    </row>
    <row r="1734" spans="1:38" x14ac:dyDescent="0.2">
      <c r="A1734" s="1" t="s">
        <v>1899</v>
      </c>
      <c r="B1734" s="1" t="s">
        <v>1949</v>
      </c>
      <c r="C1734" s="1" t="s">
        <v>5728</v>
      </c>
      <c r="D1734" s="48">
        <v>29</v>
      </c>
      <c r="E1734" s="1">
        <v>1</v>
      </c>
      <c r="F1734" s="1" t="s">
        <v>1922</v>
      </c>
      <c r="G1734" s="1" t="s">
        <v>9736</v>
      </c>
      <c r="I1734" s="1" t="s">
        <v>125</v>
      </c>
      <c r="M1734" s="18">
        <v>4</v>
      </c>
      <c r="N1734" s="54" t="s">
        <v>9529</v>
      </c>
      <c r="Y1734" s="1" t="s">
        <v>9736</v>
      </c>
      <c r="AA1734" s="1" t="s">
        <v>125</v>
      </c>
      <c r="AE1734" s="1">
        <v>4</v>
      </c>
      <c r="AF1734" s="54" t="s">
        <v>9530</v>
      </c>
      <c r="AL1734" s="60" t="s">
        <v>46</v>
      </c>
    </row>
    <row r="1735" spans="1:38" x14ac:dyDescent="0.2">
      <c r="A1735" s="1" t="s">
        <v>1899</v>
      </c>
      <c r="B1735" s="1" t="s">
        <v>1926</v>
      </c>
      <c r="C1735" s="1" t="s">
        <v>5728</v>
      </c>
      <c r="D1735" s="48">
        <v>30</v>
      </c>
      <c r="E1735" s="1">
        <v>1</v>
      </c>
      <c r="F1735" s="1" t="s">
        <v>1922</v>
      </c>
      <c r="G1735" s="1" t="s">
        <v>9737</v>
      </c>
      <c r="I1735" s="1" t="s">
        <v>125</v>
      </c>
      <c r="M1735" s="18">
        <v>4</v>
      </c>
      <c r="N1735" s="54" t="s">
        <v>9529</v>
      </c>
      <c r="Y1735" s="1" t="s">
        <v>9737</v>
      </c>
      <c r="AA1735" s="1" t="s">
        <v>125</v>
      </c>
      <c r="AE1735" s="1">
        <v>4</v>
      </c>
      <c r="AF1735" s="54" t="s">
        <v>9530</v>
      </c>
      <c r="AL1735" s="60" t="s">
        <v>46</v>
      </c>
    </row>
    <row r="1736" spans="1:38" x14ac:dyDescent="0.2">
      <c r="A1736" s="1" t="s">
        <v>1899</v>
      </c>
      <c r="B1736" s="1" t="s">
        <v>1958</v>
      </c>
      <c r="C1736" s="1" t="s">
        <v>5728</v>
      </c>
      <c r="D1736" s="48">
        <v>31</v>
      </c>
      <c r="E1736" s="1">
        <v>2</v>
      </c>
      <c r="F1736" s="1" t="s">
        <v>1922</v>
      </c>
      <c r="G1736" s="1" t="s">
        <v>1959</v>
      </c>
      <c r="I1736" s="1" t="s">
        <v>82</v>
      </c>
      <c r="AL1736" s="60" t="s">
        <v>30</v>
      </c>
    </row>
    <row r="1737" spans="1:38" x14ac:dyDescent="0.2">
      <c r="A1737" s="1" t="s">
        <v>1899</v>
      </c>
      <c r="B1737" s="1" t="s">
        <v>2013</v>
      </c>
      <c r="C1737" s="1" t="s">
        <v>5728</v>
      </c>
      <c r="D1737" s="48">
        <v>32</v>
      </c>
      <c r="E1737" s="1">
        <v>3</v>
      </c>
      <c r="F1737" s="1" t="s">
        <v>1922</v>
      </c>
      <c r="G1737" s="1" t="s">
        <v>2014</v>
      </c>
      <c r="I1737" s="1" t="s">
        <v>82</v>
      </c>
      <c r="L1737" s="2" t="s">
        <v>685</v>
      </c>
      <c r="AL1737" s="60" t="s">
        <v>30</v>
      </c>
    </row>
    <row r="1738" spans="1:38" x14ac:dyDescent="0.2">
      <c r="A1738" s="1" t="s">
        <v>1899</v>
      </c>
      <c r="B1738" s="1" t="s">
        <v>2000</v>
      </c>
      <c r="C1738" s="1" t="s">
        <v>5728</v>
      </c>
      <c r="D1738" s="48">
        <v>33</v>
      </c>
      <c r="E1738" s="1">
        <v>2</v>
      </c>
      <c r="F1738" s="1" t="s">
        <v>1937</v>
      </c>
      <c r="G1738" s="1" t="s">
        <v>2001</v>
      </c>
      <c r="I1738" s="1" t="s">
        <v>94</v>
      </c>
      <c r="K1738" s="1" t="s">
        <v>2002</v>
      </c>
      <c r="O1738" s="55">
        <v>1</v>
      </c>
      <c r="Q1738" s="57">
        <v>2</v>
      </c>
      <c r="R1738" s="58">
        <v>2</v>
      </c>
      <c r="S1738" s="59">
        <v>4</v>
      </c>
      <c r="AL1738" s="60" t="s">
        <v>30</v>
      </c>
    </row>
    <row r="1739" spans="1:38" x14ac:dyDescent="0.2">
      <c r="A1739" s="1" t="s">
        <v>1899</v>
      </c>
      <c r="B1739" s="1" t="s">
        <v>1941</v>
      </c>
      <c r="C1739" s="1" t="s">
        <v>5728</v>
      </c>
      <c r="D1739" s="48">
        <v>34</v>
      </c>
      <c r="E1739" s="1">
        <v>2</v>
      </c>
      <c r="F1739" s="1" t="s">
        <v>1937</v>
      </c>
      <c r="G1739" s="1" t="s">
        <v>1942</v>
      </c>
      <c r="I1739" s="1" t="s">
        <v>94</v>
      </c>
      <c r="K1739" s="1" t="s">
        <v>1943</v>
      </c>
      <c r="O1739" s="55">
        <v>2</v>
      </c>
      <c r="Q1739" s="57">
        <v>2</v>
      </c>
      <c r="R1739" s="58">
        <v>1</v>
      </c>
      <c r="S1739" s="59">
        <v>3</v>
      </c>
      <c r="AL1739" s="60" t="s">
        <v>30</v>
      </c>
    </row>
    <row r="1740" spans="1:38" x14ac:dyDescent="0.2">
      <c r="A1740" s="1" t="s">
        <v>1899</v>
      </c>
      <c r="B1740" s="1" t="s">
        <v>2094</v>
      </c>
      <c r="C1740" s="1" t="s">
        <v>5728</v>
      </c>
      <c r="D1740" s="48">
        <v>35</v>
      </c>
      <c r="E1740" s="1">
        <v>1</v>
      </c>
      <c r="F1740" s="1" t="s">
        <v>1937</v>
      </c>
      <c r="G1740" s="1" t="s">
        <v>2095</v>
      </c>
      <c r="H1740" s="1" t="s">
        <v>26</v>
      </c>
      <c r="I1740" s="1" t="s">
        <v>94</v>
      </c>
      <c r="K1740" s="1" t="s">
        <v>2096</v>
      </c>
      <c r="L1740" s="2" t="s">
        <v>2097</v>
      </c>
      <c r="O1740" s="55">
        <v>2</v>
      </c>
      <c r="Q1740" s="57">
        <v>3</v>
      </c>
      <c r="R1740" s="58">
        <v>3</v>
      </c>
      <c r="S1740" s="59">
        <v>5</v>
      </c>
      <c r="U1740" s="1">
        <v>4</v>
      </c>
      <c r="AL1740" s="60" t="s">
        <v>30</v>
      </c>
    </row>
    <row r="1741" spans="1:38" x14ac:dyDescent="0.2">
      <c r="A1741" s="1" t="s">
        <v>1899</v>
      </c>
      <c r="B1741" s="1" t="s">
        <v>1976</v>
      </c>
      <c r="C1741" s="1" t="s">
        <v>5728</v>
      </c>
      <c r="D1741" s="48">
        <v>36</v>
      </c>
      <c r="E1741" s="1">
        <v>2</v>
      </c>
      <c r="F1741" s="1" t="s">
        <v>1937</v>
      </c>
      <c r="G1741" s="1" t="s">
        <v>1977</v>
      </c>
      <c r="I1741" s="1" t="s">
        <v>94</v>
      </c>
      <c r="K1741" s="1" t="s">
        <v>1978</v>
      </c>
      <c r="O1741" s="55">
        <v>2</v>
      </c>
      <c r="Q1741" s="57">
        <v>3</v>
      </c>
      <c r="R1741" s="58">
        <v>1</v>
      </c>
      <c r="S1741" s="59">
        <v>3</v>
      </c>
      <c r="AL1741" s="60" t="s">
        <v>30</v>
      </c>
    </row>
    <row r="1742" spans="1:38" x14ac:dyDescent="0.2">
      <c r="A1742" s="1" t="s">
        <v>1899</v>
      </c>
      <c r="B1742" s="1" t="s">
        <v>1955</v>
      </c>
      <c r="C1742" s="1" t="s">
        <v>5728</v>
      </c>
      <c r="D1742" s="48">
        <v>37</v>
      </c>
      <c r="E1742" s="1">
        <v>1</v>
      </c>
      <c r="F1742" s="1" t="s">
        <v>1937</v>
      </c>
      <c r="G1742" s="1" t="s">
        <v>1956</v>
      </c>
      <c r="I1742" s="1" t="s">
        <v>104</v>
      </c>
      <c r="K1742" s="1" t="s">
        <v>1957</v>
      </c>
      <c r="O1742" s="55">
        <v>2</v>
      </c>
      <c r="T1742" s="60">
        <v>5</v>
      </c>
      <c r="U1742" s="1">
        <v>1</v>
      </c>
      <c r="AL1742" s="60" t="s">
        <v>30</v>
      </c>
    </row>
    <row r="1743" spans="1:38" x14ac:dyDescent="0.2">
      <c r="A1743" s="1" t="s">
        <v>1899</v>
      </c>
      <c r="B1743" s="1" t="s">
        <v>1972</v>
      </c>
      <c r="C1743" s="1" t="s">
        <v>5728</v>
      </c>
      <c r="D1743" s="48">
        <v>38</v>
      </c>
      <c r="E1743" s="1">
        <v>3</v>
      </c>
      <c r="F1743" s="1" t="s">
        <v>1937</v>
      </c>
      <c r="G1743" s="1" t="s">
        <v>1973</v>
      </c>
      <c r="I1743" s="1" t="s">
        <v>104</v>
      </c>
      <c r="K1743" s="1" t="s">
        <v>1957</v>
      </c>
      <c r="O1743" s="55">
        <v>2</v>
      </c>
      <c r="T1743" s="60">
        <v>3</v>
      </c>
      <c r="AL1743" s="60" t="s">
        <v>30</v>
      </c>
    </row>
    <row r="1744" spans="1:38" x14ac:dyDescent="0.2">
      <c r="A1744" s="1" t="s">
        <v>1899</v>
      </c>
      <c r="B1744" s="1" t="s">
        <v>2015</v>
      </c>
      <c r="C1744" s="1" t="s">
        <v>5728</v>
      </c>
      <c r="D1744" s="48">
        <v>39</v>
      </c>
      <c r="E1744" s="1">
        <v>1</v>
      </c>
      <c r="F1744" s="1" t="s">
        <v>1937</v>
      </c>
      <c r="G1744" s="1" t="s">
        <v>2016</v>
      </c>
      <c r="I1744" s="1" t="s">
        <v>88</v>
      </c>
      <c r="K1744" s="1" t="s">
        <v>2017</v>
      </c>
      <c r="P1744" s="56">
        <v>2</v>
      </c>
      <c r="Q1744" s="57">
        <v>1</v>
      </c>
      <c r="R1744" s="58">
        <v>1</v>
      </c>
      <c r="S1744" s="59">
        <v>3</v>
      </c>
      <c r="AL1744" s="60" t="s">
        <v>30</v>
      </c>
    </row>
    <row r="1745" spans="1:38" x14ac:dyDescent="0.2">
      <c r="A1745" s="1" t="s">
        <v>1899</v>
      </c>
      <c r="B1745" s="1" t="s">
        <v>1974</v>
      </c>
      <c r="C1745" s="1" t="s">
        <v>5728</v>
      </c>
      <c r="D1745" s="48">
        <v>40</v>
      </c>
      <c r="E1745" s="1">
        <v>1</v>
      </c>
      <c r="F1745" s="1" t="s">
        <v>1937</v>
      </c>
      <c r="G1745" s="1" t="s">
        <v>1975</v>
      </c>
      <c r="I1745" s="1" t="s">
        <v>88</v>
      </c>
      <c r="K1745" s="1" t="s">
        <v>89</v>
      </c>
      <c r="AL1745" s="60" t="s">
        <v>30</v>
      </c>
    </row>
    <row r="1746" spans="1:38" x14ac:dyDescent="0.2">
      <c r="A1746" s="1" t="s">
        <v>1899</v>
      </c>
      <c r="B1746" s="1" t="s">
        <v>1997</v>
      </c>
      <c r="C1746" s="1" t="s">
        <v>5728</v>
      </c>
      <c r="D1746" s="48">
        <v>41</v>
      </c>
      <c r="E1746" s="1">
        <v>1</v>
      </c>
      <c r="F1746" s="1" t="s">
        <v>1937</v>
      </c>
      <c r="G1746" s="1" t="s">
        <v>1998</v>
      </c>
      <c r="I1746" s="1" t="s">
        <v>88</v>
      </c>
      <c r="K1746" s="1" t="s">
        <v>1999</v>
      </c>
      <c r="AL1746" s="60" t="s">
        <v>30</v>
      </c>
    </row>
    <row r="1747" spans="1:38" x14ac:dyDescent="0.2">
      <c r="A1747" s="1" t="s">
        <v>1899</v>
      </c>
      <c r="B1747" s="1" t="s">
        <v>1985</v>
      </c>
      <c r="C1747" s="1" t="s">
        <v>5728</v>
      </c>
      <c r="D1747" s="48">
        <v>42</v>
      </c>
      <c r="E1747" s="1">
        <v>1</v>
      </c>
      <c r="F1747" s="1" t="s">
        <v>1937</v>
      </c>
      <c r="G1747" s="1" t="s">
        <v>1986</v>
      </c>
      <c r="I1747" s="1" t="s">
        <v>88</v>
      </c>
      <c r="AL1747" s="60" t="s">
        <v>30</v>
      </c>
    </row>
    <row r="1748" spans="1:38" x14ac:dyDescent="0.2">
      <c r="A1748" s="1" t="s">
        <v>1899</v>
      </c>
      <c r="B1748" s="1" t="s">
        <v>2005</v>
      </c>
      <c r="C1748" s="1" t="s">
        <v>5728</v>
      </c>
      <c r="D1748" s="48">
        <v>43</v>
      </c>
      <c r="E1748" s="1">
        <v>1</v>
      </c>
      <c r="F1748" s="1" t="s">
        <v>1937</v>
      </c>
      <c r="G1748" s="1" t="s">
        <v>2006</v>
      </c>
      <c r="I1748" s="1" t="s">
        <v>88</v>
      </c>
      <c r="AL1748" s="60" t="s">
        <v>30</v>
      </c>
    </row>
    <row r="1749" spans="1:38" x14ac:dyDescent="0.2">
      <c r="A1749" s="1" t="s">
        <v>1899</v>
      </c>
      <c r="B1749" s="1" t="s">
        <v>2065</v>
      </c>
      <c r="C1749" s="1" t="s">
        <v>5728</v>
      </c>
      <c r="D1749" s="48">
        <v>44</v>
      </c>
      <c r="E1749" s="1">
        <v>1</v>
      </c>
      <c r="F1749" s="1" t="s">
        <v>1937</v>
      </c>
      <c r="G1749" s="1" t="s">
        <v>9727</v>
      </c>
      <c r="I1749" s="1" t="s">
        <v>125</v>
      </c>
      <c r="M1749" s="18">
        <v>1</v>
      </c>
      <c r="N1749" s="54" t="s">
        <v>9529</v>
      </c>
      <c r="X1749" s="1" t="s">
        <v>2066</v>
      </c>
      <c r="Y1749" s="1" t="s">
        <v>9727</v>
      </c>
      <c r="AA1749" s="1" t="s">
        <v>125</v>
      </c>
      <c r="AE1749" s="1">
        <v>1</v>
      </c>
      <c r="AF1749" s="54" t="s">
        <v>9530</v>
      </c>
      <c r="AL1749" s="60" t="s">
        <v>46</v>
      </c>
    </row>
    <row r="1750" spans="1:38" x14ac:dyDescent="0.2">
      <c r="A1750" s="1" t="s">
        <v>1899</v>
      </c>
      <c r="B1750" s="1" t="s">
        <v>1991</v>
      </c>
      <c r="C1750" s="1" t="s">
        <v>5728</v>
      </c>
      <c r="D1750" s="48">
        <v>45</v>
      </c>
      <c r="E1750" s="1">
        <v>1</v>
      </c>
      <c r="F1750" s="1" t="s">
        <v>1937</v>
      </c>
      <c r="G1750" s="1" t="s">
        <v>9729</v>
      </c>
      <c r="I1750" s="1" t="s">
        <v>125</v>
      </c>
      <c r="M1750" s="18">
        <v>2</v>
      </c>
      <c r="N1750" s="54" t="s">
        <v>9529</v>
      </c>
      <c r="Y1750" s="1" t="s">
        <v>9729</v>
      </c>
      <c r="AA1750" s="1" t="s">
        <v>125</v>
      </c>
      <c r="AE1750" s="1">
        <v>2</v>
      </c>
      <c r="AF1750" s="54" t="s">
        <v>9530</v>
      </c>
      <c r="AL1750" s="60" t="s">
        <v>341</v>
      </c>
    </row>
    <row r="1751" spans="1:38" x14ac:dyDescent="0.2">
      <c r="A1751" s="1" t="s">
        <v>1899</v>
      </c>
      <c r="B1751" s="1" t="s">
        <v>2004</v>
      </c>
      <c r="C1751" s="1" t="s">
        <v>5728</v>
      </c>
      <c r="D1751" s="48">
        <v>46</v>
      </c>
      <c r="E1751" s="1">
        <v>1</v>
      </c>
      <c r="F1751" s="1" t="s">
        <v>1937</v>
      </c>
      <c r="G1751" s="1" t="s">
        <v>9732</v>
      </c>
      <c r="I1751" s="1" t="s">
        <v>125</v>
      </c>
      <c r="M1751" s="18">
        <v>3</v>
      </c>
      <c r="N1751" s="54" t="s">
        <v>9529</v>
      </c>
      <c r="Y1751" s="1" t="s">
        <v>9732</v>
      </c>
      <c r="AA1751" s="1" t="s">
        <v>125</v>
      </c>
      <c r="AE1751" s="1">
        <v>3</v>
      </c>
      <c r="AF1751" s="54" t="s">
        <v>9530</v>
      </c>
      <c r="AL1751" s="60" t="s">
        <v>666</v>
      </c>
    </row>
    <row r="1752" spans="1:38" x14ac:dyDescent="0.2">
      <c r="A1752" s="1" t="s">
        <v>1899</v>
      </c>
      <c r="B1752" s="1" t="s">
        <v>1936</v>
      </c>
      <c r="C1752" s="1" t="s">
        <v>5728</v>
      </c>
      <c r="D1752" s="48">
        <v>47</v>
      </c>
      <c r="E1752" s="1">
        <v>1</v>
      </c>
      <c r="F1752" s="1" t="s">
        <v>1937</v>
      </c>
      <c r="G1752" s="1" t="s">
        <v>9738</v>
      </c>
      <c r="I1752" s="1" t="s">
        <v>125</v>
      </c>
      <c r="M1752" s="18">
        <v>4</v>
      </c>
      <c r="N1752" s="54" t="s">
        <v>9529</v>
      </c>
      <c r="Y1752" s="1" t="s">
        <v>9738</v>
      </c>
      <c r="AA1752" s="1" t="s">
        <v>125</v>
      </c>
      <c r="AE1752" s="1">
        <v>4</v>
      </c>
      <c r="AF1752" s="54" t="s">
        <v>9530</v>
      </c>
      <c r="AL1752" s="60" t="s">
        <v>67</v>
      </c>
    </row>
    <row r="1753" spans="1:38" x14ac:dyDescent="0.2">
      <c r="A1753" s="1" t="s">
        <v>1899</v>
      </c>
      <c r="B1753" s="1" t="s">
        <v>2086</v>
      </c>
      <c r="C1753" s="1" t="s">
        <v>5728</v>
      </c>
      <c r="D1753" s="48">
        <v>48</v>
      </c>
      <c r="E1753" s="1">
        <v>1</v>
      </c>
      <c r="F1753" s="1" t="s">
        <v>1937</v>
      </c>
      <c r="G1753" s="1" t="s">
        <v>1797</v>
      </c>
      <c r="I1753" s="1" t="s">
        <v>3482</v>
      </c>
      <c r="AL1753" s="60" t="s">
        <v>30</v>
      </c>
    </row>
    <row r="1754" spans="1:38" x14ac:dyDescent="0.2">
      <c r="A1754" s="1" t="s">
        <v>1899</v>
      </c>
      <c r="B1754" s="1" t="s">
        <v>2020</v>
      </c>
      <c r="C1754" s="1" t="s">
        <v>5728</v>
      </c>
      <c r="D1754" s="48">
        <v>49</v>
      </c>
      <c r="E1754" s="1">
        <v>2</v>
      </c>
      <c r="F1754" s="1" t="s">
        <v>1937</v>
      </c>
      <c r="G1754" s="1" t="s">
        <v>2021</v>
      </c>
      <c r="I1754" s="1" t="s">
        <v>82</v>
      </c>
      <c r="AL1754" s="60" t="s">
        <v>30</v>
      </c>
    </row>
    <row r="1755" spans="1:38" x14ac:dyDescent="0.2">
      <c r="A1755" s="1" t="s">
        <v>1899</v>
      </c>
      <c r="B1755" s="1" t="s">
        <v>1983</v>
      </c>
      <c r="C1755" s="1" t="s">
        <v>5728</v>
      </c>
      <c r="D1755" s="48">
        <v>50</v>
      </c>
      <c r="E1755" s="1">
        <v>3</v>
      </c>
      <c r="F1755" s="1" t="s">
        <v>1937</v>
      </c>
      <c r="G1755" s="1" t="s">
        <v>1984</v>
      </c>
      <c r="I1755" s="1" t="s">
        <v>82</v>
      </c>
      <c r="AL1755" s="60" t="s">
        <v>30</v>
      </c>
    </row>
    <row r="1756" spans="1:38" x14ac:dyDescent="0.2">
      <c r="A1756" s="1" t="s">
        <v>1899</v>
      </c>
      <c r="B1756" s="1" t="s">
        <v>2074</v>
      </c>
      <c r="C1756" s="1" t="s">
        <v>5728</v>
      </c>
      <c r="D1756" s="48">
        <v>51</v>
      </c>
      <c r="E1756" s="1">
        <v>1</v>
      </c>
      <c r="F1756" s="1" t="s">
        <v>1904</v>
      </c>
      <c r="G1756" s="1" t="s">
        <v>2075</v>
      </c>
      <c r="I1756" s="1" t="s">
        <v>94</v>
      </c>
      <c r="K1756" s="1" t="s">
        <v>2076</v>
      </c>
      <c r="L1756" s="2" t="s">
        <v>2077</v>
      </c>
      <c r="O1756" s="55">
        <v>1</v>
      </c>
      <c r="Q1756" s="57">
        <v>4</v>
      </c>
      <c r="R1756" s="58">
        <v>2</v>
      </c>
      <c r="S1756" s="59">
        <v>6</v>
      </c>
      <c r="AL1756" s="60" t="s">
        <v>30</v>
      </c>
    </row>
    <row r="1757" spans="1:38" x14ac:dyDescent="0.2">
      <c r="A1757" s="1" t="s">
        <v>1899</v>
      </c>
      <c r="B1757" s="1" t="s">
        <v>2031</v>
      </c>
      <c r="C1757" s="1" t="s">
        <v>5728</v>
      </c>
      <c r="D1757" s="48">
        <v>52</v>
      </c>
      <c r="E1757" s="1">
        <v>2</v>
      </c>
      <c r="F1757" s="1" t="s">
        <v>1904</v>
      </c>
      <c r="G1757" s="1" t="s">
        <v>2032</v>
      </c>
      <c r="I1757" s="1" t="s">
        <v>94</v>
      </c>
      <c r="K1757" s="1" t="s">
        <v>2033</v>
      </c>
      <c r="N1757" s="54">
        <v>27</v>
      </c>
      <c r="O1757" s="55">
        <v>3</v>
      </c>
      <c r="Q1757" s="57">
        <v>3</v>
      </c>
      <c r="R1757" s="58">
        <v>2</v>
      </c>
      <c r="S1757" s="59">
        <v>3</v>
      </c>
      <c r="AL1757" s="60" t="s">
        <v>30</v>
      </c>
    </row>
    <row r="1758" spans="1:38" x14ac:dyDescent="0.2">
      <c r="A1758" s="1" t="s">
        <v>1899</v>
      </c>
      <c r="B1758" s="1" t="s">
        <v>2060</v>
      </c>
      <c r="C1758" s="1" t="s">
        <v>5728</v>
      </c>
      <c r="D1758" s="48">
        <v>53</v>
      </c>
      <c r="E1758" s="1">
        <v>1</v>
      </c>
      <c r="F1758" s="1" t="s">
        <v>1904</v>
      </c>
      <c r="G1758" s="1" t="s">
        <v>2061</v>
      </c>
      <c r="H1758" s="1" t="s">
        <v>26</v>
      </c>
      <c r="I1758" s="1" t="s">
        <v>94</v>
      </c>
      <c r="K1758" s="1" t="s">
        <v>2062</v>
      </c>
      <c r="O1758" s="55">
        <v>3</v>
      </c>
      <c r="Q1758" s="57">
        <v>4</v>
      </c>
      <c r="R1758" s="58">
        <v>2</v>
      </c>
      <c r="S1758" s="59">
        <v>4</v>
      </c>
      <c r="AL1758" s="60" t="s">
        <v>30</v>
      </c>
    </row>
    <row r="1759" spans="1:38" x14ac:dyDescent="0.2">
      <c r="A1759" s="1" t="s">
        <v>1899</v>
      </c>
      <c r="B1759" s="1" t="s">
        <v>1900</v>
      </c>
      <c r="C1759" s="1" t="s">
        <v>5728</v>
      </c>
      <c r="D1759" s="48">
        <v>54</v>
      </c>
      <c r="E1759" s="1">
        <v>1</v>
      </c>
      <c r="F1759" s="1" t="s">
        <v>1904</v>
      </c>
      <c r="G1759" s="1" t="s">
        <v>1901</v>
      </c>
      <c r="H1759" s="1" t="s">
        <v>26</v>
      </c>
      <c r="I1759" s="1" t="s">
        <v>94</v>
      </c>
      <c r="K1759" s="1" t="s">
        <v>1902</v>
      </c>
      <c r="L1759" s="2" t="s">
        <v>1903</v>
      </c>
      <c r="N1759" s="54">
        <v>36</v>
      </c>
      <c r="O1759" s="55">
        <v>2</v>
      </c>
      <c r="Q1759" s="57">
        <v>4</v>
      </c>
      <c r="R1759" s="58">
        <v>2</v>
      </c>
      <c r="S1759" s="59">
        <v>5</v>
      </c>
      <c r="AL1759" s="60" t="s">
        <v>30</v>
      </c>
    </row>
    <row r="1760" spans="1:38" x14ac:dyDescent="0.2">
      <c r="A1760" s="1" t="s">
        <v>1899</v>
      </c>
      <c r="B1760" s="1" t="s">
        <v>1979</v>
      </c>
      <c r="C1760" s="1" t="s">
        <v>5728</v>
      </c>
      <c r="D1760" s="48">
        <v>55</v>
      </c>
      <c r="E1760" s="1">
        <v>4</v>
      </c>
      <c r="F1760" s="1" t="s">
        <v>1904</v>
      </c>
      <c r="G1760" s="1" t="s">
        <v>1980</v>
      </c>
      <c r="I1760" s="1" t="s">
        <v>94</v>
      </c>
      <c r="K1760" s="1" t="s">
        <v>1981</v>
      </c>
      <c r="N1760" s="54">
        <v>16</v>
      </c>
      <c r="O1760" s="55">
        <v>0</v>
      </c>
      <c r="Q1760" s="57">
        <v>2</v>
      </c>
      <c r="R1760" s="58">
        <v>2</v>
      </c>
      <c r="S1760" s="59">
        <v>2</v>
      </c>
      <c r="AL1760" s="60" t="s">
        <v>30</v>
      </c>
    </row>
    <row r="1761" spans="1:38" x14ac:dyDescent="0.2">
      <c r="A1761" s="1" t="s">
        <v>1899</v>
      </c>
      <c r="B1761" s="1" t="s">
        <v>1950</v>
      </c>
      <c r="C1761" s="1" t="s">
        <v>5728</v>
      </c>
      <c r="D1761" s="48">
        <v>56</v>
      </c>
      <c r="E1761" s="1">
        <v>3</v>
      </c>
      <c r="F1761" s="1" t="s">
        <v>1904</v>
      </c>
      <c r="G1761" s="1" t="s">
        <v>1951</v>
      </c>
      <c r="I1761" s="1" t="s">
        <v>94</v>
      </c>
      <c r="K1761" s="1" t="s">
        <v>1952</v>
      </c>
      <c r="L1761" s="2" t="s">
        <v>1903</v>
      </c>
      <c r="N1761" s="54">
        <v>45</v>
      </c>
      <c r="O1761" s="55">
        <v>1</v>
      </c>
      <c r="Q1761" s="57">
        <v>6</v>
      </c>
      <c r="R1761" s="58">
        <v>3</v>
      </c>
      <c r="S1761" s="59">
        <v>4</v>
      </c>
      <c r="AL1761" s="60" t="s">
        <v>30</v>
      </c>
    </row>
    <row r="1762" spans="1:38" x14ac:dyDescent="0.2">
      <c r="A1762" s="1" t="s">
        <v>1899</v>
      </c>
      <c r="B1762" s="1" t="s">
        <v>2040</v>
      </c>
      <c r="C1762" s="1" t="s">
        <v>5728</v>
      </c>
      <c r="D1762" s="48">
        <v>57</v>
      </c>
      <c r="E1762" s="1">
        <v>1</v>
      </c>
      <c r="F1762" s="1" t="s">
        <v>1904</v>
      </c>
      <c r="G1762" s="1" t="s">
        <v>2041</v>
      </c>
      <c r="H1762" s="1" t="s">
        <v>26</v>
      </c>
      <c r="I1762" s="1" t="s">
        <v>94</v>
      </c>
      <c r="K1762" s="1" t="s">
        <v>1952</v>
      </c>
      <c r="O1762" s="55">
        <v>4</v>
      </c>
      <c r="Q1762" s="57">
        <v>12</v>
      </c>
      <c r="R1762" s="58">
        <v>2</v>
      </c>
      <c r="S1762" s="59">
        <v>7</v>
      </c>
      <c r="AL1762" s="60" t="s">
        <v>30</v>
      </c>
    </row>
    <row r="1763" spans="1:38" x14ac:dyDescent="0.2">
      <c r="A1763" s="1" t="s">
        <v>1899</v>
      </c>
      <c r="B1763" s="1" t="s">
        <v>2022</v>
      </c>
      <c r="C1763" s="1" t="s">
        <v>5728</v>
      </c>
      <c r="D1763" s="48">
        <v>58</v>
      </c>
      <c r="E1763" s="1">
        <v>1</v>
      </c>
      <c r="F1763" s="1" t="s">
        <v>1904</v>
      </c>
      <c r="G1763" s="1" t="s">
        <v>2023</v>
      </c>
      <c r="H1763" s="1" t="s">
        <v>26</v>
      </c>
      <c r="I1763" s="1" t="s">
        <v>94</v>
      </c>
      <c r="K1763" s="1" t="s">
        <v>2024</v>
      </c>
      <c r="L1763" s="2" t="s">
        <v>2025</v>
      </c>
      <c r="N1763" s="54">
        <v>33</v>
      </c>
      <c r="O1763" s="55">
        <v>0</v>
      </c>
      <c r="Q1763" s="57">
        <v>3</v>
      </c>
      <c r="R1763" s="58">
        <v>2</v>
      </c>
      <c r="S1763" s="59">
        <v>2</v>
      </c>
      <c r="AL1763" s="60" t="s">
        <v>30</v>
      </c>
    </row>
    <row r="1764" spans="1:38" x14ac:dyDescent="0.2">
      <c r="A1764" s="1" t="s">
        <v>1899</v>
      </c>
      <c r="B1764" s="1" t="s">
        <v>2037</v>
      </c>
      <c r="C1764" s="1" t="s">
        <v>5728</v>
      </c>
      <c r="D1764" s="48">
        <v>59</v>
      </c>
      <c r="E1764" s="1">
        <v>1</v>
      </c>
      <c r="F1764" s="1" t="s">
        <v>1904</v>
      </c>
      <c r="G1764" s="1" t="s">
        <v>2038</v>
      </c>
      <c r="I1764" s="1" t="s">
        <v>94</v>
      </c>
      <c r="K1764" s="1" t="s">
        <v>1952</v>
      </c>
      <c r="L1764" s="2" t="s">
        <v>2039</v>
      </c>
      <c r="N1764" s="54">
        <v>32</v>
      </c>
      <c r="O1764" s="55">
        <v>2</v>
      </c>
      <c r="Q1764" s="57">
        <v>4</v>
      </c>
      <c r="R1764" s="58">
        <v>4</v>
      </c>
      <c r="S1764" s="59">
        <v>5</v>
      </c>
      <c r="AL1764" s="60" t="s">
        <v>30</v>
      </c>
    </row>
    <row r="1765" spans="1:38" x14ac:dyDescent="0.2">
      <c r="A1765" s="1" t="s">
        <v>1899</v>
      </c>
      <c r="B1765" s="1" t="s">
        <v>2067</v>
      </c>
      <c r="C1765" s="1" t="s">
        <v>5728</v>
      </c>
      <c r="D1765" s="48">
        <v>60</v>
      </c>
      <c r="E1765" s="1">
        <v>3</v>
      </c>
      <c r="F1765" s="1" t="s">
        <v>1904</v>
      </c>
      <c r="G1765" s="1" t="s">
        <v>2068</v>
      </c>
      <c r="I1765" s="1" t="s">
        <v>94</v>
      </c>
      <c r="K1765" s="1" t="s">
        <v>2069</v>
      </c>
      <c r="O1765" s="55">
        <v>2</v>
      </c>
      <c r="Q1765" s="57">
        <v>2</v>
      </c>
      <c r="R1765" s="58">
        <v>1</v>
      </c>
      <c r="S1765" s="59">
        <v>3</v>
      </c>
      <c r="AL1765" s="60" t="s">
        <v>30</v>
      </c>
    </row>
    <row r="1766" spans="1:38" x14ac:dyDescent="0.2">
      <c r="A1766" s="1" t="s">
        <v>1899</v>
      </c>
      <c r="B1766" s="1" t="s">
        <v>2058</v>
      </c>
      <c r="C1766" s="1" t="s">
        <v>5728</v>
      </c>
      <c r="D1766" s="48">
        <v>61</v>
      </c>
      <c r="E1766" s="1">
        <v>2</v>
      </c>
      <c r="F1766" s="1" t="s">
        <v>1904</v>
      </c>
      <c r="G1766" s="1" t="s">
        <v>2059</v>
      </c>
      <c r="I1766" s="1" t="s">
        <v>94</v>
      </c>
      <c r="O1766" s="55">
        <v>2</v>
      </c>
      <c r="Q1766" s="57">
        <v>4</v>
      </c>
      <c r="R1766" s="58">
        <v>1</v>
      </c>
      <c r="S1766" s="59">
        <v>5</v>
      </c>
      <c r="AL1766" s="60" t="s">
        <v>30</v>
      </c>
    </row>
    <row r="1767" spans="1:38" x14ac:dyDescent="0.2">
      <c r="A1767" s="1" t="s">
        <v>1899</v>
      </c>
      <c r="B1767" s="1" t="s">
        <v>1912</v>
      </c>
      <c r="C1767" s="1" t="s">
        <v>5728</v>
      </c>
      <c r="D1767" s="48">
        <v>62</v>
      </c>
      <c r="E1767" s="1">
        <v>1</v>
      </c>
      <c r="F1767" s="1" t="s">
        <v>1904</v>
      </c>
      <c r="G1767" s="1" t="s">
        <v>1913</v>
      </c>
      <c r="I1767" s="1" t="s">
        <v>94</v>
      </c>
      <c r="L1767" s="2" t="s">
        <v>1914</v>
      </c>
      <c r="O1767" s="55">
        <v>1</v>
      </c>
      <c r="Q1767" s="57">
        <v>7</v>
      </c>
      <c r="R1767" s="58">
        <v>2</v>
      </c>
      <c r="S1767" s="59">
        <v>5</v>
      </c>
      <c r="AL1767" s="60" t="s">
        <v>30</v>
      </c>
    </row>
    <row r="1768" spans="1:38" x14ac:dyDescent="0.2">
      <c r="A1768" s="1" t="s">
        <v>1899</v>
      </c>
      <c r="B1768" s="1" t="s">
        <v>1969</v>
      </c>
      <c r="C1768" s="1" t="s">
        <v>5728</v>
      </c>
      <c r="D1768" s="48">
        <v>63</v>
      </c>
      <c r="E1768" s="1">
        <v>1</v>
      </c>
      <c r="F1768" s="1" t="s">
        <v>1904</v>
      </c>
      <c r="G1768" s="1" t="s">
        <v>1970</v>
      </c>
      <c r="H1768" s="1" t="s">
        <v>26</v>
      </c>
      <c r="I1768" s="1" t="s">
        <v>27</v>
      </c>
      <c r="J1768" s="1" t="s">
        <v>39</v>
      </c>
      <c r="K1768" s="1" t="s">
        <v>1971</v>
      </c>
      <c r="L1768" s="2" t="s">
        <v>1940</v>
      </c>
      <c r="P1768" s="56">
        <v>3</v>
      </c>
      <c r="Q1768" s="57">
        <v>4</v>
      </c>
      <c r="R1768" s="58">
        <v>2</v>
      </c>
      <c r="S1768" s="59">
        <v>6</v>
      </c>
      <c r="AL1768" s="60" t="s">
        <v>30</v>
      </c>
    </row>
    <row r="1769" spans="1:38" x14ac:dyDescent="0.2">
      <c r="A1769" s="1" t="s">
        <v>1899</v>
      </c>
      <c r="B1769" s="1" t="s">
        <v>2050</v>
      </c>
      <c r="C1769" s="1" t="s">
        <v>5728</v>
      </c>
      <c r="D1769" s="48">
        <v>64</v>
      </c>
      <c r="E1769" s="1">
        <v>1</v>
      </c>
      <c r="F1769" s="1" t="s">
        <v>1904</v>
      </c>
      <c r="G1769" s="1" t="s">
        <v>2051</v>
      </c>
      <c r="I1769" s="1" t="s">
        <v>104</v>
      </c>
      <c r="K1769" s="1" t="s">
        <v>105</v>
      </c>
      <c r="O1769" s="55">
        <v>2</v>
      </c>
      <c r="T1769" s="60">
        <v>2</v>
      </c>
      <c r="AL1769" s="60" t="s">
        <v>30</v>
      </c>
    </row>
    <row r="1770" spans="1:38" x14ac:dyDescent="0.2">
      <c r="A1770" s="1" t="s">
        <v>1899</v>
      </c>
      <c r="B1770" s="1" t="s">
        <v>1909</v>
      </c>
      <c r="C1770" s="1" t="s">
        <v>5728</v>
      </c>
      <c r="D1770" s="48">
        <v>65</v>
      </c>
      <c r="E1770" s="1">
        <v>1</v>
      </c>
      <c r="F1770" s="1" t="s">
        <v>1904</v>
      </c>
      <c r="G1770" s="1" t="s">
        <v>1910</v>
      </c>
      <c r="I1770" s="1" t="s">
        <v>104</v>
      </c>
      <c r="K1770" s="1" t="s">
        <v>1911</v>
      </c>
      <c r="O1770" s="55">
        <v>1</v>
      </c>
      <c r="T1770" s="60">
        <v>4</v>
      </c>
      <c r="U1770" s="1">
        <v>2</v>
      </c>
      <c r="AL1770" s="60" t="s">
        <v>30</v>
      </c>
    </row>
    <row r="1771" spans="1:38" x14ac:dyDescent="0.2">
      <c r="A1771" s="1" t="s">
        <v>1899</v>
      </c>
      <c r="B1771" s="1" t="s">
        <v>1929</v>
      </c>
      <c r="C1771" s="1" t="s">
        <v>5728</v>
      </c>
      <c r="D1771" s="48">
        <v>66</v>
      </c>
      <c r="E1771" s="1">
        <v>3</v>
      </c>
      <c r="F1771" s="1" t="s">
        <v>1904</v>
      </c>
      <c r="G1771" s="1" t="s">
        <v>1930</v>
      </c>
      <c r="I1771" s="1" t="s">
        <v>104</v>
      </c>
      <c r="K1771" s="1" t="s">
        <v>105</v>
      </c>
      <c r="O1771" s="55">
        <v>2</v>
      </c>
      <c r="T1771" s="60">
        <v>3</v>
      </c>
      <c r="AL1771" s="60" t="s">
        <v>30</v>
      </c>
    </row>
    <row r="1772" spans="1:38" x14ac:dyDescent="0.2">
      <c r="A1772" s="1" t="s">
        <v>1899</v>
      </c>
      <c r="B1772" s="1" t="s">
        <v>1931</v>
      </c>
      <c r="C1772" s="1" t="s">
        <v>5728</v>
      </c>
      <c r="D1772" s="48">
        <v>67</v>
      </c>
      <c r="E1772" s="1">
        <v>3</v>
      </c>
      <c r="F1772" s="1" t="s">
        <v>1904</v>
      </c>
      <c r="G1772" s="1" t="s">
        <v>1932</v>
      </c>
      <c r="I1772" s="1" t="s">
        <v>104</v>
      </c>
      <c r="O1772" s="55">
        <v>2</v>
      </c>
      <c r="T1772" s="60">
        <v>3</v>
      </c>
      <c r="AL1772" s="60" t="s">
        <v>30</v>
      </c>
    </row>
    <row r="1773" spans="1:38" x14ac:dyDescent="0.2">
      <c r="A1773" s="1" t="s">
        <v>1899</v>
      </c>
      <c r="B1773" s="1" t="s">
        <v>2048</v>
      </c>
      <c r="C1773" s="1" t="s">
        <v>5728</v>
      </c>
      <c r="D1773" s="48">
        <v>68</v>
      </c>
      <c r="E1773" s="1">
        <v>3</v>
      </c>
      <c r="F1773" s="1" t="s">
        <v>1904</v>
      </c>
      <c r="G1773" s="1" t="s">
        <v>2049</v>
      </c>
      <c r="I1773" s="1" t="s">
        <v>104</v>
      </c>
      <c r="O1773" s="55">
        <v>3</v>
      </c>
      <c r="T1773" s="60">
        <v>2</v>
      </c>
      <c r="U1773" s="1">
        <v>1</v>
      </c>
      <c r="AL1773" s="60" t="s">
        <v>30</v>
      </c>
    </row>
    <row r="1774" spans="1:38" x14ac:dyDescent="0.2">
      <c r="A1774" s="1" t="s">
        <v>1899</v>
      </c>
      <c r="B1774" s="1" t="s">
        <v>2034</v>
      </c>
      <c r="C1774" s="1" t="s">
        <v>5728</v>
      </c>
      <c r="D1774" s="48">
        <v>69</v>
      </c>
      <c r="E1774" s="1">
        <v>1</v>
      </c>
      <c r="F1774" s="1" t="s">
        <v>1904</v>
      </c>
      <c r="G1774" s="1" t="s">
        <v>2035</v>
      </c>
      <c r="I1774" s="1" t="s">
        <v>88</v>
      </c>
      <c r="K1774" s="1" t="s">
        <v>2036</v>
      </c>
      <c r="AL1774" s="60" t="s">
        <v>30</v>
      </c>
    </row>
    <row r="1775" spans="1:38" x14ac:dyDescent="0.2">
      <c r="A1775" s="1" t="s">
        <v>1899</v>
      </c>
      <c r="B1775" s="1" t="s">
        <v>2007</v>
      </c>
      <c r="C1775" s="1" t="s">
        <v>5728</v>
      </c>
      <c r="D1775" s="48">
        <v>70</v>
      </c>
      <c r="E1775" s="1">
        <v>1</v>
      </c>
      <c r="F1775" s="1" t="s">
        <v>1904</v>
      </c>
      <c r="G1775" s="1" t="s">
        <v>2008</v>
      </c>
      <c r="I1775" s="1" t="s">
        <v>88</v>
      </c>
      <c r="K1775" s="1" t="s">
        <v>2009</v>
      </c>
      <c r="L1775" s="2" t="s">
        <v>2010</v>
      </c>
      <c r="AL1775" s="60" t="s">
        <v>30</v>
      </c>
    </row>
    <row r="1776" spans="1:38" x14ac:dyDescent="0.2">
      <c r="A1776" s="1" t="s">
        <v>1899</v>
      </c>
      <c r="B1776" s="1" t="s">
        <v>1928</v>
      </c>
      <c r="C1776" s="1" t="s">
        <v>5728</v>
      </c>
      <c r="D1776" s="48">
        <v>71</v>
      </c>
      <c r="E1776" s="1">
        <v>1</v>
      </c>
      <c r="F1776" s="1" t="s">
        <v>1904</v>
      </c>
      <c r="G1776" s="1" t="s">
        <v>9728</v>
      </c>
      <c r="I1776" s="1" t="s">
        <v>125</v>
      </c>
      <c r="M1776" s="18">
        <v>1</v>
      </c>
      <c r="N1776" s="54" t="s">
        <v>9529</v>
      </c>
      <c r="Y1776" s="1" t="s">
        <v>9728</v>
      </c>
      <c r="AA1776" s="1" t="s">
        <v>125</v>
      </c>
      <c r="AE1776" s="1">
        <v>1</v>
      </c>
      <c r="AF1776" s="54" t="s">
        <v>9530</v>
      </c>
      <c r="AL1776" s="60" t="s">
        <v>166</v>
      </c>
    </row>
    <row r="1777" spans="1:40" x14ac:dyDescent="0.2">
      <c r="A1777" s="1" t="s">
        <v>1899</v>
      </c>
      <c r="B1777" s="1" t="s">
        <v>2026</v>
      </c>
      <c r="C1777" s="1" t="s">
        <v>5728</v>
      </c>
      <c r="D1777" s="48">
        <v>72</v>
      </c>
      <c r="E1777" s="1">
        <v>1</v>
      </c>
      <c r="F1777" s="1" t="s">
        <v>1904</v>
      </c>
      <c r="G1777" s="1" t="s">
        <v>9730</v>
      </c>
      <c r="I1777" s="1" t="s">
        <v>125</v>
      </c>
      <c r="M1777" s="18">
        <v>2</v>
      </c>
      <c r="N1777" s="54" t="s">
        <v>9529</v>
      </c>
      <c r="Y1777" s="1" t="s">
        <v>9730</v>
      </c>
      <c r="AA1777" s="1" t="s">
        <v>125</v>
      </c>
      <c r="AE1777" s="1">
        <v>2</v>
      </c>
      <c r="AF1777" s="54" t="s">
        <v>9530</v>
      </c>
      <c r="AL1777" s="60" t="s">
        <v>341</v>
      </c>
    </row>
    <row r="1778" spans="1:40" x14ac:dyDescent="0.2">
      <c r="A1778" s="1" t="s">
        <v>1899</v>
      </c>
      <c r="B1778" s="1" t="s">
        <v>2057</v>
      </c>
      <c r="C1778" s="1" t="s">
        <v>5728</v>
      </c>
      <c r="D1778" s="48">
        <v>73</v>
      </c>
      <c r="E1778" s="1">
        <v>1</v>
      </c>
      <c r="F1778" s="1" t="s">
        <v>1904</v>
      </c>
      <c r="G1778" s="1" t="s">
        <v>9733</v>
      </c>
      <c r="I1778" s="1" t="s">
        <v>125</v>
      </c>
      <c r="M1778" s="18">
        <v>3</v>
      </c>
      <c r="N1778" s="54" t="s">
        <v>9529</v>
      </c>
      <c r="Y1778" s="1" t="s">
        <v>9733</v>
      </c>
      <c r="AA1778" s="1" t="s">
        <v>125</v>
      </c>
      <c r="AE1778" s="1">
        <v>3</v>
      </c>
      <c r="AF1778" s="54" t="s">
        <v>9530</v>
      </c>
      <c r="AL1778" s="60" t="s">
        <v>166</v>
      </c>
    </row>
    <row r="1779" spans="1:40" x14ac:dyDescent="0.2">
      <c r="A1779" s="1" t="s">
        <v>1899</v>
      </c>
      <c r="B1779" s="1" t="s">
        <v>2029</v>
      </c>
      <c r="C1779" s="1" t="s">
        <v>5728</v>
      </c>
      <c r="D1779" s="48">
        <v>74</v>
      </c>
      <c r="E1779" s="1">
        <v>1</v>
      </c>
      <c r="F1779" s="1" t="s">
        <v>1904</v>
      </c>
      <c r="G1779" s="1" t="s">
        <v>9734</v>
      </c>
      <c r="I1779" s="1" t="s">
        <v>125</v>
      </c>
      <c r="M1779" s="18">
        <v>3</v>
      </c>
      <c r="N1779" s="54" t="s">
        <v>9529</v>
      </c>
      <c r="Y1779" s="1" t="s">
        <v>9734</v>
      </c>
      <c r="AA1779" s="1" t="s">
        <v>125</v>
      </c>
      <c r="AE1779" s="1">
        <v>3</v>
      </c>
      <c r="AF1779" s="54" t="s">
        <v>9530</v>
      </c>
      <c r="AL1779" s="60" t="s">
        <v>32</v>
      </c>
    </row>
    <row r="1780" spans="1:40" x14ac:dyDescent="0.2">
      <c r="A1780" s="1" t="s">
        <v>1899</v>
      </c>
      <c r="B1780" s="1" t="s">
        <v>1927</v>
      </c>
      <c r="C1780" s="1" t="s">
        <v>5728</v>
      </c>
      <c r="D1780" s="48">
        <v>75</v>
      </c>
      <c r="E1780" s="1">
        <v>1</v>
      </c>
      <c r="F1780" s="1" t="s">
        <v>1904</v>
      </c>
      <c r="G1780" s="1" t="s">
        <v>9735</v>
      </c>
      <c r="I1780" s="1" t="s">
        <v>125</v>
      </c>
      <c r="M1780" s="18">
        <v>3</v>
      </c>
      <c r="N1780" s="54" t="s">
        <v>9529</v>
      </c>
      <c r="Y1780" s="1" t="s">
        <v>9735</v>
      </c>
      <c r="AA1780" s="1" t="s">
        <v>125</v>
      </c>
      <c r="AE1780" s="1">
        <v>3</v>
      </c>
      <c r="AF1780" s="54" t="s">
        <v>9530</v>
      </c>
      <c r="AL1780" s="60" t="s">
        <v>31</v>
      </c>
    </row>
    <row r="1781" spans="1:40" x14ac:dyDescent="0.2">
      <c r="A1781" s="1" t="s">
        <v>1899</v>
      </c>
      <c r="B1781" s="1" t="s">
        <v>1992</v>
      </c>
      <c r="C1781" s="1" t="s">
        <v>5728</v>
      </c>
      <c r="D1781" s="48">
        <v>76</v>
      </c>
      <c r="E1781" s="1">
        <v>1</v>
      </c>
      <c r="F1781" s="1" t="s">
        <v>1904</v>
      </c>
      <c r="G1781" s="1" t="s">
        <v>9739</v>
      </c>
      <c r="I1781" s="1" t="s">
        <v>125</v>
      </c>
      <c r="M1781" s="18">
        <v>4</v>
      </c>
      <c r="N1781" s="54" t="s">
        <v>9529</v>
      </c>
      <c r="Y1781" s="1" t="s">
        <v>9739</v>
      </c>
      <c r="AA1781" s="1" t="s">
        <v>125</v>
      </c>
      <c r="AE1781" s="1">
        <v>4</v>
      </c>
      <c r="AF1781" s="54" t="s">
        <v>9530</v>
      </c>
      <c r="AL1781" s="60" t="s">
        <v>46</v>
      </c>
    </row>
    <row r="1782" spans="1:40" x14ac:dyDescent="0.2">
      <c r="A1782" s="1" t="s">
        <v>1899</v>
      </c>
      <c r="B1782" s="1" t="s">
        <v>1944</v>
      </c>
      <c r="C1782" s="1" t="s">
        <v>5728</v>
      </c>
      <c r="D1782" s="48">
        <v>77</v>
      </c>
      <c r="E1782" s="1">
        <v>1</v>
      </c>
      <c r="F1782" s="1" t="s">
        <v>1904</v>
      </c>
      <c r="G1782" s="1" t="s">
        <v>9740</v>
      </c>
      <c r="I1782" s="1" t="s">
        <v>125</v>
      </c>
      <c r="M1782" s="18">
        <v>5</v>
      </c>
      <c r="N1782" s="54" t="s">
        <v>9529</v>
      </c>
      <c r="Y1782" s="1" t="s">
        <v>9740</v>
      </c>
      <c r="AA1782" s="1" t="s">
        <v>125</v>
      </c>
      <c r="AE1782" s="1">
        <v>5</v>
      </c>
      <c r="AF1782" s="54" t="s">
        <v>9530</v>
      </c>
      <c r="AL1782" s="60" t="s">
        <v>67</v>
      </c>
    </row>
    <row r="1783" spans="1:40" x14ac:dyDescent="0.2">
      <c r="A1783" s="1" t="s">
        <v>1899</v>
      </c>
      <c r="B1783" s="1" t="s">
        <v>2030</v>
      </c>
      <c r="C1783" s="1" t="s">
        <v>5728</v>
      </c>
      <c r="D1783" s="48">
        <v>78</v>
      </c>
      <c r="E1783" s="1">
        <v>1</v>
      </c>
      <c r="F1783" s="1" t="s">
        <v>1904</v>
      </c>
      <c r="G1783" s="1" t="s">
        <v>1797</v>
      </c>
      <c r="I1783" s="1" t="s">
        <v>3482</v>
      </c>
      <c r="AL1783" s="60" t="s">
        <v>30</v>
      </c>
    </row>
    <row r="1784" spans="1:40" x14ac:dyDescent="0.2">
      <c r="A1784" s="1" t="s">
        <v>1899</v>
      </c>
      <c r="B1784" s="1" t="s">
        <v>1967</v>
      </c>
      <c r="C1784" s="1" t="s">
        <v>5728</v>
      </c>
      <c r="D1784" s="48">
        <v>79</v>
      </c>
      <c r="E1784" s="1">
        <v>2</v>
      </c>
      <c r="F1784" s="1" t="s">
        <v>1904</v>
      </c>
      <c r="G1784" s="1" t="s">
        <v>1968</v>
      </c>
      <c r="I1784" s="1" t="s">
        <v>82</v>
      </c>
      <c r="AL1784" s="60" t="s">
        <v>30</v>
      </c>
    </row>
    <row r="1785" spans="1:40" x14ac:dyDescent="0.2">
      <c r="A1785" s="1" t="s">
        <v>1899</v>
      </c>
      <c r="B1785" s="1" t="s">
        <v>2055</v>
      </c>
      <c r="C1785" s="1" t="s">
        <v>5728</v>
      </c>
      <c r="D1785" s="48">
        <v>80</v>
      </c>
      <c r="E1785" s="1">
        <v>2</v>
      </c>
      <c r="F1785" s="1" t="s">
        <v>1904</v>
      </c>
      <c r="G1785" s="1" t="s">
        <v>2056</v>
      </c>
      <c r="I1785" s="1" t="s">
        <v>82</v>
      </c>
      <c r="AL1785" s="60" t="s">
        <v>30</v>
      </c>
    </row>
    <row r="1786" spans="1:40" x14ac:dyDescent="0.2">
      <c r="A1786" s="1" t="s">
        <v>1899</v>
      </c>
      <c r="B1786" s="1" t="s">
        <v>1993</v>
      </c>
      <c r="C1786" s="1" t="s">
        <v>5728</v>
      </c>
      <c r="D1786" s="48">
        <v>81</v>
      </c>
      <c r="E1786" s="1">
        <v>2</v>
      </c>
      <c r="F1786" s="1" t="s">
        <v>1904</v>
      </c>
      <c r="G1786" s="1" t="s">
        <v>1994</v>
      </c>
      <c r="I1786" s="1" t="s">
        <v>82</v>
      </c>
      <c r="AL1786" s="60" t="s">
        <v>30</v>
      </c>
    </row>
    <row r="1787" spans="1:40" x14ac:dyDescent="0.2">
      <c r="A1787" s="1" t="s">
        <v>1899</v>
      </c>
      <c r="B1787" s="1" t="s">
        <v>2072</v>
      </c>
      <c r="C1787" s="1" t="s">
        <v>5728</v>
      </c>
      <c r="D1787" s="48">
        <v>82</v>
      </c>
      <c r="E1787" s="1">
        <v>2</v>
      </c>
      <c r="F1787" s="1" t="s">
        <v>1904</v>
      </c>
      <c r="G1787" s="1" t="s">
        <v>2073</v>
      </c>
      <c r="I1787" s="1" t="s">
        <v>82</v>
      </c>
      <c r="AL1787" s="60" t="s">
        <v>30</v>
      </c>
    </row>
    <row r="1788" spans="1:40" x14ac:dyDescent="0.2">
      <c r="A1788" s="1" t="s">
        <v>1899</v>
      </c>
      <c r="B1788" s="1" t="s">
        <v>2018</v>
      </c>
      <c r="C1788" s="1" t="s">
        <v>5728</v>
      </c>
      <c r="D1788" s="48">
        <v>83</v>
      </c>
      <c r="E1788" s="1">
        <v>2</v>
      </c>
      <c r="F1788" s="1" t="s">
        <v>1904</v>
      </c>
      <c r="G1788" s="1" t="s">
        <v>2019</v>
      </c>
      <c r="I1788" s="1" t="s">
        <v>82</v>
      </c>
      <c r="AL1788" s="60" t="s">
        <v>30</v>
      </c>
    </row>
    <row r="1789" spans="1:40" x14ac:dyDescent="0.2">
      <c r="A1789" s="1" t="s">
        <v>1899</v>
      </c>
      <c r="B1789" s="1" t="s">
        <v>2089</v>
      </c>
      <c r="C1789" s="1" t="s">
        <v>5728</v>
      </c>
      <c r="D1789" s="48">
        <v>84</v>
      </c>
      <c r="E1789" s="1">
        <v>2</v>
      </c>
      <c r="F1789" s="1" t="s">
        <v>1904</v>
      </c>
      <c r="G1789" s="1" t="s">
        <v>2090</v>
      </c>
      <c r="I1789" s="1" t="s">
        <v>82</v>
      </c>
      <c r="AL1789" s="60" t="s">
        <v>30</v>
      </c>
    </row>
    <row r="1790" spans="1:40" ht="48" x14ac:dyDescent="0.2">
      <c r="A1790" s="115" t="s">
        <v>1668</v>
      </c>
      <c r="B1790" s="115" t="s">
        <v>1716</v>
      </c>
      <c r="C1790" s="115" t="s">
        <v>5729</v>
      </c>
      <c r="D1790" s="116">
        <v>1</v>
      </c>
      <c r="E1790" s="115">
        <v>1</v>
      </c>
      <c r="F1790" s="115" t="s">
        <v>1718</v>
      </c>
      <c r="G1790" s="115" t="s">
        <v>9579</v>
      </c>
      <c r="I1790" s="1" t="s">
        <v>125</v>
      </c>
      <c r="M1790" s="18">
        <v>1</v>
      </c>
      <c r="N1790" s="54" t="s">
        <v>9529</v>
      </c>
      <c r="V1790" s="4" t="s">
        <v>1717</v>
      </c>
      <c r="X1790" s="1" t="s">
        <v>1719</v>
      </c>
      <c r="Y1790" s="1" t="s">
        <v>9579</v>
      </c>
      <c r="AA1790" s="1" t="s">
        <v>125</v>
      </c>
      <c r="AE1790" s="1">
        <v>1</v>
      </c>
      <c r="AF1790" s="54" t="s">
        <v>9530</v>
      </c>
      <c r="AL1790" s="60" t="s">
        <v>275</v>
      </c>
      <c r="AN1790" s="4" t="s">
        <v>1720</v>
      </c>
    </row>
    <row r="1791" spans="1:40" ht="36" x14ac:dyDescent="0.2">
      <c r="A1791" s="1" t="s">
        <v>1668</v>
      </c>
      <c r="B1791" s="1" t="s">
        <v>1721</v>
      </c>
      <c r="C1791" s="1" t="s">
        <v>5729</v>
      </c>
      <c r="D1791" s="48">
        <v>2</v>
      </c>
      <c r="E1791" s="1">
        <v>1</v>
      </c>
      <c r="F1791" s="1" t="s">
        <v>1718</v>
      </c>
      <c r="G1791" s="1" t="s">
        <v>9636</v>
      </c>
      <c r="I1791" s="1" t="s">
        <v>125</v>
      </c>
      <c r="M1791" s="18">
        <v>2</v>
      </c>
      <c r="N1791" s="54" t="s">
        <v>9529</v>
      </c>
      <c r="Y1791" s="1" t="s">
        <v>9636</v>
      </c>
      <c r="AA1791" s="1" t="s">
        <v>125</v>
      </c>
      <c r="AE1791" s="1">
        <v>2</v>
      </c>
      <c r="AF1791" s="54" t="s">
        <v>9530</v>
      </c>
      <c r="AL1791" s="60" t="s">
        <v>275</v>
      </c>
      <c r="AN1791" s="4" t="s">
        <v>1722</v>
      </c>
    </row>
    <row r="1792" spans="1:40" ht="48" x14ac:dyDescent="0.2">
      <c r="A1792" s="1" t="s">
        <v>1668</v>
      </c>
      <c r="B1792" s="1" t="s">
        <v>1723</v>
      </c>
      <c r="C1792" s="1" t="s">
        <v>5729</v>
      </c>
      <c r="D1792" s="48">
        <v>3</v>
      </c>
      <c r="E1792" s="1">
        <v>1</v>
      </c>
      <c r="F1792" s="1" t="s">
        <v>1718</v>
      </c>
      <c r="G1792" s="1" t="s">
        <v>9696</v>
      </c>
      <c r="I1792" s="1" t="s">
        <v>125</v>
      </c>
      <c r="M1792" s="18">
        <v>3</v>
      </c>
      <c r="N1792" s="54" t="s">
        <v>9529</v>
      </c>
      <c r="Y1792" s="1" t="s">
        <v>9696</v>
      </c>
      <c r="AA1792" s="1" t="s">
        <v>125</v>
      </c>
      <c r="AE1792" s="1">
        <v>3</v>
      </c>
      <c r="AF1792" s="54" t="s">
        <v>9530</v>
      </c>
      <c r="AL1792" s="60" t="s">
        <v>5621</v>
      </c>
      <c r="AN1792" s="4" t="s">
        <v>1724</v>
      </c>
    </row>
    <row r="1793" spans="1:40" ht="36" x14ac:dyDescent="0.2">
      <c r="A1793" s="1" t="s">
        <v>1668</v>
      </c>
      <c r="B1793" s="1" t="s">
        <v>1725</v>
      </c>
      <c r="C1793" s="1" t="s">
        <v>5729</v>
      </c>
      <c r="D1793" s="48">
        <v>4</v>
      </c>
      <c r="E1793" s="1">
        <v>1</v>
      </c>
      <c r="F1793" s="1" t="s">
        <v>1718</v>
      </c>
      <c r="G1793" s="1" t="s">
        <v>9715</v>
      </c>
      <c r="I1793" s="1" t="s">
        <v>125</v>
      </c>
      <c r="M1793" s="18">
        <v>4</v>
      </c>
      <c r="N1793" s="54" t="s">
        <v>9529</v>
      </c>
      <c r="Y1793" s="1" t="s">
        <v>9715</v>
      </c>
      <c r="AA1793" s="1" t="s">
        <v>125</v>
      </c>
      <c r="AE1793" s="1">
        <v>4</v>
      </c>
      <c r="AF1793" s="54" t="s">
        <v>9530</v>
      </c>
      <c r="AL1793" s="60" t="s">
        <v>275</v>
      </c>
      <c r="AN1793" s="4" t="s">
        <v>1726</v>
      </c>
    </row>
    <row r="1794" spans="1:40" ht="48" x14ac:dyDescent="0.2">
      <c r="A1794" s="1" t="s">
        <v>1668</v>
      </c>
      <c r="B1794" s="1" t="s">
        <v>1727</v>
      </c>
      <c r="C1794" s="1" t="s">
        <v>5729</v>
      </c>
      <c r="D1794" s="48">
        <v>5</v>
      </c>
      <c r="E1794" s="1">
        <v>1</v>
      </c>
      <c r="F1794" s="1" t="s">
        <v>1718</v>
      </c>
      <c r="G1794" s="1" t="s">
        <v>9723</v>
      </c>
      <c r="I1794" s="1" t="s">
        <v>125</v>
      </c>
      <c r="M1794" s="18">
        <v>5</v>
      </c>
      <c r="N1794" s="54" t="s">
        <v>9529</v>
      </c>
      <c r="Y1794" s="1" t="s">
        <v>9723</v>
      </c>
      <c r="AA1794" s="1" t="s">
        <v>125</v>
      </c>
      <c r="AE1794" s="1">
        <v>5</v>
      </c>
      <c r="AF1794" s="54" t="s">
        <v>9530</v>
      </c>
      <c r="AL1794" s="60" t="s">
        <v>337</v>
      </c>
      <c r="AN1794" s="4" t="s">
        <v>1728</v>
      </c>
    </row>
    <row r="1795" spans="1:40" ht="36" x14ac:dyDescent="0.2">
      <c r="A1795" s="1" t="s">
        <v>1668</v>
      </c>
      <c r="B1795" s="1" t="s">
        <v>1729</v>
      </c>
      <c r="C1795" s="1" t="s">
        <v>5729</v>
      </c>
      <c r="D1795" s="48">
        <v>6</v>
      </c>
      <c r="E1795" s="1">
        <v>1</v>
      </c>
      <c r="F1795" s="1" t="s">
        <v>1718</v>
      </c>
      <c r="G1795" s="1" t="s">
        <v>9724</v>
      </c>
      <c r="I1795" s="1" t="s">
        <v>125</v>
      </c>
      <c r="M1795" s="18">
        <v>6</v>
      </c>
      <c r="N1795" s="54" t="s">
        <v>9529</v>
      </c>
      <c r="Y1795" s="1" t="s">
        <v>9724</v>
      </c>
      <c r="AA1795" s="1" t="s">
        <v>125</v>
      </c>
      <c r="AE1795" s="1">
        <v>6</v>
      </c>
      <c r="AF1795" s="54" t="s">
        <v>9530</v>
      </c>
      <c r="AL1795" s="60" t="s">
        <v>341</v>
      </c>
      <c r="AN1795" s="4" t="s">
        <v>1730</v>
      </c>
    </row>
    <row r="1796" spans="1:40" ht="24" x14ac:dyDescent="0.2">
      <c r="A1796" s="1" t="s">
        <v>1668</v>
      </c>
      <c r="B1796" s="1" t="s">
        <v>1731</v>
      </c>
      <c r="C1796" s="1" t="s">
        <v>5729</v>
      </c>
      <c r="D1796" s="48">
        <v>7</v>
      </c>
      <c r="E1796" s="1">
        <v>1</v>
      </c>
      <c r="F1796" s="1" t="s">
        <v>1718</v>
      </c>
      <c r="G1796" s="1" t="s">
        <v>9725</v>
      </c>
      <c r="I1796" s="1" t="s">
        <v>125</v>
      </c>
      <c r="M1796" s="18">
        <v>7</v>
      </c>
      <c r="N1796" s="54" t="s">
        <v>9529</v>
      </c>
      <c r="Y1796" s="1" t="s">
        <v>9725</v>
      </c>
      <c r="AA1796" s="1" t="s">
        <v>125</v>
      </c>
      <c r="AE1796" s="1">
        <v>7</v>
      </c>
      <c r="AF1796" s="54" t="s">
        <v>9530</v>
      </c>
      <c r="AL1796" s="60" t="s">
        <v>341</v>
      </c>
      <c r="AN1796" s="4" t="s">
        <v>1732</v>
      </c>
    </row>
    <row r="1797" spans="1:40" ht="24" x14ac:dyDescent="0.2">
      <c r="A1797" s="1" t="s">
        <v>1668</v>
      </c>
      <c r="B1797" s="1" t="s">
        <v>1687</v>
      </c>
      <c r="C1797" s="1" t="s">
        <v>5729</v>
      </c>
      <c r="D1797" s="48">
        <v>8</v>
      </c>
      <c r="E1797" s="1">
        <v>1</v>
      </c>
      <c r="F1797" s="1" t="s">
        <v>1689</v>
      </c>
      <c r="G1797" s="1" t="s">
        <v>9580</v>
      </c>
      <c r="I1797" s="1" t="s">
        <v>125</v>
      </c>
      <c r="M1797" s="18">
        <v>1</v>
      </c>
      <c r="N1797" s="54" t="s">
        <v>9529</v>
      </c>
      <c r="V1797" s="4" t="s">
        <v>1688</v>
      </c>
      <c r="X1797" s="1" t="s">
        <v>1690</v>
      </c>
      <c r="Y1797" s="1" t="s">
        <v>9580</v>
      </c>
      <c r="AA1797" s="1" t="s">
        <v>125</v>
      </c>
      <c r="AE1797" s="1">
        <v>1</v>
      </c>
      <c r="AF1797" s="54" t="s">
        <v>9530</v>
      </c>
      <c r="AL1797" s="60" t="s">
        <v>346</v>
      </c>
      <c r="AN1797" s="4" t="s">
        <v>1691</v>
      </c>
    </row>
    <row r="1798" spans="1:40" ht="24" x14ac:dyDescent="0.2">
      <c r="A1798" s="1" t="s">
        <v>1668</v>
      </c>
      <c r="B1798" s="1" t="s">
        <v>1692</v>
      </c>
      <c r="C1798" s="1" t="s">
        <v>5729</v>
      </c>
      <c r="D1798" s="48">
        <v>9</v>
      </c>
      <c r="E1798" s="1">
        <v>1</v>
      </c>
      <c r="F1798" s="1" t="s">
        <v>1689</v>
      </c>
      <c r="G1798" s="1" t="s">
        <v>9637</v>
      </c>
      <c r="I1798" s="1" t="s">
        <v>125</v>
      </c>
      <c r="M1798" s="18">
        <v>2</v>
      </c>
      <c r="N1798" s="54" t="s">
        <v>9529</v>
      </c>
      <c r="V1798" s="4" t="s">
        <v>1693</v>
      </c>
      <c r="Y1798" s="1" t="s">
        <v>9637</v>
      </c>
      <c r="AA1798" s="1" t="s">
        <v>125</v>
      </c>
      <c r="AE1798" s="1">
        <v>2</v>
      </c>
      <c r="AF1798" s="54" t="s">
        <v>9530</v>
      </c>
      <c r="AL1798" s="60" t="s">
        <v>341</v>
      </c>
      <c r="AN1798" s="4" t="s">
        <v>1694</v>
      </c>
    </row>
    <row r="1799" spans="1:40" ht="36" x14ac:dyDescent="0.2">
      <c r="A1799" s="1" t="s">
        <v>1668</v>
      </c>
      <c r="B1799" s="1" t="s">
        <v>1695</v>
      </c>
      <c r="C1799" s="1" t="s">
        <v>5729</v>
      </c>
      <c r="D1799" s="48">
        <v>10</v>
      </c>
      <c r="E1799" s="1">
        <v>1</v>
      </c>
      <c r="F1799" s="1" t="s">
        <v>1689</v>
      </c>
      <c r="G1799" s="1" t="s">
        <v>9697</v>
      </c>
      <c r="I1799" s="1" t="s">
        <v>125</v>
      </c>
      <c r="M1799" s="18">
        <v>3</v>
      </c>
      <c r="N1799" s="54" t="s">
        <v>9529</v>
      </c>
      <c r="V1799" s="4" t="s">
        <v>1696</v>
      </c>
      <c r="Y1799" s="1" t="s">
        <v>9697</v>
      </c>
      <c r="AA1799" s="1" t="s">
        <v>125</v>
      </c>
      <c r="AE1799" s="1">
        <v>3</v>
      </c>
      <c r="AF1799" s="54" t="s">
        <v>9530</v>
      </c>
      <c r="AL1799" s="60" t="s">
        <v>166</v>
      </c>
      <c r="AN1799" s="4" t="s">
        <v>1697</v>
      </c>
    </row>
    <row r="1800" spans="1:40" ht="24" x14ac:dyDescent="0.2">
      <c r="A1800" s="1" t="s">
        <v>1668</v>
      </c>
      <c r="B1800" s="1" t="s">
        <v>1698</v>
      </c>
      <c r="C1800" s="1" t="s">
        <v>5729</v>
      </c>
      <c r="D1800" s="48">
        <v>11</v>
      </c>
      <c r="E1800" s="1">
        <v>1</v>
      </c>
      <c r="F1800" s="1" t="s">
        <v>1700</v>
      </c>
      <c r="G1800" s="1" t="s">
        <v>3021</v>
      </c>
      <c r="I1800" s="1" t="s">
        <v>125</v>
      </c>
      <c r="M1800" s="18">
        <v>1</v>
      </c>
      <c r="N1800" s="54" t="s">
        <v>9529</v>
      </c>
      <c r="V1800" s="4" t="s">
        <v>1699</v>
      </c>
      <c r="Y1800" s="1" t="s">
        <v>3021</v>
      </c>
      <c r="AA1800" s="1" t="s">
        <v>125</v>
      </c>
      <c r="AE1800" s="1">
        <v>1</v>
      </c>
      <c r="AF1800" s="54" t="s">
        <v>9530</v>
      </c>
      <c r="AL1800" s="60" t="s">
        <v>337</v>
      </c>
      <c r="AN1800" s="4" t="s">
        <v>1701</v>
      </c>
    </row>
    <row r="1801" spans="1:40" ht="36" x14ac:dyDescent="0.2">
      <c r="A1801" s="1" t="s">
        <v>1668</v>
      </c>
      <c r="B1801" s="1" t="s">
        <v>1702</v>
      </c>
      <c r="C1801" s="1" t="s">
        <v>5729</v>
      </c>
      <c r="D1801" s="48">
        <v>12</v>
      </c>
      <c r="E1801" s="1">
        <v>1</v>
      </c>
      <c r="F1801" s="1" t="s">
        <v>1700</v>
      </c>
      <c r="G1801" s="1" t="s">
        <v>9638</v>
      </c>
      <c r="I1801" s="1" t="s">
        <v>125</v>
      </c>
      <c r="M1801" s="18">
        <v>2</v>
      </c>
      <c r="N1801" s="54" t="s">
        <v>9529</v>
      </c>
      <c r="Y1801" s="1" t="s">
        <v>9638</v>
      </c>
      <c r="AA1801" s="1" t="s">
        <v>125</v>
      </c>
      <c r="AE1801" s="1">
        <v>2</v>
      </c>
      <c r="AF1801" s="54" t="s">
        <v>9530</v>
      </c>
      <c r="AL1801" s="60" t="s">
        <v>46</v>
      </c>
      <c r="AN1801" s="4" t="s">
        <v>1703</v>
      </c>
    </row>
    <row r="1802" spans="1:40" ht="48" x14ac:dyDescent="0.2">
      <c r="A1802" s="1" t="s">
        <v>1668</v>
      </c>
      <c r="B1802" s="1" t="s">
        <v>1704</v>
      </c>
      <c r="C1802" s="1" t="s">
        <v>5729</v>
      </c>
      <c r="D1802" s="48">
        <v>13</v>
      </c>
      <c r="E1802" s="1">
        <v>1</v>
      </c>
      <c r="F1802" s="1" t="s">
        <v>1700</v>
      </c>
      <c r="G1802" s="1" t="s">
        <v>9698</v>
      </c>
      <c r="I1802" s="1" t="s">
        <v>125</v>
      </c>
      <c r="M1802" s="18">
        <v>3</v>
      </c>
      <c r="N1802" s="54" t="s">
        <v>9529</v>
      </c>
      <c r="V1802" s="4" t="s">
        <v>1699</v>
      </c>
      <c r="Y1802" s="1" t="s">
        <v>9698</v>
      </c>
      <c r="AA1802" s="1" t="s">
        <v>125</v>
      </c>
      <c r="AE1802" s="1">
        <v>3</v>
      </c>
      <c r="AF1802" s="54" t="s">
        <v>9530</v>
      </c>
      <c r="AL1802" s="60" t="s">
        <v>275</v>
      </c>
      <c r="AN1802" s="4" t="s">
        <v>1705</v>
      </c>
    </row>
    <row r="1803" spans="1:40" ht="36" x14ac:dyDescent="0.2">
      <c r="A1803" s="1" t="s">
        <v>1668</v>
      </c>
      <c r="B1803" s="1" t="s">
        <v>1678</v>
      </c>
      <c r="C1803" s="1" t="s">
        <v>5729</v>
      </c>
      <c r="D1803" s="48">
        <v>14</v>
      </c>
      <c r="E1803" s="1">
        <v>1</v>
      </c>
      <c r="F1803" s="1" t="s">
        <v>1680</v>
      </c>
      <c r="G1803" s="1" t="s">
        <v>9581</v>
      </c>
      <c r="I1803" s="1" t="s">
        <v>125</v>
      </c>
      <c r="M1803" s="18">
        <v>1</v>
      </c>
      <c r="N1803" s="54" t="s">
        <v>9529</v>
      </c>
      <c r="V1803" s="4" t="s">
        <v>1679</v>
      </c>
      <c r="X1803" s="1" t="s">
        <v>1681</v>
      </c>
      <c r="Y1803" s="1" t="s">
        <v>9581</v>
      </c>
      <c r="AA1803" s="1" t="s">
        <v>125</v>
      </c>
      <c r="AE1803" s="1">
        <v>1</v>
      </c>
      <c r="AF1803" s="54" t="s">
        <v>9530</v>
      </c>
      <c r="AL1803" s="60" t="s">
        <v>34</v>
      </c>
      <c r="AN1803" s="4" t="s">
        <v>1682</v>
      </c>
    </row>
    <row r="1804" spans="1:40" ht="24" x14ac:dyDescent="0.2">
      <c r="A1804" s="1" t="s">
        <v>1668</v>
      </c>
      <c r="B1804" s="1" t="s">
        <v>1683</v>
      </c>
      <c r="C1804" s="1" t="s">
        <v>5729</v>
      </c>
      <c r="D1804" s="48">
        <v>15</v>
      </c>
      <c r="E1804" s="1">
        <v>1</v>
      </c>
      <c r="F1804" s="1" t="s">
        <v>1680</v>
      </c>
      <c r="G1804" s="1" t="s">
        <v>9639</v>
      </c>
      <c r="I1804" s="1" t="s">
        <v>125</v>
      </c>
      <c r="M1804" s="18">
        <v>2</v>
      </c>
      <c r="N1804" s="54" t="s">
        <v>9529</v>
      </c>
      <c r="Y1804" s="1" t="s">
        <v>9639</v>
      </c>
      <c r="AA1804" s="1" t="s">
        <v>125</v>
      </c>
      <c r="AE1804" s="1">
        <v>2</v>
      </c>
      <c r="AF1804" s="54" t="s">
        <v>9530</v>
      </c>
      <c r="AL1804" s="60" t="s">
        <v>32</v>
      </c>
      <c r="AN1804" s="4" t="s">
        <v>1684</v>
      </c>
    </row>
    <row r="1805" spans="1:40" ht="24" x14ac:dyDescent="0.2">
      <c r="A1805" s="1" t="s">
        <v>1668</v>
      </c>
      <c r="B1805" s="1" t="s">
        <v>1685</v>
      </c>
      <c r="C1805" s="1" t="s">
        <v>5729</v>
      </c>
      <c r="D1805" s="48">
        <v>16</v>
      </c>
      <c r="E1805" s="1">
        <v>1</v>
      </c>
      <c r="F1805" s="1" t="s">
        <v>1680</v>
      </c>
      <c r="G1805" s="1" t="s">
        <v>9699</v>
      </c>
      <c r="I1805" s="1" t="s">
        <v>125</v>
      </c>
      <c r="M1805" s="18">
        <v>3</v>
      </c>
      <c r="N1805" s="54" t="s">
        <v>9529</v>
      </c>
      <c r="Y1805" s="1" t="s">
        <v>9699</v>
      </c>
      <c r="AA1805" s="1" t="s">
        <v>125</v>
      </c>
      <c r="AE1805" s="1">
        <v>3</v>
      </c>
      <c r="AF1805" s="54" t="s">
        <v>9530</v>
      </c>
      <c r="AL1805" s="60" t="s">
        <v>34</v>
      </c>
      <c r="AN1805" s="4" t="s">
        <v>1686</v>
      </c>
    </row>
    <row r="1806" spans="1:40" ht="36" x14ac:dyDescent="0.2">
      <c r="A1806" s="1" t="s">
        <v>1668</v>
      </c>
      <c r="B1806" s="1" t="s">
        <v>1669</v>
      </c>
      <c r="C1806" s="1" t="s">
        <v>5729</v>
      </c>
      <c r="D1806" s="48">
        <v>17</v>
      </c>
      <c r="E1806" s="1">
        <v>1</v>
      </c>
      <c r="F1806" s="1" t="s">
        <v>1671</v>
      </c>
      <c r="G1806" s="1" t="s">
        <v>9582</v>
      </c>
      <c r="I1806" s="1" t="s">
        <v>125</v>
      </c>
      <c r="M1806" s="18">
        <v>1</v>
      </c>
      <c r="N1806" s="54" t="s">
        <v>9529</v>
      </c>
      <c r="V1806" s="4" t="s">
        <v>1670</v>
      </c>
      <c r="X1806" s="1" t="s">
        <v>1672</v>
      </c>
      <c r="Y1806" s="1" t="s">
        <v>9582</v>
      </c>
      <c r="AA1806" s="1" t="s">
        <v>125</v>
      </c>
      <c r="AE1806" s="1">
        <v>1</v>
      </c>
      <c r="AF1806" s="54" t="s">
        <v>9530</v>
      </c>
      <c r="AL1806" s="60" t="s">
        <v>341</v>
      </c>
      <c r="AN1806" s="4" t="s">
        <v>1673</v>
      </c>
    </row>
    <row r="1807" spans="1:40" ht="24" x14ac:dyDescent="0.2">
      <c r="A1807" s="1" t="s">
        <v>1668</v>
      </c>
      <c r="B1807" s="1" t="s">
        <v>1674</v>
      </c>
      <c r="C1807" s="1" t="s">
        <v>5729</v>
      </c>
      <c r="D1807" s="48">
        <v>18</v>
      </c>
      <c r="E1807" s="1">
        <v>1</v>
      </c>
      <c r="F1807" s="1" t="s">
        <v>1671</v>
      </c>
      <c r="G1807" s="1" t="s">
        <v>9640</v>
      </c>
      <c r="I1807" s="1" t="s">
        <v>125</v>
      </c>
      <c r="M1807" s="18">
        <v>2</v>
      </c>
      <c r="N1807" s="54" t="s">
        <v>9529</v>
      </c>
      <c r="X1807" s="1" t="s">
        <v>1672</v>
      </c>
      <c r="Y1807" s="1" t="s">
        <v>9640</v>
      </c>
      <c r="AA1807" s="1" t="s">
        <v>125</v>
      </c>
      <c r="AE1807" s="1">
        <v>2</v>
      </c>
      <c r="AF1807" s="54" t="s">
        <v>9530</v>
      </c>
      <c r="AL1807" s="60" t="s">
        <v>341</v>
      </c>
      <c r="AN1807" s="4" t="s">
        <v>1675</v>
      </c>
    </row>
    <row r="1808" spans="1:40" ht="36" x14ac:dyDescent="0.2">
      <c r="A1808" s="1" t="s">
        <v>1668</v>
      </c>
      <c r="B1808" s="1" t="s">
        <v>1676</v>
      </c>
      <c r="C1808" s="1" t="s">
        <v>5729</v>
      </c>
      <c r="D1808" s="48">
        <v>19</v>
      </c>
      <c r="E1808" s="1">
        <v>1</v>
      </c>
      <c r="F1808" s="1" t="s">
        <v>1671</v>
      </c>
      <c r="G1808" s="1" t="s">
        <v>9700</v>
      </c>
      <c r="I1808" s="1" t="s">
        <v>125</v>
      </c>
      <c r="M1808" s="18">
        <v>3</v>
      </c>
      <c r="N1808" s="54" t="s">
        <v>9529</v>
      </c>
      <c r="Y1808" s="1" t="s">
        <v>9700</v>
      </c>
      <c r="AA1808" s="1" t="s">
        <v>125</v>
      </c>
      <c r="AE1808" s="1">
        <v>3</v>
      </c>
      <c r="AF1808" s="54" t="s">
        <v>9530</v>
      </c>
      <c r="AL1808" s="60" t="s">
        <v>341</v>
      </c>
      <c r="AN1808" s="4" t="s">
        <v>1677</v>
      </c>
    </row>
    <row r="1809" spans="1:44" ht="36" x14ac:dyDescent="0.2">
      <c r="A1809" s="1" t="s">
        <v>1668</v>
      </c>
      <c r="B1809" s="1" t="s">
        <v>1706</v>
      </c>
      <c r="C1809" s="1" t="s">
        <v>5729</v>
      </c>
      <c r="D1809" s="48">
        <v>20</v>
      </c>
      <c r="E1809" s="1">
        <v>1</v>
      </c>
      <c r="F1809" s="1" t="s">
        <v>1708</v>
      </c>
      <c r="G1809" s="1" t="s">
        <v>9583</v>
      </c>
      <c r="I1809" s="1" t="s">
        <v>125</v>
      </c>
      <c r="M1809" s="18">
        <v>1</v>
      </c>
      <c r="N1809" s="54" t="s">
        <v>9529</v>
      </c>
      <c r="V1809" s="4" t="s">
        <v>1707</v>
      </c>
      <c r="X1809" s="1" t="s">
        <v>1690</v>
      </c>
      <c r="Y1809" s="1" t="s">
        <v>9583</v>
      </c>
      <c r="AA1809" s="1" t="s">
        <v>125</v>
      </c>
      <c r="AE1809" s="1">
        <v>1</v>
      </c>
      <c r="AF1809" s="54" t="s">
        <v>9530</v>
      </c>
      <c r="AL1809" s="60" t="s">
        <v>275</v>
      </c>
      <c r="AN1809" s="4" t="s">
        <v>1709</v>
      </c>
    </row>
    <row r="1810" spans="1:44" ht="36" x14ac:dyDescent="0.2">
      <c r="A1810" s="1" t="s">
        <v>1668</v>
      </c>
      <c r="B1810" s="1" t="s">
        <v>1710</v>
      </c>
      <c r="C1810" s="1" t="s">
        <v>5729</v>
      </c>
      <c r="D1810" s="48">
        <v>21</v>
      </c>
      <c r="E1810" s="1">
        <v>1</v>
      </c>
      <c r="F1810" s="1" t="s">
        <v>1708</v>
      </c>
      <c r="G1810" s="1" t="s">
        <v>9641</v>
      </c>
      <c r="I1810" s="1" t="s">
        <v>125</v>
      </c>
      <c r="M1810" s="18">
        <v>2</v>
      </c>
      <c r="N1810" s="54" t="s">
        <v>9529</v>
      </c>
      <c r="V1810" s="4" t="s">
        <v>1711</v>
      </c>
      <c r="Y1810" s="1" t="s">
        <v>9641</v>
      </c>
      <c r="AA1810" s="1" t="s">
        <v>125</v>
      </c>
      <c r="AE1810" s="1">
        <v>2</v>
      </c>
      <c r="AF1810" s="54" t="s">
        <v>9530</v>
      </c>
      <c r="AL1810" s="60" t="s">
        <v>275</v>
      </c>
      <c r="AN1810" s="4" t="s">
        <v>1712</v>
      </c>
    </row>
    <row r="1811" spans="1:44" ht="36" x14ac:dyDescent="0.2">
      <c r="A1811" s="1" t="s">
        <v>1668</v>
      </c>
      <c r="B1811" s="1" t="s">
        <v>1713</v>
      </c>
      <c r="C1811" s="1" t="s">
        <v>5729</v>
      </c>
      <c r="D1811" s="48">
        <v>22</v>
      </c>
      <c r="E1811" s="1">
        <v>1</v>
      </c>
      <c r="F1811" s="1" t="s">
        <v>1708</v>
      </c>
      <c r="G1811" s="1" t="s">
        <v>9701</v>
      </c>
      <c r="I1811" s="1" t="s">
        <v>125</v>
      </c>
      <c r="M1811" s="18">
        <v>3</v>
      </c>
      <c r="N1811" s="54" t="s">
        <v>9529</v>
      </c>
      <c r="V1811" s="4" t="s">
        <v>1714</v>
      </c>
      <c r="Y1811" s="1" t="s">
        <v>9701</v>
      </c>
      <c r="AA1811" s="1" t="s">
        <v>125</v>
      </c>
      <c r="AE1811" s="1">
        <v>3</v>
      </c>
      <c r="AF1811" s="54" t="s">
        <v>9530</v>
      </c>
      <c r="AL1811" s="60" t="s">
        <v>275</v>
      </c>
      <c r="AN1811" s="4" t="s">
        <v>1715</v>
      </c>
    </row>
    <row r="1812" spans="1:44" ht="36" x14ac:dyDescent="0.2">
      <c r="A1812" s="115" t="s">
        <v>2188</v>
      </c>
      <c r="B1812" s="115" t="s">
        <v>2189</v>
      </c>
      <c r="C1812" s="115" t="s">
        <v>5730</v>
      </c>
      <c r="D1812" s="116">
        <v>0</v>
      </c>
      <c r="E1812" s="115">
        <v>1</v>
      </c>
      <c r="F1812" s="115" t="s">
        <v>2194</v>
      </c>
      <c r="G1812" s="115" t="s">
        <v>2190</v>
      </c>
      <c r="H1812" s="1" t="s">
        <v>26</v>
      </c>
      <c r="I1812" s="1" t="s">
        <v>94</v>
      </c>
      <c r="K1812" s="1" t="s">
        <v>2191</v>
      </c>
      <c r="L1812" s="2" t="s">
        <v>2192</v>
      </c>
      <c r="N1812" s="54">
        <v>0</v>
      </c>
      <c r="O1812" s="55" t="s">
        <v>799</v>
      </c>
      <c r="Q1812" s="57">
        <v>15</v>
      </c>
      <c r="R1812" s="58">
        <v>12</v>
      </c>
      <c r="S1812" s="59">
        <v>0</v>
      </c>
      <c r="V1812" s="4" t="s">
        <v>2193</v>
      </c>
      <c r="AL1812" s="60" t="s">
        <v>30</v>
      </c>
      <c r="AR1812" s="4"/>
    </row>
    <row r="1813" spans="1:44" ht="36" x14ac:dyDescent="0.2">
      <c r="A1813" s="1" t="s">
        <v>2188</v>
      </c>
      <c r="B1813" s="1" t="s">
        <v>2195</v>
      </c>
      <c r="C1813" s="1" t="s">
        <v>5730</v>
      </c>
      <c r="D1813" s="48">
        <v>1</v>
      </c>
      <c r="E1813" s="1">
        <v>4</v>
      </c>
      <c r="F1813" s="1" t="s">
        <v>2194</v>
      </c>
      <c r="G1813" s="1" t="s">
        <v>2196</v>
      </c>
      <c r="I1813" s="1" t="s">
        <v>88</v>
      </c>
      <c r="K1813" s="1" t="s">
        <v>261</v>
      </c>
      <c r="V1813" s="4" t="s">
        <v>2197</v>
      </c>
      <c r="AL1813" s="60" t="s">
        <v>30</v>
      </c>
      <c r="AR1813" s="4"/>
    </row>
    <row r="1814" spans="1:44" ht="24" x14ac:dyDescent="0.2">
      <c r="A1814" s="1" t="s">
        <v>2188</v>
      </c>
      <c r="B1814" s="1" t="s">
        <v>2198</v>
      </c>
      <c r="C1814" s="1" t="s">
        <v>5730</v>
      </c>
      <c r="D1814" s="48">
        <v>2</v>
      </c>
      <c r="E1814" s="1">
        <v>4</v>
      </c>
      <c r="F1814" s="1" t="s">
        <v>2194</v>
      </c>
      <c r="G1814" s="1" t="s">
        <v>2199</v>
      </c>
      <c r="I1814" s="1" t="s">
        <v>88</v>
      </c>
      <c r="K1814" s="1" t="s">
        <v>261</v>
      </c>
      <c r="V1814" s="4" t="s">
        <v>2200</v>
      </c>
      <c r="AL1814" s="60" t="s">
        <v>30</v>
      </c>
      <c r="AR1814" s="4"/>
    </row>
    <row r="1815" spans="1:44" ht="48" x14ac:dyDescent="0.2">
      <c r="A1815" s="1" t="s">
        <v>2188</v>
      </c>
      <c r="B1815" s="1" t="s">
        <v>2201</v>
      </c>
      <c r="C1815" s="1" t="s">
        <v>5730</v>
      </c>
      <c r="D1815" s="48">
        <v>3</v>
      </c>
      <c r="E1815" s="1">
        <v>1</v>
      </c>
      <c r="F1815" s="1" t="s">
        <v>2194</v>
      </c>
      <c r="G1815" s="1" t="s">
        <v>2202</v>
      </c>
      <c r="H1815" s="1" t="s">
        <v>26</v>
      </c>
      <c r="I1815" s="1" t="s">
        <v>88</v>
      </c>
      <c r="K1815" s="1" t="s">
        <v>196</v>
      </c>
      <c r="L1815" s="2" t="s">
        <v>2203</v>
      </c>
      <c r="U1815" s="1">
        <v>15</v>
      </c>
      <c r="V1815" s="4" t="s">
        <v>2204</v>
      </c>
      <c r="AL1815" s="60" t="s">
        <v>30</v>
      </c>
      <c r="AR1815" s="4"/>
    </row>
    <row r="1816" spans="1:44" ht="60" x14ac:dyDescent="0.2">
      <c r="A1816" s="1" t="s">
        <v>2188</v>
      </c>
      <c r="B1816" s="1" t="s">
        <v>2207</v>
      </c>
      <c r="C1816" s="1" t="s">
        <v>5730</v>
      </c>
      <c r="D1816" s="48">
        <v>4</v>
      </c>
      <c r="E1816" s="1">
        <v>1</v>
      </c>
      <c r="F1816" s="1" t="s">
        <v>2194</v>
      </c>
      <c r="G1816" s="1" t="s">
        <v>9584</v>
      </c>
      <c r="I1816" s="1" t="s">
        <v>125</v>
      </c>
      <c r="M1816" s="18">
        <v>1</v>
      </c>
      <c r="N1816" s="54" t="s">
        <v>9529</v>
      </c>
      <c r="V1816" s="4" t="s">
        <v>2208</v>
      </c>
      <c r="X1816" s="1" t="s">
        <v>1672</v>
      </c>
      <c r="Y1816" s="1" t="s">
        <v>9584</v>
      </c>
      <c r="AA1816" s="1" t="s">
        <v>125</v>
      </c>
      <c r="AE1816" s="1">
        <v>1</v>
      </c>
      <c r="AF1816" s="54" t="s">
        <v>9530</v>
      </c>
      <c r="AL1816" s="60" t="s">
        <v>67</v>
      </c>
      <c r="AN1816" s="4" t="s">
        <v>2209</v>
      </c>
      <c r="AR1816" s="4"/>
    </row>
    <row r="1817" spans="1:44" ht="48" x14ac:dyDescent="0.2">
      <c r="A1817" s="1" t="s">
        <v>2188</v>
      </c>
      <c r="B1817" s="1" t="s">
        <v>2205</v>
      </c>
      <c r="C1817" s="1" t="s">
        <v>5730</v>
      </c>
      <c r="D1817" s="48">
        <v>5</v>
      </c>
      <c r="E1817" s="1">
        <v>1</v>
      </c>
      <c r="F1817" s="1" t="s">
        <v>2194</v>
      </c>
      <c r="G1817" s="1" t="s">
        <v>9642</v>
      </c>
      <c r="I1817" s="1" t="s">
        <v>125</v>
      </c>
      <c r="M1817" s="18">
        <v>2</v>
      </c>
      <c r="N1817" s="54" t="s">
        <v>9529</v>
      </c>
      <c r="Y1817" s="1" t="s">
        <v>9642</v>
      </c>
      <c r="AA1817" s="1" t="s">
        <v>125</v>
      </c>
      <c r="AE1817" s="1">
        <v>2</v>
      </c>
      <c r="AF1817" s="54" t="s">
        <v>9530</v>
      </c>
      <c r="AL1817" s="60" t="s">
        <v>5622</v>
      </c>
      <c r="AN1817" s="4" t="s">
        <v>2206</v>
      </c>
      <c r="AR1817" s="4"/>
    </row>
    <row r="1818" spans="1:44" ht="84" x14ac:dyDescent="0.2">
      <c r="A1818" s="1" t="s">
        <v>2188</v>
      </c>
      <c r="B1818" s="1" t="s">
        <v>2210</v>
      </c>
      <c r="C1818" s="1" t="s">
        <v>5730</v>
      </c>
      <c r="D1818" s="48">
        <v>6</v>
      </c>
      <c r="E1818" s="1">
        <v>1</v>
      </c>
      <c r="F1818" s="1" t="s">
        <v>2194</v>
      </c>
      <c r="G1818" s="1" t="s">
        <v>9702</v>
      </c>
      <c r="I1818" s="1" t="s">
        <v>125</v>
      </c>
      <c r="M1818" s="18">
        <v>3</v>
      </c>
      <c r="N1818" s="54" t="s">
        <v>9529</v>
      </c>
      <c r="V1818" s="4" t="s">
        <v>2211</v>
      </c>
      <c r="Y1818" s="1" t="s">
        <v>9702</v>
      </c>
      <c r="AA1818" s="1" t="s">
        <v>125</v>
      </c>
      <c r="AE1818" s="1">
        <v>3</v>
      </c>
      <c r="AF1818" s="54" t="s">
        <v>9530</v>
      </c>
      <c r="AL1818" s="60" t="s">
        <v>67</v>
      </c>
      <c r="AN1818" s="4" t="s">
        <v>2212</v>
      </c>
      <c r="AR1818" s="4"/>
    </row>
    <row r="1819" spans="1:44" ht="60" x14ac:dyDescent="0.2">
      <c r="A1819" s="115" t="s">
        <v>897</v>
      </c>
      <c r="B1819" s="115" t="s">
        <v>898</v>
      </c>
      <c r="C1819" s="115" t="s">
        <v>5731</v>
      </c>
      <c r="D1819" s="116">
        <v>1</v>
      </c>
      <c r="E1819" s="115">
        <v>1</v>
      </c>
      <c r="F1819" s="115" t="s">
        <v>901</v>
      </c>
      <c r="G1819" s="115" t="s">
        <v>899</v>
      </c>
      <c r="I1819" s="1" t="s">
        <v>104</v>
      </c>
      <c r="K1819" s="1" t="s">
        <v>105</v>
      </c>
      <c r="O1819" s="55" t="s">
        <v>113</v>
      </c>
      <c r="T1819" s="60">
        <v>12</v>
      </c>
      <c r="V1819" s="4" t="s">
        <v>900</v>
      </c>
      <c r="AL1819" s="60" t="s">
        <v>30</v>
      </c>
    </row>
    <row r="1820" spans="1:44" ht="60" x14ac:dyDescent="0.2">
      <c r="A1820" s="1" t="s">
        <v>897</v>
      </c>
      <c r="B1820" s="1" t="s">
        <v>902</v>
      </c>
      <c r="C1820" s="1" t="s">
        <v>5731</v>
      </c>
      <c r="D1820" s="48">
        <v>2</v>
      </c>
      <c r="E1820" s="1">
        <v>1</v>
      </c>
      <c r="F1820" s="1" t="s">
        <v>901</v>
      </c>
      <c r="G1820" s="1" t="s">
        <v>903</v>
      </c>
      <c r="I1820" s="1" t="s">
        <v>88</v>
      </c>
      <c r="K1820" s="1" t="s">
        <v>89</v>
      </c>
      <c r="L1820" s="2" t="s">
        <v>904</v>
      </c>
      <c r="V1820" s="4" t="s">
        <v>905</v>
      </c>
      <c r="AL1820" s="60" t="s">
        <v>30</v>
      </c>
      <c r="AR1820" s="4"/>
    </row>
    <row r="1821" spans="1:44" ht="48" x14ac:dyDescent="0.2">
      <c r="A1821" s="1" t="s">
        <v>897</v>
      </c>
      <c r="B1821" s="1" t="s">
        <v>909</v>
      </c>
      <c r="C1821" s="1" t="s">
        <v>5731</v>
      </c>
      <c r="D1821" s="48">
        <v>3</v>
      </c>
      <c r="E1821" s="1">
        <v>1</v>
      </c>
      <c r="F1821" s="1" t="s">
        <v>901</v>
      </c>
      <c r="G1821" s="1" t="s">
        <v>9585</v>
      </c>
      <c r="I1821" s="1" t="s">
        <v>125</v>
      </c>
      <c r="M1821" s="18">
        <v>1</v>
      </c>
      <c r="N1821" s="54" t="s">
        <v>9529</v>
      </c>
      <c r="V1821" s="4" t="s">
        <v>910</v>
      </c>
      <c r="X1821" s="1" t="s">
        <v>911</v>
      </c>
      <c r="Y1821" s="1" t="s">
        <v>9585</v>
      </c>
      <c r="AA1821" s="1" t="s">
        <v>125</v>
      </c>
      <c r="AE1821" s="1">
        <v>1</v>
      </c>
      <c r="AF1821" s="54" t="s">
        <v>9530</v>
      </c>
      <c r="AL1821" s="60" t="s">
        <v>666</v>
      </c>
      <c r="AN1821" s="4" t="s">
        <v>912</v>
      </c>
      <c r="AR1821" s="4"/>
    </row>
    <row r="1822" spans="1:44" ht="60" x14ac:dyDescent="0.2">
      <c r="A1822" s="1" t="s">
        <v>897</v>
      </c>
      <c r="B1822" s="1" t="s">
        <v>906</v>
      </c>
      <c r="C1822" s="1" t="s">
        <v>5731</v>
      </c>
      <c r="D1822" s="48">
        <v>4</v>
      </c>
      <c r="E1822" s="1">
        <v>1</v>
      </c>
      <c r="F1822" s="1" t="s">
        <v>901</v>
      </c>
      <c r="G1822" s="1" t="s">
        <v>9643</v>
      </c>
      <c r="I1822" s="1" t="s">
        <v>125</v>
      </c>
      <c r="M1822" s="18">
        <v>2</v>
      </c>
      <c r="N1822" s="54" t="s">
        <v>9529</v>
      </c>
      <c r="V1822" s="4" t="s">
        <v>907</v>
      </c>
      <c r="Y1822" s="1" t="s">
        <v>9643</v>
      </c>
      <c r="AA1822" s="1" t="s">
        <v>125</v>
      </c>
      <c r="AE1822" s="1">
        <v>2</v>
      </c>
      <c r="AF1822" s="54" t="s">
        <v>9530</v>
      </c>
      <c r="AL1822" s="60" t="s">
        <v>243</v>
      </c>
      <c r="AN1822" s="4" t="s">
        <v>908</v>
      </c>
      <c r="AR1822" s="4"/>
    </row>
    <row r="1823" spans="1:44" ht="72" x14ac:dyDescent="0.2">
      <c r="A1823" s="1" t="s">
        <v>897</v>
      </c>
      <c r="B1823" s="1" t="s">
        <v>913</v>
      </c>
      <c r="C1823" s="1" t="s">
        <v>5731</v>
      </c>
      <c r="D1823" s="48">
        <v>5</v>
      </c>
      <c r="E1823" s="1">
        <v>1</v>
      </c>
      <c r="F1823" s="1" t="s">
        <v>901</v>
      </c>
      <c r="G1823" s="1" t="s">
        <v>9703</v>
      </c>
      <c r="I1823" s="1" t="s">
        <v>125</v>
      </c>
      <c r="M1823" s="18">
        <v>3</v>
      </c>
      <c r="N1823" s="54" t="s">
        <v>9529</v>
      </c>
      <c r="V1823" s="4" t="s">
        <v>914</v>
      </c>
      <c r="Y1823" s="1" t="s">
        <v>9703</v>
      </c>
      <c r="AA1823" s="1" t="s">
        <v>125</v>
      </c>
      <c r="AE1823" s="1">
        <v>3</v>
      </c>
      <c r="AF1823" s="54" t="s">
        <v>9530</v>
      </c>
      <c r="AL1823" s="60" t="s">
        <v>243</v>
      </c>
      <c r="AN1823" s="4" t="s">
        <v>915</v>
      </c>
      <c r="AR1823" s="4"/>
    </row>
    <row r="1824" spans="1:44" ht="108" x14ac:dyDescent="0.2">
      <c r="A1824" s="115" t="s">
        <v>2183</v>
      </c>
      <c r="B1824" s="115" t="s">
        <v>2184</v>
      </c>
      <c r="C1824" s="115" t="s">
        <v>5732</v>
      </c>
      <c r="D1824" s="116">
        <v>1</v>
      </c>
      <c r="E1824" s="115">
        <v>1</v>
      </c>
      <c r="F1824" s="115" t="s">
        <v>2186</v>
      </c>
      <c r="G1824" s="115" t="s">
        <v>2186</v>
      </c>
      <c r="I1824" s="1" t="s">
        <v>125</v>
      </c>
      <c r="M1824" s="18">
        <v>1</v>
      </c>
      <c r="N1824" s="54" t="s">
        <v>9529</v>
      </c>
      <c r="V1824" s="4" t="s">
        <v>2185</v>
      </c>
      <c r="X1824" s="1" t="s">
        <v>1672</v>
      </c>
      <c r="Y1824" s="1" t="s">
        <v>2186</v>
      </c>
      <c r="AA1824" s="1" t="s">
        <v>125</v>
      </c>
      <c r="AE1824" s="1">
        <v>1</v>
      </c>
      <c r="AF1824" s="54" t="s">
        <v>9530</v>
      </c>
      <c r="AL1824" s="60" t="s">
        <v>67</v>
      </c>
      <c r="AN1824" s="4" t="s">
        <v>2187</v>
      </c>
      <c r="AR1824" s="4"/>
    </row>
    <row r="1825" spans="1:44" ht="48" x14ac:dyDescent="0.2">
      <c r="A1825" s="115" t="s">
        <v>1733</v>
      </c>
      <c r="B1825" s="115" t="s">
        <v>1841</v>
      </c>
      <c r="C1825" s="115" t="s">
        <v>5733</v>
      </c>
      <c r="D1825" s="115">
        <v>1</v>
      </c>
      <c r="E1825" s="115">
        <v>5</v>
      </c>
      <c r="F1825" s="115" t="s">
        <v>1738</v>
      </c>
      <c r="G1825" s="115" t="s">
        <v>1842</v>
      </c>
      <c r="I1825" s="1" t="s">
        <v>94</v>
      </c>
      <c r="K1825" s="4" t="s">
        <v>1746</v>
      </c>
      <c r="L1825" s="4"/>
      <c r="M1825" s="1"/>
      <c r="N1825" s="54">
        <v>20</v>
      </c>
      <c r="O1825" s="55">
        <v>1</v>
      </c>
      <c r="Q1825" s="57">
        <v>1</v>
      </c>
      <c r="R1825" s="58">
        <v>0</v>
      </c>
      <c r="S1825" s="59">
        <v>1</v>
      </c>
      <c r="U1825" s="1">
        <v>1</v>
      </c>
      <c r="V1825" s="4" t="s">
        <v>1843</v>
      </c>
      <c r="AL1825" s="60"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4">
        <v>20</v>
      </c>
      <c r="O1826" s="55">
        <v>1</v>
      </c>
      <c r="Q1826" s="57">
        <v>2</v>
      </c>
      <c r="R1826" s="58">
        <v>1</v>
      </c>
      <c r="S1826" s="59">
        <v>3</v>
      </c>
      <c r="W1826" s="4" t="s">
        <v>1818</v>
      </c>
      <c r="AL1826" s="60"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4">
        <v>30</v>
      </c>
      <c r="O1827" s="55">
        <v>1</v>
      </c>
      <c r="Q1827" s="57">
        <v>2</v>
      </c>
      <c r="R1827" s="58">
        <v>1</v>
      </c>
      <c r="S1827" s="59">
        <v>2</v>
      </c>
      <c r="V1827" s="4" t="s">
        <v>1736</v>
      </c>
      <c r="W1827" s="4" t="s">
        <v>1737</v>
      </c>
      <c r="AL1827" s="60"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4">
        <v>32</v>
      </c>
      <c r="O1828" s="55">
        <v>1</v>
      </c>
      <c r="Q1828" s="57">
        <v>2</v>
      </c>
      <c r="R1828" s="58">
        <v>2</v>
      </c>
      <c r="S1828" s="59">
        <v>2</v>
      </c>
      <c r="V1828" s="4" t="s">
        <v>1789</v>
      </c>
      <c r="W1828" s="4" t="s">
        <v>1790</v>
      </c>
      <c r="AL1828" s="60"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4">
        <v>38</v>
      </c>
      <c r="O1829" s="55">
        <v>2</v>
      </c>
      <c r="Q1829" s="57">
        <v>2</v>
      </c>
      <c r="R1829" s="58">
        <v>2</v>
      </c>
      <c r="S1829" s="59">
        <v>3</v>
      </c>
      <c r="V1829" s="4" t="s">
        <v>1836</v>
      </c>
      <c r="W1829" s="4" t="s">
        <v>1790</v>
      </c>
      <c r="AL1829" s="60"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4">
        <v>25</v>
      </c>
      <c r="O1830" s="55">
        <v>1</v>
      </c>
      <c r="Q1830" s="57">
        <v>2</v>
      </c>
      <c r="R1830" s="58">
        <v>0</v>
      </c>
      <c r="S1830" s="59">
        <v>2</v>
      </c>
      <c r="U1830" s="1">
        <v>1</v>
      </c>
      <c r="V1830" s="4" t="s">
        <v>1822</v>
      </c>
      <c r="AL1830" s="60"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4">
        <v>30</v>
      </c>
      <c r="O1831" s="55">
        <v>1</v>
      </c>
      <c r="Q1831" s="57">
        <v>3</v>
      </c>
      <c r="R1831" s="58">
        <v>2</v>
      </c>
      <c r="S1831" s="59">
        <v>3</v>
      </c>
      <c r="U1831" s="1">
        <v>2</v>
      </c>
      <c r="V1831" s="4" t="s">
        <v>1806</v>
      </c>
      <c r="AL1831" s="60"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4">
        <v>30</v>
      </c>
      <c r="O1832" s="55">
        <v>1</v>
      </c>
      <c r="Q1832" s="57">
        <v>1</v>
      </c>
      <c r="R1832" s="58">
        <v>1</v>
      </c>
      <c r="S1832" s="59">
        <v>3</v>
      </c>
      <c r="U1832" s="1">
        <v>1</v>
      </c>
      <c r="V1832" s="4" t="s">
        <v>1854</v>
      </c>
      <c r="AL1832" s="60"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4">
        <v>30</v>
      </c>
      <c r="O1833" s="55" t="s">
        <v>113</v>
      </c>
      <c r="Q1833" s="57" t="s">
        <v>113</v>
      </c>
      <c r="R1833" s="58">
        <v>2</v>
      </c>
      <c r="S1833" s="59">
        <v>2</v>
      </c>
      <c r="U1833" s="1">
        <v>2</v>
      </c>
      <c r="V1833" s="4" t="s">
        <v>1778</v>
      </c>
      <c r="AL1833" s="60"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4">
        <v>45</v>
      </c>
      <c r="O1834" s="55">
        <v>1</v>
      </c>
      <c r="Q1834" s="57">
        <v>1</v>
      </c>
      <c r="R1834" s="58">
        <v>0</v>
      </c>
      <c r="S1834" s="59">
        <v>2</v>
      </c>
      <c r="U1834" s="1">
        <v>1</v>
      </c>
      <c r="V1834" s="4" t="s">
        <v>1803</v>
      </c>
      <c r="AL1834" s="60"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4">
        <v>35</v>
      </c>
      <c r="O1835" s="55">
        <v>1</v>
      </c>
      <c r="Q1835" s="57">
        <v>3</v>
      </c>
      <c r="R1835" s="58">
        <v>7</v>
      </c>
      <c r="S1835" s="59">
        <v>3</v>
      </c>
      <c r="U1835" s="1">
        <v>3</v>
      </c>
      <c r="V1835" s="4" t="s">
        <v>1748</v>
      </c>
      <c r="AL1835" s="60"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4">
        <v>35</v>
      </c>
      <c r="O1836" s="55">
        <v>1</v>
      </c>
      <c r="Q1836" s="57">
        <v>3</v>
      </c>
      <c r="R1836" s="58">
        <v>0</v>
      </c>
      <c r="S1836" s="59">
        <v>3</v>
      </c>
      <c r="V1836" s="4" t="s">
        <v>1857</v>
      </c>
      <c r="W1836" s="4" t="s">
        <v>1858</v>
      </c>
      <c r="AL1836" s="60"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5">
        <v>2</v>
      </c>
      <c r="T1837" s="60">
        <v>3</v>
      </c>
      <c r="V1837" s="4" t="s">
        <v>1794</v>
      </c>
      <c r="AL1837" s="60"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5">
        <v>1</v>
      </c>
      <c r="T1838" s="60">
        <v>1</v>
      </c>
      <c r="V1838" s="4" t="s">
        <v>1865</v>
      </c>
      <c r="AL1838" s="60"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5">
        <v>1</v>
      </c>
      <c r="T1839" s="60">
        <v>2</v>
      </c>
      <c r="V1839" s="4" t="s">
        <v>1814</v>
      </c>
      <c r="AL1839" s="60"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5">
        <v>2</v>
      </c>
      <c r="T1840" s="60">
        <v>2</v>
      </c>
      <c r="V1840" s="4" t="s">
        <v>1846</v>
      </c>
      <c r="AL1840" s="60"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5">
        <v>3</v>
      </c>
      <c r="T1841" s="60">
        <v>4</v>
      </c>
      <c r="W1841" s="4" t="s">
        <v>11061</v>
      </c>
      <c r="AL1841" s="60"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5">
        <v>1</v>
      </c>
      <c r="T1842" s="60">
        <v>3</v>
      </c>
      <c r="V1842" s="4" t="s">
        <v>1743</v>
      </c>
      <c r="AL1842" s="60"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5">
        <v>3</v>
      </c>
      <c r="T1843" s="60">
        <v>2</v>
      </c>
      <c r="V1843" s="4" t="s">
        <v>1751</v>
      </c>
      <c r="AL1843" s="60"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5">
        <v>1</v>
      </c>
      <c r="T1844" s="60">
        <v>4</v>
      </c>
      <c r="V1844" s="4" t="s">
        <v>1763</v>
      </c>
      <c r="AL1844" s="60"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5">
        <v>1</v>
      </c>
      <c r="T1845" s="60">
        <v>2</v>
      </c>
      <c r="V1845" s="4" t="s">
        <v>1840</v>
      </c>
      <c r="AL1845" s="60"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5">
        <v>2</v>
      </c>
      <c r="T1846" s="60">
        <v>5</v>
      </c>
      <c r="V1846" s="4" t="s">
        <v>1775</v>
      </c>
      <c r="AL1846" s="60"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5">
        <v>2</v>
      </c>
      <c r="T1847" s="60">
        <v>4</v>
      </c>
      <c r="V1847" s="4" t="s">
        <v>1781</v>
      </c>
      <c r="AL1847" s="60"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5">
        <v>2</v>
      </c>
      <c r="T1848" s="60">
        <v>6</v>
      </c>
      <c r="V1848" s="4" t="s">
        <v>1811</v>
      </c>
      <c r="AL1848" s="60"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5">
        <v>2</v>
      </c>
      <c r="T1849" s="60">
        <v>3</v>
      </c>
      <c r="V1849" s="4" t="s">
        <v>1829</v>
      </c>
      <c r="W1849" s="4" t="s">
        <v>1830</v>
      </c>
      <c r="AL1849" s="60"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5">
        <v>1</v>
      </c>
      <c r="T1850" s="60">
        <v>5</v>
      </c>
      <c r="V1850" s="4" t="s">
        <v>1754</v>
      </c>
      <c r="W1850" s="4" t="s">
        <v>1755</v>
      </c>
      <c r="AL1850" s="60"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5">
        <v>2</v>
      </c>
      <c r="T1851" s="60">
        <v>3</v>
      </c>
      <c r="V1851" s="4" t="s">
        <v>1758</v>
      </c>
      <c r="W1851" s="4" t="s">
        <v>1759</v>
      </c>
      <c r="AL1851" s="60"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60"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4" t="s">
        <v>9529</v>
      </c>
      <c r="V1853" s="4" t="s">
        <v>1867</v>
      </c>
      <c r="Y1853" s="1" t="s">
        <v>9586</v>
      </c>
      <c r="AA1853" s="1" t="s">
        <v>125</v>
      </c>
      <c r="AE1853" s="1">
        <v>1</v>
      </c>
      <c r="AF1853" s="54" t="s">
        <v>9530</v>
      </c>
      <c r="AL1853" s="60">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60"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60"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60"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60"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60"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60"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60"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4" t="s">
        <v>9529</v>
      </c>
      <c r="V1861" s="4" t="s">
        <v>8215</v>
      </c>
      <c r="Y1861" s="1" t="s">
        <v>8090</v>
      </c>
      <c r="AA1861" s="1" t="s">
        <v>3482</v>
      </c>
      <c r="AF1861" s="54" t="s">
        <v>9530</v>
      </c>
      <c r="AL1861" s="60" t="s">
        <v>30</v>
      </c>
      <c r="AN1861" s="4" t="s">
        <v>8216</v>
      </c>
    </row>
    <row r="1862" spans="1:40" ht="36" x14ac:dyDescent="0.2">
      <c r="A1862" s="115" t="s">
        <v>916</v>
      </c>
      <c r="B1862" s="115" t="s">
        <v>1371</v>
      </c>
      <c r="C1862" s="115" t="s">
        <v>5734</v>
      </c>
      <c r="D1862" s="115">
        <v>1</v>
      </c>
      <c r="E1862" s="115">
        <v>1</v>
      </c>
      <c r="F1862" s="115" t="s">
        <v>920</v>
      </c>
      <c r="G1862" s="115" t="s">
        <v>1372</v>
      </c>
      <c r="H1862" s="1" t="s">
        <v>26</v>
      </c>
      <c r="I1862" s="1" t="s">
        <v>27</v>
      </c>
      <c r="J1862" s="1" t="s">
        <v>28</v>
      </c>
      <c r="K1862" s="4" t="s">
        <v>1373</v>
      </c>
      <c r="L1862" s="4"/>
      <c r="M1862" s="1">
        <v>8</v>
      </c>
      <c r="P1862" s="56">
        <v>3</v>
      </c>
      <c r="Q1862" s="57">
        <v>2</v>
      </c>
      <c r="R1862" s="58">
        <v>1</v>
      </c>
      <c r="S1862" s="59">
        <v>4</v>
      </c>
      <c r="V1862" s="4" t="s">
        <v>1374</v>
      </c>
      <c r="AL1862" s="60"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6">
        <v>3</v>
      </c>
      <c r="Q1863" s="57">
        <v>3</v>
      </c>
      <c r="R1863" s="58">
        <v>1</v>
      </c>
      <c r="S1863" s="59">
        <v>4</v>
      </c>
      <c r="V1863" s="4" t="s">
        <v>1480</v>
      </c>
      <c r="AL1863" s="60"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6">
        <v>3</v>
      </c>
      <c r="Q1864" s="57">
        <v>1</v>
      </c>
      <c r="R1864" s="58">
        <v>2</v>
      </c>
      <c r="S1864" s="59">
        <v>5</v>
      </c>
      <c r="V1864" s="4" t="s">
        <v>1229</v>
      </c>
      <c r="AL1864" s="60"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6">
        <v>5</v>
      </c>
      <c r="Q1865" s="57">
        <v>0</v>
      </c>
      <c r="R1865" s="58">
        <v>1</v>
      </c>
      <c r="S1865" s="59">
        <v>3</v>
      </c>
      <c r="V1865" s="4" t="s">
        <v>1018</v>
      </c>
      <c r="AL1865" s="60"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6">
        <v>4</v>
      </c>
      <c r="Q1866" s="57">
        <v>1</v>
      </c>
      <c r="R1866" s="58">
        <v>1</v>
      </c>
      <c r="S1866" s="59">
        <v>3</v>
      </c>
      <c r="V1866" s="4" t="s">
        <v>1109</v>
      </c>
      <c r="AL1866" s="60"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6">
        <v>2</v>
      </c>
      <c r="Q1867" s="57">
        <v>1</v>
      </c>
      <c r="R1867" s="58">
        <v>1</v>
      </c>
      <c r="S1867" s="59">
        <v>4</v>
      </c>
      <c r="V1867" s="4" t="s">
        <v>1299</v>
      </c>
      <c r="AL1867" s="60"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6">
        <v>1</v>
      </c>
      <c r="Q1868" s="57">
        <v>1</v>
      </c>
      <c r="R1868" s="58">
        <v>4</v>
      </c>
      <c r="S1868" s="59">
        <v>6</v>
      </c>
      <c r="V1868" s="4" t="s">
        <v>1035</v>
      </c>
      <c r="AL1868" s="60"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6">
        <v>2</v>
      </c>
      <c r="Q1869" s="57">
        <v>2</v>
      </c>
      <c r="R1869" s="58">
        <v>2</v>
      </c>
      <c r="S1869" s="59">
        <v>4</v>
      </c>
      <c r="V1869" s="4" t="s">
        <v>1194</v>
      </c>
      <c r="AL1869" s="60"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6">
        <v>1</v>
      </c>
      <c r="Q1870" s="57">
        <v>4</v>
      </c>
      <c r="R1870" s="58">
        <v>3</v>
      </c>
      <c r="S1870" s="59">
        <v>4</v>
      </c>
      <c r="V1870" s="4" t="s">
        <v>1068</v>
      </c>
      <c r="AL1870" s="60"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6">
        <v>3</v>
      </c>
      <c r="Q1871" s="57">
        <v>1</v>
      </c>
      <c r="R1871" s="58">
        <v>2</v>
      </c>
      <c r="S1871" s="59">
        <v>4</v>
      </c>
      <c r="V1871" s="4" t="s">
        <v>1428</v>
      </c>
      <c r="AL1871" s="60"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6">
        <v>2</v>
      </c>
      <c r="Q1872" s="57">
        <v>2</v>
      </c>
      <c r="R1872" s="58">
        <v>3</v>
      </c>
      <c r="S1872" s="59">
        <v>5</v>
      </c>
      <c r="V1872" s="4" t="s">
        <v>1237</v>
      </c>
      <c r="AL1872" s="60"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6">
        <v>3</v>
      </c>
      <c r="Q1873" s="57">
        <v>1</v>
      </c>
      <c r="R1873" s="58">
        <v>1</v>
      </c>
      <c r="S1873" s="59">
        <v>3</v>
      </c>
      <c r="V1873" s="4" t="s">
        <v>1074</v>
      </c>
      <c r="AL1873" s="60"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6">
        <v>4</v>
      </c>
      <c r="Q1874" s="57">
        <v>0</v>
      </c>
      <c r="R1874" s="58">
        <v>0</v>
      </c>
      <c r="S1874" s="59">
        <v>3</v>
      </c>
      <c r="V1874" s="4" t="s">
        <v>1389</v>
      </c>
      <c r="AL1874" s="60"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6">
        <v>1</v>
      </c>
      <c r="Q1875" s="57">
        <v>1</v>
      </c>
      <c r="R1875" s="58">
        <v>2</v>
      </c>
      <c r="S1875" s="59">
        <v>2</v>
      </c>
      <c r="V1875" s="4" t="s">
        <v>1419</v>
      </c>
      <c r="AL1875" s="60"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6">
        <v>2</v>
      </c>
      <c r="Q1876" s="57">
        <v>1</v>
      </c>
      <c r="R1876" s="58">
        <v>3</v>
      </c>
      <c r="S1876" s="59">
        <v>2</v>
      </c>
      <c r="V1876" s="4" t="s">
        <v>1457</v>
      </c>
      <c r="AL1876" s="60"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6">
        <v>2</v>
      </c>
      <c r="Q1877" s="57">
        <v>2</v>
      </c>
      <c r="R1877" s="58">
        <v>2</v>
      </c>
      <c r="S1877" s="59">
        <v>3</v>
      </c>
      <c r="V1877" s="4" t="s">
        <v>1585</v>
      </c>
      <c r="AL1877" s="60"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6">
        <v>2</v>
      </c>
      <c r="Q1878" s="57">
        <v>3</v>
      </c>
      <c r="R1878" s="58">
        <v>1</v>
      </c>
      <c r="S1878" s="59">
        <v>2</v>
      </c>
      <c r="V1878" s="4" t="s">
        <v>1450</v>
      </c>
      <c r="AL1878" s="60"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6">
        <v>1</v>
      </c>
      <c r="Q1879" s="57">
        <v>2</v>
      </c>
      <c r="R1879" s="58">
        <v>0</v>
      </c>
      <c r="S1879" s="59">
        <v>2</v>
      </c>
      <c r="V1879" s="4" t="s">
        <v>989</v>
      </c>
      <c r="AL1879" s="60"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6">
        <v>2</v>
      </c>
      <c r="Q1880" s="57">
        <v>4</v>
      </c>
      <c r="R1880" s="58">
        <v>1</v>
      </c>
      <c r="S1880" s="59">
        <v>4</v>
      </c>
      <c r="V1880" s="4" t="s">
        <v>1133</v>
      </c>
      <c r="AL1880" s="60"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6">
        <v>0</v>
      </c>
      <c r="Q1881" s="57">
        <v>1</v>
      </c>
      <c r="R1881" s="58">
        <v>4</v>
      </c>
      <c r="S1881" s="59">
        <v>1</v>
      </c>
      <c r="AL1881" s="60"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6">
        <v>1</v>
      </c>
      <c r="Q1882" s="57">
        <v>4</v>
      </c>
      <c r="R1882" s="58">
        <v>1</v>
      </c>
      <c r="S1882" s="59">
        <v>4</v>
      </c>
      <c r="V1882" s="4" t="s">
        <v>1568</v>
      </c>
      <c r="AL1882" s="60"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6">
        <v>2</v>
      </c>
      <c r="Q1883" s="57">
        <v>1</v>
      </c>
      <c r="R1883" s="58">
        <v>1</v>
      </c>
      <c r="S1883" s="59">
        <v>2</v>
      </c>
      <c r="V1883" s="4" t="s">
        <v>1006</v>
      </c>
      <c r="AL1883" s="60"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6">
        <v>1</v>
      </c>
      <c r="Q1884" s="57">
        <v>1</v>
      </c>
      <c r="R1884" s="58">
        <v>2</v>
      </c>
      <c r="S1884" s="59">
        <v>2</v>
      </c>
      <c r="V1884" s="4" t="s">
        <v>1509</v>
      </c>
      <c r="AL1884" s="60"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6">
        <v>1</v>
      </c>
      <c r="Q1885" s="57">
        <v>1</v>
      </c>
      <c r="R1885" s="58">
        <v>1</v>
      </c>
      <c r="S1885" s="59">
        <v>3</v>
      </c>
      <c r="V1885" s="4" t="s">
        <v>1088</v>
      </c>
      <c r="AL1885" s="60"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6">
        <v>1</v>
      </c>
      <c r="Q1886" s="57">
        <v>1</v>
      </c>
      <c r="R1886" s="58">
        <v>0</v>
      </c>
      <c r="S1886" s="59">
        <v>2</v>
      </c>
      <c r="V1886" s="4" t="s">
        <v>1513</v>
      </c>
      <c r="AL1886" s="60"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6">
        <v>2</v>
      </c>
      <c r="Q1887" s="57">
        <v>1</v>
      </c>
      <c r="R1887" s="58">
        <v>1</v>
      </c>
      <c r="S1887" s="59">
        <v>2</v>
      </c>
      <c r="V1887" s="4" t="s">
        <v>1191</v>
      </c>
      <c r="AL1887" s="60"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6">
        <v>3</v>
      </c>
      <c r="Q1888" s="57">
        <v>0</v>
      </c>
      <c r="R1888" s="58">
        <v>0</v>
      </c>
      <c r="S1888" s="59">
        <v>1</v>
      </c>
      <c r="V1888" s="4" t="s">
        <v>1268</v>
      </c>
      <c r="AL1888" s="60"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6">
        <v>1</v>
      </c>
      <c r="Q1889" s="57">
        <v>1</v>
      </c>
      <c r="R1889" s="58">
        <v>2</v>
      </c>
      <c r="S1889" s="59">
        <v>3</v>
      </c>
      <c r="V1889" s="4" t="s">
        <v>1175</v>
      </c>
      <c r="AL1889" s="60"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6">
        <v>1</v>
      </c>
      <c r="Q1890" s="57">
        <v>1</v>
      </c>
      <c r="R1890" s="58">
        <v>1</v>
      </c>
      <c r="S1890" s="59">
        <v>2</v>
      </c>
      <c r="V1890" s="4" t="s">
        <v>1377</v>
      </c>
      <c r="AL1890" s="60"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6">
        <v>1</v>
      </c>
      <c r="Q1891" s="57">
        <v>2</v>
      </c>
      <c r="R1891" s="58">
        <v>1</v>
      </c>
      <c r="S1891" s="59">
        <v>2</v>
      </c>
      <c r="V1891" s="4" t="s">
        <v>977</v>
      </c>
      <c r="AL1891" s="60"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6">
        <v>1</v>
      </c>
      <c r="Q1892" s="57">
        <v>1</v>
      </c>
      <c r="R1892" s="58">
        <v>3</v>
      </c>
      <c r="S1892" s="59">
        <v>3</v>
      </c>
      <c r="V1892" s="4" t="s">
        <v>1477</v>
      </c>
      <c r="AL1892" s="60"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6">
        <v>2</v>
      </c>
      <c r="Q1893" s="57">
        <v>0</v>
      </c>
      <c r="R1893" s="58">
        <v>1</v>
      </c>
      <c r="S1893" s="59">
        <v>2</v>
      </c>
      <c r="V1893" s="4" t="s">
        <v>1064</v>
      </c>
      <c r="AL1893" s="60"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6">
        <v>3</v>
      </c>
      <c r="Q1894" s="57">
        <v>1</v>
      </c>
      <c r="R1894" s="58">
        <v>1</v>
      </c>
      <c r="S1894" s="59">
        <v>3</v>
      </c>
      <c r="V1894" s="4" t="s">
        <v>1204</v>
      </c>
      <c r="AL1894" s="60"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6">
        <v>2</v>
      </c>
      <c r="Q1895" s="57">
        <v>0</v>
      </c>
      <c r="R1895" s="58">
        <v>0</v>
      </c>
      <c r="S1895" s="59">
        <v>2</v>
      </c>
      <c r="V1895" s="4" t="s">
        <v>981</v>
      </c>
      <c r="AL1895" s="60"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6">
        <v>1</v>
      </c>
      <c r="Q1896" s="57">
        <v>3</v>
      </c>
      <c r="R1896" s="58">
        <v>2</v>
      </c>
      <c r="S1896" s="59">
        <v>4</v>
      </c>
      <c r="V1896" s="4" t="s">
        <v>1453</v>
      </c>
      <c r="AL1896" s="60"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60"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60"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60"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60"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60"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60"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60"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60"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60"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60"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60"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60"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60"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60"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60"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60"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60"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60"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60"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60"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60"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60"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60"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60"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60"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60"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60"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60"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60"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60"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60"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60"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60"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60"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60"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60"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60"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60"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60"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60"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60"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60"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60"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60"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6">
        <v>3</v>
      </c>
      <c r="Q1941" s="57">
        <v>4</v>
      </c>
      <c r="R1941" s="58">
        <v>1</v>
      </c>
      <c r="S1941" s="59">
        <v>5</v>
      </c>
      <c r="V1941" s="4" t="s">
        <v>1272</v>
      </c>
      <c r="AL1941" s="60"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6">
        <v>3</v>
      </c>
      <c r="Q1942" s="57">
        <v>1</v>
      </c>
      <c r="R1942" s="58">
        <v>2</v>
      </c>
      <c r="S1942" s="59">
        <v>4</v>
      </c>
      <c r="V1942" s="4" t="s">
        <v>1045</v>
      </c>
      <c r="AL1942" s="60"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6">
        <v>1</v>
      </c>
      <c r="Q1943" s="57">
        <v>2</v>
      </c>
      <c r="R1943" s="58">
        <v>2</v>
      </c>
      <c r="S1943" s="59">
        <v>4</v>
      </c>
      <c r="V1943" s="4" t="s">
        <v>1095</v>
      </c>
      <c r="AL1943" s="60"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6">
        <v>1</v>
      </c>
      <c r="Q1944" s="57">
        <v>3</v>
      </c>
      <c r="R1944" s="58">
        <v>1</v>
      </c>
      <c r="S1944" s="59">
        <v>3</v>
      </c>
      <c r="V1944" s="4" t="s">
        <v>1483</v>
      </c>
      <c r="AL1944" s="60"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6">
        <v>3</v>
      </c>
      <c r="Q1945" s="57">
        <v>1</v>
      </c>
      <c r="R1945" s="58">
        <v>1</v>
      </c>
      <c r="S1945" s="59">
        <v>2</v>
      </c>
      <c r="V1945" s="4" t="s">
        <v>973</v>
      </c>
      <c r="AL1945" s="60"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6">
        <v>0</v>
      </c>
      <c r="Q1946" s="57">
        <v>2</v>
      </c>
      <c r="R1946" s="58">
        <v>1</v>
      </c>
      <c r="S1946" s="59">
        <v>3</v>
      </c>
      <c r="V1946" s="4" t="s">
        <v>1577</v>
      </c>
      <c r="AL1946" s="60"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6">
        <v>0</v>
      </c>
      <c r="Q1947" s="57">
        <v>2</v>
      </c>
      <c r="R1947" s="58">
        <v>1</v>
      </c>
      <c r="S1947" s="59">
        <v>2</v>
      </c>
      <c r="V1947" s="4" t="s">
        <v>1442</v>
      </c>
      <c r="AL1947" s="60"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6">
        <v>3</v>
      </c>
      <c r="Q1948" s="57">
        <v>3</v>
      </c>
      <c r="R1948" s="58">
        <v>2</v>
      </c>
      <c r="S1948" s="59">
        <v>3</v>
      </c>
      <c r="V1948" s="4" t="s">
        <v>1056</v>
      </c>
      <c r="AL1948" s="60"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6">
        <v>2</v>
      </c>
      <c r="Q1949" s="57">
        <v>2</v>
      </c>
      <c r="R1949" s="58">
        <v>0</v>
      </c>
      <c r="S1949" s="59">
        <v>3</v>
      </c>
      <c r="V1949" s="4" t="s">
        <v>1240</v>
      </c>
      <c r="AL1949" s="60"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60"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60"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60"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60"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60"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60"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60"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60"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60"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60"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60"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60" t="s">
        <v>30</v>
      </c>
      <c r="AN1961" s="4" t="s">
        <v>30</v>
      </c>
    </row>
    <row r="1962" spans="1:40" ht="24" x14ac:dyDescent="0.2">
      <c r="A1962" s="111" t="s">
        <v>916</v>
      </c>
      <c r="B1962" s="111" t="s">
        <v>1118</v>
      </c>
      <c r="C1962" s="111" t="s">
        <v>5734</v>
      </c>
      <c r="D1962" s="111">
        <v>101</v>
      </c>
      <c r="E1962" s="111">
        <v>2</v>
      </c>
      <c r="F1962" s="111" t="s">
        <v>924</v>
      </c>
      <c r="G1962" s="111" t="s">
        <v>1119</v>
      </c>
      <c r="I1962" s="1" t="s">
        <v>82</v>
      </c>
      <c r="K1962" s="4" t="s">
        <v>324</v>
      </c>
      <c r="L1962" s="4"/>
      <c r="M1962" s="1"/>
      <c r="V1962" s="4" t="s">
        <v>1120</v>
      </c>
      <c r="W1962" s="4" t="s">
        <v>1121</v>
      </c>
      <c r="AL1962" s="60"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60"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60"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60"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60"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60"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5">
        <v>2</v>
      </c>
      <c r="T1968" s="60">
        <v>7</v>
      </c>
      <c r="V1968" s="4" t="s">
        <v>923</v>
      </c>
      <c r="AL1968" s="60"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5">
        <v>4</v>
      </c>
      <c r="T1969" s="60">
        <v>2</v>
      </c>
      <c r="V1969" s="4" t="s">
        <v>1392</v>
      </c>
      <c r="AL1969" s="60"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5">
        <v>2</v>
      </c>
      <c r="T1970" s="60">
        <v>3</v>
      </c>
      <c r="V1970" s="4" t="s">
        <v>1550</v>
      </c>
      <c r="W1970" s="4" t="s">
        <v>1551</v>
      </c>
      <c r="AL1970" s="60"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5">
        <v>5</v>
      </c>
      <c r="T1971" s="60">
        <v>5</v>
      </c>
      <c r="V1971" s="4" t="s">
        <v>957</v>
      </c>
      <c r="AL1971" s="60"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5">
        <v>3</v>
      </c>
      <c r="T1972" s="60">
        <v>6</v>
      </c>
      <c r="V1972" s="4" t="s">
        <v>1218</v>
      </c>
      <c r="W1972" s="4" t="s">
        <v>1219</v>
      </c>
      <c r="AL1972" s="60"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5">
        <v>2</v>
      </c>
      <c r="T1973" s="60">
        <v>4</v>
      </c>
      <c r="V1973" s="4" t="s">
        <v>1519</v>
      </c>
      <c r="W1973" s="4" t="s">
        <v>1520</v>
      </c>
      <c r="AL1973" s="60"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5">
        <v>3</v>
      </c>
      <c r="T1974" s="60">
        <v>6</v>
      </c>
      <c r="U1974" s="1">
        <v>2</v>
      </c>
      <c r="V1974" s="4" t="s">
        <v>1290</v>
      </c>
      <c r="AL1974" s="60"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60"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6">
        <v>3</v>
      </c>
      <c r="Q1976" s="57">
        <v>3</v>
      </c>
      <c r="R1976" s="58">
        <v>1</v>
      </c>
      <c r="S1976" s="59">
        <v>4</v>
      </c>
      <c r="V1976" s="4" t="s">
        <v>1279</v>
      </c>
      <c r="AL1976" s="60"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4">
        <v>45</v>
      </c>
      <c r="O1977" s="55">
        <v>4</v>
      </c>
      <c r="Q1977" s="57">
        <v>7</v>
      </c>
      <c r="R1977" s="58">
        <v>4</v>
      </c>
      <c r="S1977" s="59">
        <v>12</v>
      </c>
      <c r="U1977" s="1">
        <v>3</v>
      </c>
      <c r="V1977" s="4" t="s">
        <v>1596</v>
      </c>
      <c r="AL1977" s="60"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4">
        <v>48</v>
      </c>
      <c r="O1978" s="55">
        <v>5</v>
      </c>
      <c r="Q1978" s="57">
        <v>9</v>
      </c>
      <c r="R1978" s="58">
        <v>5</v>
      </c>
      <c r="S1978" s="59">
        <v>20</v>
      </c>
      <c r="U1978" s="1">
        <v>5</v>
      </c>
      <c r="V1978" s="4" t="s">
        <v>1295</v>
      </c>
      <c r="AL1978" s="60"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4">
        <v>30</v>
      </c>
      <c r="O1979" s="55">
        <v>1</v>
      </c>
      <c r="Q1979" s="57">
        <v>2</v>
      </c>
      <c r="R1979" s="58">
        <v>1</v>
      </c>
      <c r="S1979" s="59">
        <v>5</v>
      </c>
      <c r="V1979" s="4" t="s">
        <v>1353</v>
      </c>
      <c r="W1979" s="4" t="s">
        <v>1354</v>
      </c>
      <c r="AL1979" s="60"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4">
        <v>33</v>
      </c>
      <c r="O1980" s="55">
        <v>3</v>
      </c>
      <c r="Q1980" s="57">
        <v>5</v>
      </c>
      <c r="R1980" s="58">
        <v>1</v>
      </c>
      <c r="S1980" s="59">
        <v>6</v>
      </c>
      <c r="V1980" s="4" t="s">
        <v>1030</v>
      </c>
      <c r="W1980" s="4" t="s">
        <v>1031</v>
      </c>
      <c r="AL1980" s="60"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4">
        <v>20</v>
      </c>
      <c r="O1981" s="55">
        <v>2</v>
      </c>
      <c r="Q1981" s="57">
        <v>4</v>
      </c>
      <c r="R1981" s="58">
        <v>1</v>
      </c>
      <c r="S1981" s="59">
        <v>4</v>
      </c>
      <c r="V1981" s="4" t="s">
        <v>1474</v>
      </c>
      <c r="AL1981" s="60"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4">
        <v>25</v>
      </c>
      <c r="O1982" s="55">
        <v>2</v>
      </c>
      <c r="Q1982" s="57">
        <v>2</v>
      </c>
      <c r="R1982" s="58">
        <v>3</v>
      </c>
      <c r="S1982" s="59">
        <v>5</v>
      </c>
      <c r="V1982" s="4" t="s">
        <v>1021</v>
      </c>
      <c r="W1982" s="4" t="s">
        <v>1022</v>
      </c>
      <c r="AL1982" s="60"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4">
        <v>32</v>
      </c>
      <c r="O1983" s="55">
        <v>3</v>
      </c>
      <c r="Q1983" s="57">
        <v>3</v>
      </c>
      <c r="R1983" s="58">
        <v>2</v>
      </c>
      <c r="S1983" s="59">
        <v>4</v>
      </c>
      <c r="V1983" s="4" t="s">
        <v>1263</v>
      </c>
      <c r="W1983" s="4" t="s">
        <v>1264</v>
      </c>
      <c r="AL1983" s="60"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4">
        <v>28</v>
      </c>
      <c r="O1984" s="55">
        <v>1</v>
      </c>
      <c r="Q1984" s="57">
        <v>2</v>
      </c>
      <c r="R1984" s="58">
        <v>1</v>
      </c>
      <c r="S1984" s="59">
        <v>3</v>
      </c>
      <c r="V1984" s="4" t="s">
        <v>1555</v>
      </c>
      <c r="AL1984" s="60"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4">
        <v>1</v>
      </c>
      <c r="O1985" s="55">
        <v>3</v>
      </c>
      <c r="Q1985" s="57">
        <v>6</v>
      </c>
      <c r="R1985" s="58">
        <v>3</v>
      </c>
      <c r="S1985" s="59">
        <v>10</v>
      </c>
      <c r="V1985" s="4" t="s">
        <v>1438</v>
      </c>
      <c r="AL1985" s="60" t="s">
        <v>30</v>
      </c>
      <c r="AN1985" s="4" t="s">
        <v>30</v>
      </c>
      <c r="AQ1985" s="1"/>
    </row>
    <row r="1986" spans="1:43" ht="72" x14ac:dyDescent="0.2">
      <c r="A1986" s="111" t="s">
        <v>916</v>
      </c>
      <c r="B1986" s="111" t="s">
        <v>1569</v>
      </c>
      <c r="C1986" s="111" t="s">
        <v>5734</v>
      </c>
      <c r="D1986" s="111">
        <v>125</v>
      </c>
      <c r="E1986" s="111">
        <v>1</v>
      </c>
      <c r="F1986" s="111" t="s">
        <v>938</v>
      </c>
      <c r="G1986" s="111" t="s">
        <v>1570</v>
      </c>
      <c r="H1986" s="1" t="s">
        <v>26</v>
      </c>
      <c r="I1986" s="1" t="s">
        <v>94</v>
      </c>
      <c r="K1986" s="4" t="s">
        <v>1319</v>
      </c>
      <c r="L1986" s="4" t="s">
        <v>1571</v>
      </c>
      <c r="M1986" s="1"/>
      <c r="N1986" s="54">
        <v>50</v>
      </c>
      <c r="O1986" s="55">
        <v>8</v>
      </c>
      <c r="Q1986" s="57">
        <v>15</v>
      </c>
      <c r="R1986" s="58">
        <v>9</v>
      </c>
      <c r="S1986" s="59">
        <v>40</v>
      </c>
      <c r="V1986" s="4" t="s">
        <v>1572</v>
      </c>
      <c r="AL1986" s="60"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5">
        <v>5</v>
      </c>
      <c r="T1987" s="60">
        <v>15</v>
      </c>
      <c r="U1987" s="1">
        <v>1</v>
      </c>
      <c r="V1987" s="4" t="s">
        <v>1287</v>
      </c>
      <c r="AL1987" s="60"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4">
        <v>42</v>
      </c>
      <c r="O1988" s="55">
        <v>5</v>
      </c>
      <c r="Q1988" s="57">
        <v>9</v>
      </c>
      <c r="R1988" s="58">
        <v>5</v>
      </c>
      <c r="S1988" s="59">
        <v>21</v>
      </c>
      <c r="U1988" s="1">
        <v>5</v>
      </c>
      <c r="V1988" s="4" t="s">
        <v>1531</v>
      </c>
      <c r="W1988" s="4" t="s">
        <v>1532</v>
      </c>
      <c r="AL1988" s="60"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60"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4">
        <v>40</v>
      </c>
      <c r="O1990" s="55">
        <v>5</v>
      </c>
      <c r="Q1990" s="57">
        <v>10</v>
      </c>
      <c r="R1990" s="58">
        <v>4</v>
      </c>
      <c r="S1990" s="59">
        <v>25</v>
      </c>
      <c r="U1990" s="1">
        <v>6</v>
      </c>
      <c r="V1990" s="4" t="s">
        <v>1026</v>
      </c>
      <c r="AL1990" s="60"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4">
        <v>30</v>
      </c>
      <c r="O1991" s="55">
        <v>2</v>
      </c>
      <c r="Q1991" s="57">
        <v>6</v>
      </c>
      <c r="R1991" s="58">
        <v>3</v>
      </c>
      <c r="S1991" s="59">
        <v>9</v>
      </c>
      <c r="V1991" s="4" t="s">
        <v>1399</v>
      </c>
      <c r="W1991" s="4" t="s">
        <v>1400</v>
      </c>
      <c r="AL1991" s="60"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4">
        <v>28</v>
      </c>
      <c r="O1992" s="55">
        <v>3</v>
      </c>
      <c r="Q1992" s="57">
        <v>5</v>
      </c>
      <c r="R1992" s="58">
        <v>2</v>
      </c>
      <c r="S1992" s="59">
        <v>6</v>
      </c>
      <c r="V1992" s="4" t="s">
        <v>946</v>
      </c>
      <c r="AL1992" s="60"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4">
        <v>25</v>
      </c>
      <c r="O1993" s="55">
        <v>2</v>
      </c>
      <c r="Q1993" s="57">
        <v>4</v>
      </c>
      <c r="R1993" s="58">
        <v>1</v>
      </c>
      <c r="S1993" s="59">
        <v>5</v>
      </c>
      <c r="V1993" s="4" t="s">
        <v>1446</v>
      </c>
      <c r="W1993" s="4" t="s">
        <v>1447</v>
      </c>
      <c r="AL1993" s="60"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4">
        <v>37</v>
      </c>
      <c r="O1994" s="55">
        <v>4</v>
      </c>
      <c r="Q1994" s="57">
        <v>7</v>
      </c>
      <c r="R1994" s="58">
        <v>3</v>
      </c>
      <c r="S1994" s="59">
        <v>22</v>
      </c>
      <c r="U1994" s="1">
        <v>5</v>
      </c>
      <c r="V1994" s="4" t="s">
        <v>1365</v>
      </c>
      <c r="W1994" s="4" t="s">
        <v>1366</v>
      </c>
      <c r="AL1994" s="60"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4">
        <v>40</v>
      </c>
      <c r="O1995" s="55">
        <v>5</v>
      </c>
      <c r="Q1995" s="57">
        <v>8</v>
      </c>
      <c r="R1995" s="58">
        <v>5</v>
      </c>
      <c r="S1995" s="59">
        <v>20</v>
      </c>
      <c r="U1995" s="1">
        <v>5</v>
      </c>
      <c r="V1995" s="4" t="s">
        <v>1143</v>
      </c>
      <c r="AL1995" s="60"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4">
        <v>35</v>
      </c>
      <c r="O1996" s="55">
        <v>5</v>
      </c>
      <c r="Q1996" s="57">
        <v>7</v>
      </c>
      <c r="R1996" s="58">
        <v>4</v>
      </c>
      <c r="S1996" s="59">
        <v>15</v>
      </c>
      <c r="V1996" s="4" t="s">
        <v>1396</v>
      </c>
      <c r="AL1996" s="60"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60"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5">
        <v>3</v>
      </c>
      <c r="T1998" s="60">
        <v>4</v>
      </c>
      <c r="V1998" s="4" t="s">
        <v>1113</v>
      </c>
      <c r="AL1998" s="60"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5">
        <v>2</v>
      </c>
      <c r="T1999" s="60">
        <v>6</v>
      </c>
      <c r="V1999" s="4" t="s">
        <v>1502</v>
      </c>
      <c r="W1999" s="4" t="s">
        <v>1503</v>
      </c>
      <c r="AL1999" s="60"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60"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5">
        <v>4</v>
      </c>
      <c r="T2001" s="60">
        <v>3</v>
      </c>
      <c r="V2001" s="4" t="s">
        <v>1588</v>
      </c>
      <c r="W2001" s="4" t="s">
        <v>1589</v>
      </c>
      <c r="AL2001" s="60"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5">
        <v>1</v>
      </c>
      <c r="T2002" s="60">
        <v>8</v>
      </c>
      <c r="V2002" s="4" t="s">
        <v>1593</v>
      </c>
      <c r="AL2002" s="60"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5">
        <v>1</v>
      </c>
      <c r="T2003" s="60">
        <v>20</v>
      </c>
      <c r="U2003" s="1">
        <v>1</v>
      </c>
      <c r="V2003" s="4" t="s">
        <v>1460</v>
      </c>
      <c r="AL2003" s="60"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5">
        <v>10</v>
      </c>
      <c r="T2004" s="60">
        <v>10</v>
      </c>
      <c r="U2004" s="1">
        <v>1</v>
      </c>
      <c r="V2004" s="4" t="s">
        <v>1506</v>
      </c>
      <c r="AL2004" s="60"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5">
        <v>2</v>
      </c>
      <c r="T2005" s="60">
        <v>4</v>
      </c>
      <c r="V2005" s="4" t="s">
        <v>1313</v>
      </c>
      <c r="AL2005" s="60"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5">
        <v>3</v>
      </c>
      <c r="T2006" s="60">
        <v>3</v>
      </c>
      <c r="V2006" s="4" t="s">
        <v>1226</v>
      </c>
      <c r="W2006" s="4" t="s">
        <v>1050</v>
      </c>
      <c r="AL2006" s="60"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5">
        <v>5</v>
      </c>
      <c r="T2007" s="60">
        <v>7</v>
      </c>
      <c r="U2007" s="1">
        <v>2</v>
      </c>
      <c r="V2007" s="4" t="s">
        <v>1049</v>
      </c>
      <c r="W2007" s="4" t="s">
        <v>1050</v>
      </c>
      <c r="AL2007" s="60"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60"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60"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60"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60"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60"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60"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60"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60" t="s">
        <v>30</v>
      </c>
      <c r="AN2015" s="4" t="s">
        <v>30</v>
      </c>
      <c r="AQ2015" s="1"/>
    </row>
    <row r="2016" spans="1:43" ht="72" x14ac:dyDescent="0.2">
      <c r="A2016" s="111" t="s">
        <v>916</v>
      </c>
      <c r="B2016" s="111" t="s">
        <v>1420</v>
      </c>
      <c r="C2016" s="111" t="s">
        <v>5734</v>
      </c>
      <c r="D2016" s="111">
        <v>155</v>
      </c>
      <c r="E2016" s="111">
        <v>3</v>
      </c>
      <c r="F2016" s="111" t="s">
        <v>933</v>
      </c>
      <c r="G2016" s="111" t="s">
        <v>1421</v>
      </c>
      <c r="H2016" s="1" t="s">
        <v>26</v>
      </c>
      <c r="I2016" s="1" t="s">
        <v>94</v>
      </c>
      <c r="K2016" s="4" t="s">
        <v>930</v>
      </c>
      <c r="L2016" s="4" t="s">
        <v>931</v>
      </c>
      <c r="M2016" s="1"/>
      <c r="N2016" s="54">
        <v>50</v>
      </c>
      <c r="O2016" s="55">
        <v>5</v>
      </c>
      <c r="Q2016" s="57">
        <v>6</v>
      </c>
      <c r="R2016" s="58">
        <v>7</v>
      </c>
      <c r="S2016" s="59">
        <v>20</v>
      </c>
      <c r="V2016" s="4" t="s">
        <v>1422</v>
      </c>
      <c r="AL2016" s="60"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5">
        <v>4</v>
      </c>
      <c r="T2017" s="60">
        <v>2</v>
      </c>
      <c r="V2017" s="4" t="s">
        <v>1362</v>
      </c>
      <c r="AL2017" s="60"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5">
        <v>3</v>
      </c>
      <c r="T2018" s="60">
        <v>4</v>
      </c>
      <c r="V2018" s="4" t="s">
        <v>1180</v>
      </c>
      <c r="AL2018" s="60"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5">
        <v>2</v>
      </c>
      <c r="T2019" s="60">
        <v>5</v>
      </c>
      <c r="V2019" s="4" t="s">
        <v>1381</v>
      </c>
      <c r="W2019" s="4" t="s">
        <v>1382</v>
      </c>
      <c r="AL2019" s="60"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5">
        <v>3</v>
      </c>
      <c r="T2020" s="60">
        <v>6</v>
      </c>
      <c r="V2020" s="4" t="s">
        <v>1580</v>
      </c>
      <c r="W2020" s="4" t="s">
        <v>1581</v>
      </c>
      <c r="AL2020" s="60"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5">
        <v>2</v>
      </c>
      <c r="T2021" s="60">
        <v>3</v>
      </c>
      <c r="V2021" s="4" t="s">
        <v>1038</v>
      </c>
      <c r="W2021" s="4" t="s">
        <v>1039</v>
      </c>
      <c r="AL2021" s="60"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5">
        <v>2</v>
      </c>
      <c r="T2022" s="60">
        <v>5</v>
      </c>
      <c r="V2022" s="4" t="s">
        <v>1014</v>
      </c>
      <c r="AL2022" s="60"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5">
        <v>5</v>
      </c>
      <c r="T2023" s="60">
        <v>4</v>
      </c>
      <c r="V2023" s="4" t="s">
        <v>1060</v>
      </c>
      <c r="AL2023" s="60"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5">
        <v>4</v>
      </c>
      <c r="T2024" s="60">
        <v>10</v>
      </c>
      <c r="V2024" s="4" t="s">
        <v>1516</v>
      </c>
      <c r="AL2024" s="60"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5">
        <v>2</v>
      </c>
      <c r="T2025" s="60">
        <v>6</v>
      </c>
      <c r="V2025" s="4" t="s">
        <v>1537</v>
      </c>
      <c r="AL2025" s="60"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60"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60"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60"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4">
        <v>50</v>
      </c>
      <c r="O2029" s="55">
        <v>6</v>
      </c>
      <c r="Q2029" s="57">
        <v>5</v>
      </c>
      <c r="R2029" s="58">
        <v>8</v>
      </c>
      <c r="S2029" s="59">
        <v>20</v>
      </c>
      <c r="V2029" s="4" t="s">
        <v>932</v>
      </c>
      <c r="AL2029" s="60"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60"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60"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60"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60"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5">
        <v>3</v>
      </c>
      <c r="T2034" s="60">
        <v>5</v>
      </c>
      <c r="V2034" s="4" t="s">
        <v>1544</v>
      </c>
      <c r="AL2034" s="60"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4">
        <v>50</v>
      </c>
      <c r="O2035" s="55">
        <v>4</v>
      </c>
      <c r="Q2035" s="57">
        <v>8</v>
      </c>
      <c r="R2035" s="58">
        <v>6</v>
      </c>
      <c r="S2035" s="59">
        <v>20</v>
      </c>
      <c r="V2035" s="4" t="s">
        <v>1207</v>
      </c>
      <c r="AL2035" s="60"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4">
        <v>1</v>
      </c>
      <c r="O2036" s="55">
        <v>6</v>
      </c>
      <c r="Q2036" s="57">
        <v>9</v>
      </c>
      <c r="R2036" s="58">
        <v>9</v>
      </c>
      <c r="S2036" s="59">
        <v>25</v>
      </c>
      <c r="V2036" s="4" t="s">
        <v>995</v>
      </c>
      <c r="AL2036" s="60"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6">
        <v>2</v>
      </c>
      <c r="Q2037" s="57">
        <v>2</v>
      </c>
      <c r="R2037" s="58">
        <v>2</v>
      </c>
      <c r="S2037" s="59">
        <v>4</v>
      </c>
      <c r="V2037" s="4" t="s">
        <v>1470</v>
      </c>
      <c r="AL2037" s="60" t="s">
        <v>30</v>
      </c>
      <c r="AN2037" s="4" t="s">
        <v>30</v>
      </c>
      <c r="AQ2037" s="1"/>
    </row>
    <row r="2038" spans="1:43" ht="60" x14ac:dyDescent="0.2">
      <c r="A2038" s="111" t="s">
        <v>916</v>
      </c>
      <c r="B2038" s="111" t="s">
        <v>1461</v>
      </c>
      <c r="C2038" s="111" t="s">
        <v>5734</v>
      </c>
      <c r="D2038" s="111">
        <v>177</v>
      </c>
      <c r="E2038" s="111">
        <v>1</v>
      </c>
      <c r="F2038" s="111" t="s">
        <v>924</v>
      </c>
      <c r="G2038" s="111" t="s">
        <v>8203</v>
      </c>
      <c r="I2038" s="1" t="s">
        <v>125</v>
      </c>
      <c r="K2038" s="4"/>
      <c r="L2038" s="4"/>
      <c r="M2038" s="1">
        <v>1</v>
      </c>
      <c r="N2038" s="54" t="s">
        <v>9529</v>
      </c>
      <c r="V2038" s="4" t="s">
        <v>1462</v>
      </c>
      <c r="X2038" s="1" t="s">
        <v>1463</v>
      </c>
      <c r="Y2038" s="1" t="s">
        <v>8203</v>
      </c>
      <c r="AA2038" s="1" t="s">
        <v>125</v>
      </c>
      <c r="AE2038" s="1">
        <v>1</v>
      </c>
      <c r="AF2038" s="54" t="s">
        <v>9530</v>
      </c>
      <c r="AL2038" s="60">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4" t="s">
        <v>9529</v>
      </c>
      <c r="V2039" s="4" t="s">
        <v>1196</v>
      </c>
      <c r="Y2039" s="1" t="s">
        <v>8204</v>
      </c>
      <c r="AA2039" s="1" t="s">
        <v>125</v>
      </c>
      <c r="AE2039" s="1">
        <v>2</v>
      </c>
      <c r="AF2039" s="54" t="s">
        <v>9530</v>
      </c>
      <c r="AL2039" s="60"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4" t="s">
        <v>9529</v>
      </c>
      <c r="V2040" s="4" t="s">
        <v>1090</v>
      </c>
      <c r="Y2040" s="1" t="s">
        <v>8205</v>
      </c>
      <c r="AA2040" s="1" t="s">
        <v>125</v>
      </c>
      <c r="AE2040" s="1">
        <v>3</v>
      </c>
      <c r="AF2040" s="54" t="s">
        <v>9530</v>
      </c>
      <c r="AL2040" s="60"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4" t="s">
        <v>9529</v>
      </c>
      <c r="T2041" s="60" t="s">
        <v>799</v>
      </c>
      <c r="Y2041" s="1" t="s">
        <v>1574</v>
      </c>
      <c r="AA2041" s="1" t="s">
        <v>3482</v>
      </c>
      <c r="AF2041" s="54" t="s">
        <v>9530</v>
      </c>
      <c r="AL2041" s="60"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4" t="s">
        <v>9529</v>
      </c>
      <c r="V2042" s="4" t="s">
        <v>1170</v>
      </c>
      <c r="X2042" s="1" t="s">
        <v>1171</v>
      </c>
      <c r="Y2042" s="1" t="s">
        <v>8206</v>
      </c>
      <c r="AA2042" s="1" t="s">
        <v>125</v>
      </c>
      <c r="AE2042" s="1">
        <v>1</v>
      </c>
      <c r="AF2042" s="54" t="s">
        <v>9530</v>
      </c>
      <c r="AL2042" s="60"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4" t="s">
        <v>9529</v>
      </c>
      <c r="V2043" s="4" t="s">
        <v>1152</v>
      </c>
      <c r="Y2043" s="1" t="s">
        <v>8207</v>
      </c>
      <c r="AA2043" s="1" t="s">
        <v>125</v>
      </c>
      <c r="AE2043" s="1">
        <v>2</v>
      </c>
      <c r="AF2043" s="54" t="s">
        <v>9530</v>
      </c>
      <c r="AL2043" s="60"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4" t="s">
        <v>9529</v>
      </c>
      <c r="Y2044" s="1" t="s">
        <v>8208</v>
      </c>
      <c r="AA2044" s="1" t="s">
        <v>125</v>
      </c>
      <c r="AE2044" s="1">
        <v>3</v>
      </c>
      <c r="AF2044" s="54" t="s">
        <v>9530</v>
      </c>
      <c r="AL2044" s="60"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4" t="s">
        <v>9529</v>
      </c>
      <c r="V2045" s="4" t="s">
        <v>1281</v>
      </c>
      <c r="Y2045" s="1" t="s">
        <v>8209</v>
      </c>
      <c r="AA2045" s="1" t="s">
        <v>125</v>
      </c>
      <c r="AE2045" s="1">
        <v>4</v>
      </c>
      <c r="AF2045" s="54" t="s">
        <v>9530</v>
      </c>
      <c r="AL2045" s="60"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4" t="s">
        <v>9529</v>
      </c>
      <c r="T2046" s="60" t="s">
        <v>799</v>
      </c>
      <c r="Y2046" s="1" t="s">
        <v>991</v>
      </c>
      <c r="AA2046" s="1" t="s">
        <v>3482</v>
      </c>
      <c r="AF2046" s="54" t="s">
        <v>9530</v>
      </c>
      <c r="AL2046" s="60"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4" t="s">
        <v>9529</v>
      </c>
      <c r="V2047" s="4" t="s">
        <v>963</v>
      </c>
      <c r="X2047" s="1" t="s">
        <v>964</v>
      </c>
      <c r="Y2047" s="1" t="s">
        <v>8210</v>
      </c>
      <c r="AA2047" s="1" t="s">
        <v>125</v>
      </c>
      <c r="AE2047" s="1">
        <v>1</v>
      </c>
      <c r="AF2047" s="54" t="s">
        <v>9530</v>
      </c>
      <c r="AL2047" s="60">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4" t="s">
        <v>9529</v>
      </c>
      <c r="V2048" s="4" t="s">
        <v>1527</v>
      </c>
      <c r="Y2048" s="1" t="s">
        <v>8211</v>
      </c>
      <c r="AA2048" s="1" t="s">
        <v>125</v>
      </c>
      <c r="AE2048" s="1">
        <v>2</v>
      </c>
      <c r="AF2048" s="54" t="s">
        <v>9530</v>
      </c>
      <c r="AL2048" s="60"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4" t="s">
        <v>9529</v>
      </c>
      <c r="V2049" s="4" t="s">
        <v>1104</v>
      </c>
      <c r="Y2049" s="1" t="s">
        <v>8212</v>
      </c>
      <c r="AA2049" s="1" t="s">
        <v>125</v>
      </c>
      <c r="AE2049" s="1">
        <v>3</v>
      </c>
      <c r="AF2049" s="54" t="s">
        <v>9530</v>
      </c>
      <c r="AL2049" s="60"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4" t="s">
        <v>9529</v>
      </c>
      <c r="T2050" s="60" t="s">
        <v>799</v>
      </c>
      <c r="Y2050" s="1" t="s">
        <v>1522</v>
      </c>
      <c r="AA2050" s="1" t="s">
        <v>3482</v>
      </c>
      <c r="AF2050" s="54" t="s">
        <v>9530</v>
      </c>
      <c r="AL2050" s="60" t="s">
        <v>30</v>
      </c>
      <c r="AN2050" s="4" t="s">
        <v>30</v>
      </c>
      <c r="AQ2050" s="1"/>
    </row>
    <row r="2051" spans="1:43" ht="60" x14ac:dyDescent="0.2">
      <c r="A2051" s="115" t="s">
        <v>7985</v>
      </c>
      <c r="B2051" s="115" t="s">
        <v>7986</v>
      </c>
      <c r="C2051" s="115" t="s">
        <v>8062</v>
      </c>
      <c r="D2051" s="115">
        <v>1</v>
      </c>
      <c r="E2051" s="115">
        <v>1</v>
      </c>
      <c r="F2051" s="115" t="s">
        <v>7987</v>
      </c>
      <c r="G2051" s="115" t="s">
        <v>9587</v>
      </c>
      <c r="I2051" s="1" t="s">
        <v>125</v>
      </c>
      <c r="K2051" s="4"/>
      <c r="L2051" s="4"/>
      <c r="M2051" s="1">
        <v>1</v>
      </c>
      <c r="N2051" s="54" t="s">
        <v>9529</v>
      </c>
      <c r="O2051" s="69"/>
      <c r="P2051" s="70"/>
      <c r="Q2051" s="71"/>
      <c r="R2051" s="72"/>
      <c r="S2051" s="73"/>
      <c r="V2051" s="4" t="s">
        <v>8063</v>
      </c>
      <c r="X2051" s="1" t="s">
        <v>7988</v>
      </c>
      <c r="Y2051" s="1" t="s">
        <v>9587</v>
      </c>
      <c r="AA2051" s="1" t="s">
        <v>125</v>
      </c>
      <c r="AE2051" s="1">
        <v>1</v>
      </c>
      <c r="AF2051" s="54" t="s">
        <v>9530</v>
      </c>
      <c r="AG2051" s="69"/>
      <c r="AH2051" s="70"/>
      <c r="AI2051" s="71"/>
      <c r="AJ2051" s="72"/>
      <c r="AK2051" s="73"/>
      <c r="AL2051" s="60">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4" t="s">
        <v>9529</v>
      </c>
      <c r="O2052" s="69"/>
      <c r="P2052" s="70"/>
      <c r="Q2052" s="71"/>
      <c r="R2052" s="72"/>
      <c r="S2052" s="73"/>
      <c r="V2052" s="4" t="s">
        <v>7991</v>
      </c>
      <c r="Y2052" s="1" t="s">
        <v>9644</v>
      </c>
      <c r="AA2052" s="1" t="s">
        <v>125</v>
      </c>
      <c r="AE2052" s="1">
        <v>2</v>
      </c>
      <c r="AF2052" s="54" t="s">
        <v>9530</v>
      </c>
      <c r="AG2052" s="69"/>
      <c r="AH2052" s="70"/>
      <c r="AI2052" s="71"/>
      <c r="AJ2052" s="72"/>
      <c r="AK2052" s="73"/>
      <c r="AL2052" s="60">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4" t="s">
        <v>9529</v>
      </c>
      <c r="O2053" s="69"/>
      <c r="P2053" s="70"/>
      <c r="Q2053" s="71"/>
      <c r="R2053" s="72"/>
      <c r="S2053" s="73"/>
      <c r="V2053" s="4" t="s">
        <v>7994</v>
      </c>
      <c r="Y2053" s="1" t="s">
        <v>9704</v>
      </c>
      <c r="AA2053" s="1" t="s">
        <v>125</v>
      </c>
      <c r="AE2053" s="1">
        <v>3</v>
      </c>
      <c r="AF2053" s="54" t="s">
        <v>9530</v>
      </c>
      <c r="AG2053" s="69"/>
      <c r="AH2053" s="70"/>
      <c r="AI2053" s="71"/>
      <c r="AJ2053" s="72"/>
      <c r="AK2053" s="73"/>
      <c r="AL2053" s="60">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8">
        <v>25</v>
      </c>
      <c r="O2054" s="69" t="s">
        <v>113</v>
      </c>
      <c r="P2054" s="70"/>
      <c r="Q2054" s="71" t="s">
        <v>113</v>
      </c>
      <c r="R2054" s="72">
        <v>4</v>
      </c>
      <c r="S2054" s="73">
        <v>7</v>
      </c>
      <c r="U2054" s="1">
        <v>2</v>
      </c>
      <c r="V2054" s="4" t="s">
        <v>7999</v>
      </c>
      <c r="X2054" s="1" t="s">
        <v>1681</v>
      </c>
      <c r="AF2054" s="68"/>
      <c r="AG2054" s="69"/>
      <c r="AH2054" s="70"/>
      <c r="AI2054" s="71"/>
      <c r="AJ2054" s="72"/>
      <c r="AK2054" s="73"/>
      <c r="AL2054" s="60"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8">
        <v>45</v>
      </c>
      <c r="O2055" s="69" t="s">
        <v>113</v>
      </c>
      <c r="P2055" s="70"/>
      <c r="Q2055" s="71" t="s">
        <v>113</v>
      </c>
      <c r="R2055" s="72">
        <v>6</v>
      </c>
      <c r="S2055" s="73">
        <v>7</v>
      </c>
      <c r="U2055" s="1">
        <v>3</v>
      </c>
      <c r="V2055" s="4" t="s">
        <v>8003</v>
      </c>
      <c r="X2055" s="1" t="s">
        <v>1681</v>
      </c>
      <c r="AF2055" s="68"/>
      <c r="AG2055" s="69"/>
      <c r="AH2055" s="70"/>
      <c r="AI2055" s="71"/>
      <c r="AJ2055" s="72"/>
      <c r="AK2055" s="73"/>
      <c r="AL2055" s="60"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8">
        <v>20</v>
      </c>
      <c r="O2056" s="69" t="s">
        <v>113</v>
      </c>
      <c r="P2056" s="70"/>
      <c r="Q2056" s="71" t="s">
        <v>113</v>
      </c>
      <c r="R2056" s="72" t="s">
        <v>113</v>
      </c>
      <c r="S2056" s="73">
        <v>9</v>
      </c>
      <c r="V2056" s="4" t="s">
        <v>8006</v>
      </c>
      <c r="X2056" s="1" t="s">
        <v>1681</v>
      </c>
      <c r="AF2056" s="68"/>
      <c r="AG2056" s="69"/>
      <c r="AH2056" s="70"/>
      <c r="AI2056" s="71"/>
      <c r="AJ2056" s="72"/>
      <c r="AK2056" s="73"/>
      <c r="AL2056" s="60"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8">
        <v>30</v>
      </c>
      <c r="O2057" s="69">
        <v>1</v>
      </c>
      <c r="P2057" s="70"/>
      <c r="Q2057" s="71">
        <v>4</v>
      </c>
      <c r="R2057" s="72">
        <v>3</v>
      </c>
      <c r="S2057" s="73">
        <v>3</v>
      </c>
      <c r="V2057" s="4" t="s">
        <v>8010</v>
      </c>
      <c r="W2057" s="4" t="s">
        <v>8011</v>
      </c>
      <c r="AF2057" s="68"/>
      <c r="AG2057" s="69"/>
      <c r="AH2057" s="70"/>
      <c r="AI2057" s="71"/>
      <c r="AJ2057" s="72"/>
      <c r="AK2057" s="73"/>
      <c r="AL2057" s="60"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8">
        <v>35</v>
      </c>
      <c r="O2058" s="69" t="s">
        <v>113</v>
      </c>
      <c r="P2058" s="70"/>
      <c r="Q2058" s="71" t="s">
        <v>113</v>
      </c>
      <c r="R2058" s="72" t="s">
        <v>113</v>
      </c>
      <c r="S2058" s="73">
        <v>7</v>
      </c>
      <c r="V2058" s="4" t="s">
        <v>8015</v>
      </c>
      <c r="AF2058" s="68"/>
      <c r="AG2058" s="69"/>
      <c r="AH2058" s="70"/>
      <c r="AI2058" s="71"/>
      <c r="AJ2058" s="72"/>
      <c r="AK2058" s="73"/>
      <c r="AL2058" s="60"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8">
        <v>30</v>
      </c>
      <c r="O2059" s="69" t="s">
        <v>113</v>
      </c>
      <c r="P2059" s="70"/>
      <c r="Q2059" s="71" t="s">
        <v>113</v>
      </c>
      <c r="R2059" s="72" t="s">
        <v>113</v>
      </c>
      <c r="S2059" s="73">
        <v>3</v>
      </c>
      <c r="V2059" s="4" t="s">
        <v>8019</v>
      </c>
      <c r="AF2059" s="68"/>
      <c r="AG2059" s="69"/>
      <c r="AH2059" s="70"/>
      <c r="AI2059" s="71"/>
      <c r="AJ2059" s="72"/>
      <c r="AK2059" s="73"/>
      <c r="AL2059" s="60"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8">
        <v>35</v>
      </c>
      <c r="O2060" s="69" t="s">
        <v>113</v>
      </c>
      <c r="P2060" s="70"/>
      <c r="Q2060" s="71" t="s">
        <v>113</v>
      </c>
      <c r="R2060" s="72" t="s">
        <v>113</v>
      </c>
      <c r="S2060" s="73">
        <v>3</v>
      </c>
      <c r="V2060" s="4" t="s">
        <v>8022</v>
      </c>
      <c r="AF2060" s="68"/>
      <c r="AG2060" s="69"/>
      <c r="AH2060" s="70"/>
      <c r="AI2060" s="71"/>
      <c r="AJ2060" s="72"/>
      <c r="AK2060" s="73"/>
      <c r="AL2060" s="60"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8"/>
      <c r="O2061" s="69" t="s">
        <v>113</v>
      </c>
      <c r="P2061" s="70"/>
      <c r="Q2061" s="71"/>
      <c r="R2061" s="72"/>
      <c r="S2061" s="73"/>
      <c r="T2061" s="60" t="s">
        <v>799</v>
      </c>
      <c r="V2061" s="4" t="s">
        <v>8026</v>
      </c>
      <c r="X2061" s="1" t="s">
        <v>1629</v>
      </c>
      <c r="AF2061" s="68"/>
      <c r="AG2061" s="69"/>
      <c r="AH2061" s="70"/>
      <c r="AI2061" s="71"/>
      <c r="AJ2061" s="72"/>
      <c r="AK2061" s="73"/>
      <c r="AL2061" s="60"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8"/>
      <c r="O2062" s="69" t="s">
        <v>113</v>
      </c>
      <c r="P2062" s="70"/>
      <c r="Q2062" s="71"/>
      <c r="R2062" s="72"/>
      <c r="S2062" s="73"/>
      <c r="T2062" s="60" t="s">
        <v>799</v>
      </c>
      <c r="V2062" s="4" t="s">
        <v>8029</v>
      </c>
      <c r="X2062" s="1" t="s">
        <v>1681</v>
      </c>
      <c r="AF2062" s="68"/>
      <c r="AG2062" s="69"/>
      <c r="AH2062" s="70"/>
      <c r="AI2062" s="71"/>
      <c r="AJ2062" s="72"/>
      <c r="AK2062" s="73"/>
      <c r="AL2062" s="60"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8"/>
      <c r="O2063" s="69" t="s">
        <v>113</v>
      </c>
      <c r="P2063" s="70"/>
      <c r="Q2063" s="71"/>
      <c r="R2063" s="72"/>
      <c r="S2063" s="73"/>
      <c r="T2063" s="60" t="s">
        <v>799</v>
      </c>
      <c r="V2063" s="4" t="s">
        <v>8033</v>
      </c>
      <c r="X2063" s="1" t="s">
        <v>1681</v>
      </c>
      <c r="AF2063" s="68"/>
      <c r="AG2063" s="69"/>
      <c r="AH2063" s="70"/>
      <c r="AI2063" s="71"/>
      <c r="AJ2063" s="72"/>
      <c r="AK2063" s="73"/>
      <c r="AL2063" s="60"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8"/>
      <c r="O2064" s="69" t="s">
        <v>113</v>
      </c>
      <c r="P2064" s="70"/>
      <c r="Q2064" s="71"/>
      <c r="R2064" s="72"/>
      <c r="S2064" s="73"/>
      <c r="T2064" s="60">
        <v>2</v>
      </c>
      <c r="V2064" s="4" t="s">
        <v>8036</v>
      </c>
      <c r="W2064" s="4" t="s">
        <v>8037</v>
      </c>
      <c r="AF2064" s="68"/>
      <c r="AG2064" s="69"/>
      <c r="AH2064" s="70"/>
      <c r="AI2064" s="71"/>
      <c r="AJ2064" s="72"/>
      <c r="AK2064" s="73"/>
      <c r="AL2064" s="60"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8"/>
      <c r="O2065" s="69">
        <v>2</v>
      </c>
      <c r="P2065" s="70"/>
      <c r="Q2065" s="71"/>
      <c r="R2065" s="72"/>
      <c r="S2065" s="73"/>
      <c r="T2065" s="60">
        <v>5</v>
      </c>
      <c r="V2065" s="4" t="s">
        <v>8041</v>
      </c>
      <c r="W2065" s="4" t="s">
        <v>8042</v>
      </c>
      <c r="AF2065" s="68"/>
      <c r="AG2065" s="69"/>
      <c r="AH2065" s="70"/>
      <c r="AI2065" s="71"/>
      <c r="AJ2065" s="72"/>
      <c r="AK2065" s="73"/>
      <c r="AL2065" s="60"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8"/>
      <c r="O2066" s="69">
        <v>1</v>
      </c>
      <c r="P2066" s="70"/>
      <c r="Q2066" s="71"/>
      <c r="R2066" s="72"/>
      <c r="S2066" s="73"/>
      <c r="T2066" s="60">
        <v>3</v>
      </c>
      <c r="W2066" s="4" t="s">
        <v>8045</v>
      </c>
      <c r="AF2066" s="68"/>
      <c r="AG2066" s="69"/>
      <c r="AH2066" s="70"/>
      <c r="AI2066" s="71"/>
      <c r="AJ2066" s="72"/>
      <c r="AK2066" s="73"/>
      <c r="AL2066" s="60"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8"/>
      <c r="O2067" s="69">
        <v>3</v>
      </c>
      <c r="P2067" s="70"/>
      <c r="Q2067" s="71"/>
      <c r="R2067" s="72"/>
      <c r="S2067" s="73"/>
      <c r="T2067" s="60">
        <v>4</v>
      </c>
      <c r="V2067" s="4" t="s">
        <v>8049</v>
      </c>
      <c r="W2067" s="4" t="s">
        <v>8050</v>
      </c>
      <c r="AF2067" s="68"/>
      <c r="AG2067" s="69"/>
      <c r="AH2067" s="70"/>
      <c r="AI2067" s="71"/>
      <c r="AJ2067" s="72"/>
      <c r="AK2067" s="73"/>
      <c r="AL2067" s="60"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8"/>
      <c r="O2068" s="69"/>
      <c r="P2068" s="70"/>
      <c r="Q2068" s="71"/>
      <c r="R2068" s="72"/>
      <c r="S2068" s="73"/>
      <c r="V2068" s="4" t="s">
        <v>8053</v>
      </c>
      <c r="W2068" s="4" t="s">
        <v>8054</v>
      </c>
      <c r="AF2068" s="68"/>
      <c r="AG2068" s="69"/>
      <c r="AH2068" s="70"/>
      <c r="AI2068" s="71"/>
      <c r="AJ2068" s="72"/>
      <c r="AK2068" s="73"/>
      <c r="AL2068" s="60"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8"/>
      <c r="O2069" s="69"/>
      <c r="P2069" s="70"/>
      <c r="Q2069" s="71"/>
      <c r="R2069" s="72"/>
      <c r="S2069" s="73"/>
      <c r="V2069" s="4" t="s">
        <v>8056</v>
      </c>
      <c r="AF2069" s="68"/>
      <c r="AG2069" s="69"/>
      <c r="AH2069" s="70"/>
      <c r="AI2069" s="71"/>
      <c r="AJ2069" s="72"/>
      <c r="AK2069" s="73"/>
      <c r="AL2069" s="60"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8"/>
      <c r="O2070" s="69"/>
      <c r="P2070" s="70"/>
      <c r="Q2070" s="71"/>
      <c r="R2070" s="72"/>
      <c r="S2070" s="73"/>
      <c r="V2070" s="4" t="s">
        <v>8059</v>
      </c>
      <c r="W2070" s="4" t="s">
        <v>8060</v>
      </c>
      <c r="AF2070" s="68"/>
      <c r="AG2070" s="69"/>
      <c r="AH2070" s="70"/>
      <c r="AI2070" s="71"/>
      <c r="AJ2070" s="72"/>
      <c r="AK2070" s="73"/>
      <c r="AL2070" s="60"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4" t="s">
        <v>9529</v>
      </c>
      <c r="O2071" s="69"/>
      <c r="P2071" s="70"/>
      <c r="Q2071" s="71"/>
      <c r="R2071" s="72"/>
      <c r="S2071" s="73"/>
      <c r="V2071" s="4" t="s">
        <v>8089</v>
      </c>
      <c r="Y2071" s="1" t="s">
        <v>8090</v>
      </c>
      <c r="AA2071" s="1" t="s">
        <v>3482</v>
      </c>
      <c r="AF2071" s="54" t="s">
        <v>9530</v>
      </c>
      <c r="AG2071" s="69"/>
      <c r="AH2071" s="70"/>
      <c r="AI2071" s="71"/>
      <c r="AJ2071" s="72"/>
      <c r="AK2071" s="73"/>
      <c r="AL2071" s="60"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2014-12-28T02:47:05Z</dcterms:modified>
</cp:coreProperties>
</file>