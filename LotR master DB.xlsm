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0" i="2" l="1"/>
  <c r="H30" i="2"/>
  <c r="I30" i="2"/>
  <c r="K30" i="2"/>
  <c r="J30" i="2"/>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c r="L59" i="2"/>
  <c r="N59" i="2"/>
  <c r="O59" i="2"/>
  <c r="P59" i="2"/>
  <c r="Q59" i="2"/>
  <c r="R59" i="2"/>
  <c r="S59" i="2"/>
  <c r="T59" i="2"/>
  <c r="V59" i="2"/>
  <c r="W59" i="2"/>
  <c r="X59" i="2"/>
  <c r="Y59" i="2"/>
  <c r="Z59" i="2"/>
  <c r="AB59" i="2"/>
  <c r="AC59" i="2"/>
  <c r="AD59" i="2"/>
  <c r="AE59" i="2"/>
  <c r="AF59" i="2"/>
  <c r="AG59" i="2"/>
  <c r="AH59" i="2"/>
  <c r="AI59" i="2"/>
  <c r="AJ59" i="2"/>
  <c r="AK59" i="2"/>
  <c r="AL59" i="2"/>
  <c r="G34" i="2"/>
  <c r="H34" i="2"/>
  <c r="I34" i="2"/>
  <c r="K34" i="2"/>
  <c r="J34" i="2"/>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c r="L28" i="2"/>
  <c r="N28" i="2"/>
  <c r="O28" i="2"/>
  <c r="P28" i="2"/>
  <c r="Q28" i="2"/>
  <c r="R28" i="2"/>
  <c r="S28" i="2"/>
  <c r="T28" i="2"/>
  <c r="V28" i="2"/>
  <c r="W28" i="2"/>
  <c r="X28" i="2"/>
  <c r="Y28" i="2"/>
  <c r="Z28" i="2"/>
  <c r="AB28" i="2"/>
  <c r="AC28" i="2"/>
  <c r="AD28" i="2"/>
  <c r="AE28" i="2"/>
  <c r="AF28" i="2"/>
  <c r="AG28" i="2"/>
  <c r="AH28" i="2"/>
  <c r="AI28" i="2"/>
  <c r="AJ28" i="2"/>
  <c r="AK28" i="2"/>
  <c r="AL28" i="2"/>
  <c r="K4" i="2"/>
  <c r="K5" i="2"/>
  <c r="K6" i="2"/>
  <c r="K7" i="2"/>
  <c r="K8" i="2"/>
  <c r="K9" i="2"/>
  <c r="K10" i="2"/>
  <c r="K11" i="2"/>
  <c r="K12" i="2"/>
  <c r="K13" i="2"/>
  <c r="K14" i="2"/>
  <c r="K15" i="2"/>
  <c r="K16" i="2"/>
  <c r="K17" i="2"/>
  <c r="K18" i="2"/>
  <c r="K19" i="2"/>
  <c r="K20" i="2"/>
  <c r="K21" i="2"/>
  <c r="K22" i="2"/>
  <c r="K23" i="2"/>
  <c r="K24" i="2"/>
  <c r="K25" i="2"/>
  <c r="K26" i="2"/>
  <c r="K27" i="2"/>
  <c r="K31" i="2"/>
  <c r="K32" i="2"/>
  <c r="K33" i="2"/>
  <c r="K3" i="2"/>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<sst xmlns="http://schemas.openxmlformats.org/spreadsheetml/2006/main" count="25836" uniqueCount="11541">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</sst>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5"/>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J25" sqref="J25"/>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5318</v>
      </c>
      <c r="B1" s="39" t="s">
        <v>2</v>
      </c>
      <c r="C1" s="40" t="s">
        <v>5657</v>
      </c>
      <c r="D1" s="39" t="s">
        <v>5337</v>
      </c>
      <c r="E1" s="39" t="s">
        <v>5840</v>
      </c>
      <c r="G1" s="140" t="s">
        <v>9524</v>
      </c>
      <c r="H1" s="141"/>
      <c r="I1" s="141"/>
      <c r="J1" s="141"/>
      <c r="K1" s="142"/>
      <c r="L1" s="134"/>
      <c r="M1" s="101"/>
      <c r="N1" s="143" t="s">
        <v>4</v>
      </c>
      <c r="O1" s="143"/>
      <c r="P1" s="143"/>
      <c r="Q1" s="143"/>
      <c r="R1" s="143"/>
      <c r="S1" s="143"/>
      <c r="T1" s="143"/>
      <c r="U1" s="41"/>
      <c r="V1" s="143" t="s">
        <v>5</v>
      </c>
      <c r="W1" s="143"/>
      <c r="X1" s="143"/>
      <c r="Y1" s="143"/>
      <c r="Z1" s="143"/>
      <c r="AA1" s="41"/>
      <c r="AB1" s="143" t="s">
        <v>7827</v>
      </c>
      <c r="AC1" s="143"/>
      <c r="AD1" s="143"/>
      <c r="AE1" s="143"/>
      <c r="AF1" s="143"/>
      <c r="AG1" s="143"/>
      <c r="AH1" s="143"/>
      <c r="AI1" s="143"/>
      <c r="AJ1" s="143"/>
      <c r="AK1" s="143"/>
      <c r="AL1" s="143"/>
    </row>
    <row r="2" spans="1:38" ht="18.75" x14ac:dyDescent="0.3">
      <c r="A2" s="24" t="s">
        <v>5659</v>
      </c>
      <c r="B2" s="15" t="s">
        <v>5658</v>
      </c>
      <c r="C2" s="25" t="s">
        <v>5746</v>
      </c>
      <c r="D2" s="34"/>
      <c r="G2" s="33" t="s">
        <v>9525</v>
      </c>
      <c r="H2" s="33" t="s">
        <v>9526</v>
      </c>
      <c r="I2" s="33" t="s">
        <v>9527</v>
      </c>
      <c r="J2" s="33" t="s">
        <v>9528</v>
      </c>
      <c r="K2" s="33" t="s">
        <v>125</v>
      </c>
      <c r="L2" s="33" t="s">
        <v>3482</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5624</v>
      </c>
      <c r="AC2" s="33" t="s">
        <v>7814</v>
      </c>
      <c r="AD2" s="33" t="s">
        <v>7815</v>
      </c>
      <c r="AE2" s="33" t="s">
        <v>7816</v>
      </c>
      <c r="AF2" s="33" t="s">
        <v>5871</v>
      </c>
      <c r="AG2" s="33" t="s">
        <v>7817</v>
      </c>
      <c r="AH2" s="33" t="s">
        <v>7818</v>
      </c>
      <c r="AI2" s="33" t="s">
        <v>7819</v>
      </c>
      <c r="AJ2" s="33" t="s">
        <v>7820</v>
      </c>
      <c r="AK2" s="33" t="s">
        <v>7821</v>
      </c>
      <c r="AL2" s="33" t="s">
        <v>7822</v>
      </c>
    </row>
    <row r="3" spans="1:38" s="37" customFormat="1" x14ac:dyDescent="0.2">
      <c r="A3" s="35" t="s">
        <v>333</v>
      </c>
      <c r="B3" s="35" t="s">
        <v>5320</v>
      </c>
      <c r="C3" s="36" t="s">
        <v>5745</v>
      </c>
      <c r="D3" s="35"/>
      <c r="E3" s="35" t="s">
        <v>5841</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SUMIFS('Card Data'!$E:$E,'Card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4618</v>
      </c>
      <c r="B4" s="26" t="s">
        <v>3169</v>
      </c>
      <c r="C4" s="28" t="s">
        <v>5745</v>
      </c>
      <c r="D4" s="26"/>
      <c r="E4" s="29" t="s">
        <v>5842</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SUMIFS('Card Data'!$E:$E,'Card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5745</v>
      </c>
      <c r="D5" s="26"/>
      <c r="E5" s="29" t="s">
        <v>5843</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SUMIFS('Card Data'!$E:$E,'Card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5745</v>
      </c>
      <c r="D6" s="26"/>
      <c r="E6" s="29" t="s">
        <v>5844</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SUMIFS('Card Data'!$E:$E,'Card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3959</v>
      </c>
      <c r="B7" s="26" t="s">
        <v>3167</v>
      </c>
      <c r="C7" s="28" t="s">
        <v>5745</v>
      </c>
      <c r="D7" s="26"/>
      <c r="E7" s="29" t="s">
        <v>5845</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SUMIFS('Card Data'!$E:$E,'Card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3817</v>
      </c>
      <c r="B8" s="26" t="s">
        <v>3201</v>
      </c>
      <c r="C8" s="28" t="s">
        <v>5745</v>
      </c>
      <c r="D8" s="26"/>
      <c r="E8" s="29" t="s">
        <v>5846</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SUMIFS('Card Data'!$E:$E,'Card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2921</v>
      </c>
      <c r="B9" s="26" t="s">
        <v>2923</v>
      </c>
      <c r="C9" s="28" t="s">
        <v>5745</v>
      </c>
      <c r="D9" s="26"/>
      <c r="E9" s="29" t="s">
        <v>5847</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SUMIFS('Card Data'!$E:$E,'Card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2660</v>
      </c>
      <c r="B10" s="35" t="s">
        <v>5321</v>
      </c>
      <c r="C10" s="36" t="s">
        <v>5745</v>
      </c>
      <c r="D10" s="35"/>
      <c r="E10" s="35" t="s">
        <v>5848</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SUMIFS('Card Data'!$E:$E,'Card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4956</v>
      </c>
      <c r="B11" s="26" t="s">
        <v>4958</v>
      </c>
      <c r="C11" s="28" t="s">
        <v>5745</v>
      </c>
      <c r="D11" s="26"/>
      <c r="E11" s="29" t="s">
        <v>5849</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SUMIFS('Card Data'!$E:$E,'Card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2995</v>
      </c>
      <c r="B12" s="26" t="s">
        <v>2997</v>
      </c>
      <c r="C12" s="28" t="s">
        <v>5745</v>
      </c>
      <c r="D12" s="26"/>
      <c r="E12" s="29" t="s">
        <v>5850</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SUMIFS('Card Data'!$E:$E,'Card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5241</v>
      </c>
      <c r="B13" s="26" t="s">
        <v>5248</v>
      </c>
      <c r="C13" s="28" t="s">
        <v>5745</v>
      </c>
      <c r="D13" s="26"/>
      <c r="E13" s="29" t="s">
        <v>5851</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SUMIFS('Card Data'!$E:$E,'Card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4697</v>
      </c>
      <c r="B14" s="26" t="s">
        <v>4701</v>
      </c>
      <c r="C14" s="28" t="s">
        <v>5745</v>
      </c>
      <c r="D14" s="26"/>
      <c r="E14" s="29" t="s">
        <v>5852</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SUMIFS('Card Data'!$E:$E,'Card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2303</v>
      </c>
      <c r="B15" s="26" t="s">
        <v>2309</v>
      </c>
      <c r="C15" s="28" t="s">
        <v>5745</v>
      </c>
      <c r="D15" s="26"/>
      <c r="E15" s="29" t="s">
        <v>5853</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SUMIFS('Card Data'!$E:$E,'Card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3072</v>
      </c>
      <c r="B16" s="26" t="s">
        <v>3077</v>
      </c>
      <c r="C16" s="28" t="s">
        <v>5745</v>
      </c>
      <c r="D16" s="26"/>
      <c r="E16" s="29" t="s">
        <v>5854</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SUMIFS('Card Data'!$E:$E,'Card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2388</v>
      </c>
      <c r="B17" s="35" t="s">
        <v>5319</v>
      </c>
      <c r="C17" s="36" t="s">
        <v>5745</v>
      </c>
      <c r="D17" s="35"/>
      <c r="E17" s="35" t="s">
        <v>5855</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SUMIFS('Card Data'!$E:$E,'Card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5041</v>
      </c>
      <c r="B18" s="26" t="s">
        <v>5663</v>
      </c>
      <c r="C18" s="28" t="s">
        <v>5745</v>
      </c>
      <c r="D18" s="26"/>
      <c r="E18" s="29" t="s">
        <v>5856</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SUMIFS('Card Data'!$E:$E,'Card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3878</v>
      </c>
      <c r="B19" s="26" t="s">
        <v>3885</v>
      </c>
      <c r="C19" s="28" t="s">
        <v>5745</v>
      </c>
      <c r="D19" s="26"/>
      <c r="E19" s="29" t="s">
        <v>5857</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SUMIFS('Card Data'!$E:$E,'Card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2213</v>
      </c>
      <c r="B20" s="26" t="s">
        <v>2248</v>
      </c>
      <c r="C20" s="28" t="s">
        <v>5745</v>
      </c>
      <c r="D20" s="26"/>
      <c r="E20" s="29" t="s">
        <v>5858</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SUMIFS('Card Data'!$E:$E,'Card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5745</v>
      </c>
      <c r="D21" s="26"/>
      <c r="E21" s="29" t="s">
        <v>5859</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SUMIFS('Card Data'!$E:$E,'Card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3764</v>
      </c>
      <c r="B22" s="26" t="s">
        <v>3768</v>
      </c>
      <c r="C22" s="28" t="s">
        <v>5745</v>
      </c>
      <c r="D22" s="26"/>
      <c r="E22" s="29" t="s">
        <v>5860</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SUMIFS('Card Data'!$E:$E,'Card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4858</v>
      </c>
      <c r="B23" s="26" t="s">
        <v>4863</v>
      </c>
      <c r="C23" s="28" t="s">
        <v>5745</v>
      </c>
      <c r="D23" s="26"/>
      <c r="E23" s="29" t="s">
        <v>5861</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SUMIFS('Card Data'!$E:$E,'Card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5339</v>
      </c>
      <c r="B24" s="35" t="s">
        <v>5594</v>
      </c>
      <c r="C24" s="36" t="s">
        <v>5745</v>
      </c>
      <c r="D24" s="35"/>
      <c r="E24" s="35" t="s">
        <v>5862</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SUMIFS('Card Data'!$E:$E,'Card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5666</v>
      </c>
      <c r="B25" s="26" t="s">
        <v>5601</v>
      </c>
      <c r="C25" s="28" t="s">
        <v>5745</v>
      </c>
      <c r="D25" s="26"/>
      <c r="E25" s="29" t="s">
        <v>5863</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SUMIFS('Card Data'!$E:$E,'Card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8095</v>
      </c>
      <c r="B26" s="26" t="s">
        <v>8094</v>
      </c>
      <c r="C26" s="28" t="s">
        <v>5745</v>
      </c>
      <c r="D26" s="26"/>
      <c r="E26" s="29" t="s">
        <v>8093</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SUMIFS('Card Data'!$E:$E,'Card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9422</v>
      </c>
      <c r="B27" s="26" t="s">
        <v>9423</v>
      </c>
      <c r="C27" s="28" t="s">
        <v>5745</v>
      </c>
      <c r="D27" s="26"/>
      <c r="E27" s="29" t="s">
        <v>9424</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SUMIFS('Card Data'!$E:$E,'Card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6" t="s">
        <v>11094</v>
      </c>
      <c r="B28" s="26" t="s">
        <v>11095</v>
      </c>
      <c r="C28" s="28" t="s">
        <v>8065</v>
      </c>
      <c r="D28" s="26"/>
      <c r="E28" s="29" t="s">
        <v>11096</v>
      </c>
      <c r="F28" s="34"/>
      <c r="G28" s="123">
        <f>SUMIF('Card Data'!$A:$A,$A28,'Card Data'!$E:$E)</f>
        <v>60</v>
      </c>
      <c r="H28" s="123">
        <f>COUNTIFS('Card Data'!$I:$I,N$2,'Card Data'!$A:$A,$A28)</f>
        <v>1</v>
      </c>
      <c r="I28" s="123">
        <f>SUMIFS('Card Data'!$E:$E,'Card Data'!$A:$A,$A28,'Card Data'!$J:$J,"&lt;&gt;",'Card Data'!$J:$J,"&lt;&gt;Burden",'Card Data'!$I:$I,"&lt;&gt;Hero")</f>
        <v>27</v>
      </c>
      <c r="J28" s="123">
        <f>SUMIFS('Card Data'!$E:$E,'Card Data'!$A:$A,$A28,'Card Data'!$J:$J,"",'Card Data'!$I:$I,"&lt;&gt;Campaign")+SUMIFS('Card Data'!$E:$E,'Card Data'!$A:$A,$A28,'Card Data'!$J:$J,"Burden")-K28</f>
        <v>24</v>
      </c>
      <c r="K28" s="123">
        <f>SUMIFS('Card Data'!$E:$E,'Card Data'!$I:$I,K$2,'Card Data'!$A:$A,$A28,'Card Data'!$K:$K,"&lt;&gt;*Side Quest.*")</f>
        <v>8</v>
      </c>
      <c r="L28" s="123">
        <f>COUNTIFS('Card Data'!$I:$I,L$2,'Card Data'!$A:$A,$A28,'Card Data'!$K:$K,"&lt;&gt;*Side Quest.*")</f>
        <v>0</v>
      </c>
      <c r="M28" s="129"/>
      <c r="N28" s="123">
        <f>COUNTIFS('Card Data'!$I:$I,N$2,'Card Data'!$A:$A,$A28)</f>
        <v>1</v>
      </c>
      <c r="O28" s="123">
        <f>COUNTIFS('Card Data'!$I:$I,O$2,'Card Data'!$A:$A,$A28)</f>
        <v>3</v>
      </c>
      <c r="P28" s="123">
        <f>COUNTIFS('Card Data'!$I:$I,P$2,'Card Data'!$A:$A,$A28)</f>
        <v>3</v>
      </c>
      <c r="Q28" s="123">
        <f>COUNTIFS('Card Data'!$I:$I,Q$2,'Card Data'!$A:$A,$A28)</f>
        <v>3</v>
      </c>
      <c r="R28" s="123">
        <f>COUNTIFS('Card Data'!$I:$I,R$2,'Card Data'!$A:$A,$A28)</f>
        <v>3</v>
      </c>
      <c r="S28" s="123">
        <f>COUNTIFS('Card Data'!$I:$I,S$2,'Card Data'!$A:$A,$A28)</f>
        <v>4</v>
      </c>
      <c r="T28" s="123">
        <f>COUNTIFS('Card Data'!$I:$I,T$2,'Card Data'!$A:$A,$A28)</f>
        <v>2</v>
      </c>
      <c r="U28" s="129"/>
      <c r="V28" s="123">
        <f>COUNTIFS('Card Data'!$J:$J,V$2,'Card Data'!$A:$A,$A28)</f>
        <v>2</v>
      </c>
      <c r="W28" s="123">
        <f>COUNTIFS('Card Data'!$J:$J,W$2,'Card Data'!$A:$A,$A28)</f>
        <v>3</v>
      </c>
      <c r="X28" s="123">
        <f>COUNTIFS('Card Data'!$J:$J,X$2,'Card Data'!$A:$A,$A28)</f>
        <v>2</v>
      </c>
      <c r="Y28" s="123">
        <f>COUNTIFS('Card Data'!$J:$J,Y$2,'Card Data'!$A:$A,$A28)</f>
        <v>2</v>
      </c>
      <c r="Z28" s="123">
        <f>COUNTIFS('Card Data'!$J:$J,Z$2,'Card Data'!$A:$A,$A28)</f>
        <v>1</v>
      </c>
      <c r="AA28" s="129"/>
      <c r="AB28" s="123">
        <f>IF(COUNTIFS('Card Data'!$K:$K,"*"&amp;AB$2&amp;".*",'Card Data'!$A:$A,$A28)=0,"",IF(COUNTIFS('Card Data'!$K:$K,"*"&amp;AB$2&amp;".*",'Card Data'!$A:$A,$A28,'Card Data'!$I:$I,"Hero")=0,COUNTIFS('Card Data'!$K:$K,"*"&amp;AB$2&amp;".*",'Card Data'!$A:$A,$A28),COUNTIFS('Card Data'!$K:$K,"*"&amp;AB$2&amp;".*",'Card Data'!$A:$A,$A28)&amp;" ("&amp;COUNTIFS('Card Data'!$K:$K,"*"&amp;AB$2&amp;".*",'Card Data'!$A:$A,$A28,'Card Data'!$I:$I,"Hero")&amp;")"))</f>
        <v>1</v>
      </c>
      <c r="AC28" s="123"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3"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3">
        <f>IF(COUNTIFS('Card Data'!$K:$K,"*"&amp;AE$2&amp;".*",'Card Data'!$A:$A,$A28)=0,"",IF(COUNTIFS('Card Data'!$K:$K,"*"&amp;AE$2&amp;".*",'Card Data'!$A:$A,$A28,'Card Data'!$I:$I,"Hero")=0,COUNTIFS('Card Data'!$K:$K,"*"&amp;AE$2&amp;".*",'Card Data'!$A:$A,$A28),COUNTIFS('Card Data'!$K:$K,"*"&amp;AE$2&amp;".*",'Card Data'!$A:$A,$A28)&amp;" ("&amp;COUNTIFS('Card Data'!$K:$K,"*"&amp;AE$2&amp;".*",'Card Data'!$A:$A,$A28,'Card Data'!$I:$I,"Hero")&amp;")"))</f>
        <v>1</v>
      </c>
      <c r="AF28" s="123"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3"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3"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3"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3"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3"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6" t="s">
        <v>11195</v>
      </c>
      <c r="B29" s="26" t="s">
        <v>11194</v>
      </c>
      <c r="C29" s="28" t="s">
        <v>8065</v>
      </c>
      <c r="D29" s="26" t="s">
        <v>5595</v>
      </c>
      <c r="E29" s="29" t="s">
        <v>11193</v>
      </c>
      <c r="F29" s="34"/>
      <c r="G29" s="123">
        <f>SUMIF('Card Data'!$A:$A,$A29,'Card Data'!$E:$E)</f>
        <v>60</v>
      </c>
      <c r="H29" s="123">
        <f>COUNTIFS('Card Data'!$I:$I,N$2,'Card Data'!$A:$A,$A29)</f>
        <v>1</v>
      </c>
      <c r="I29" s="123">
        <f>SUMIFS('Card Data'!$E:$E,'Card Data'!$A:$A,$A29,'Card Data'!$J:$J,"&lt;&gt;",'Card Data'!$J:$J,"&lt;&gt;Burden",'Card Data'!$I:$I,"&lt;&gt;Hero")</f>
        <v>27</v>
      </c>
      <c r="J29" s="123">
        <f>SUMIFS('Card Data'!$E:$E,'Card Data'!$A:$A,$A29,'Card Data'!$J:$J,"",'Card Data'!$I:$I,"&lt;&gt;Campaign")+SUMIFS('Card Data'!$E:$E,'Card Data'!$A:$A,$A29,'Card Data'!$J:$J,"Burden")-K29</f>
        <v>30</v>
      </c>
      <c r="K29" s="123">
        <f>SUMIFS('Card Data'!$E:$E,'Card Data'!$I:$I,K$2,'Card Data'!$A:$A,$A29,'Card Data'!$K:$K,"&lt;&gt;*Side Quest.*")</f>
        <v>2</v>
      </c>
      <c r="L29" s="123">
        <f>COUNTIFS('Card Data'!$I:$I,L$2,'Card Data'!$A:$A,$A29,'Card Data'!$K:$K,"&lt;&gt;*Side Quest.*")</f>
        <v>0</v>
      </c>
      <c r="M29" s="129"/>
      <c r="N29" s="123">
        <f>COUNTIFS('Card Data'!$I:$I,N$2,'Card Data'!$A:$A,$A29)</f>
        <v>1</v>
      </c>
      <c r="O29" s="123">
        <f>COUNTIFS('Card Data'!$I:$I,O$2,'Card Data'!$A:$A,$A29)</f>
        <v>4</v>
      </c>
      <c r="P29" s="123">
        <f>COUNTIFS('Card Data'!$I:$I,P$2,'Card Data'!$A:$A,$A29)</f>
        <v>4</v>
      </c>
      <c r="Q29" s="123">
        <f>COUNTIFS('Card Data'!$I:$I,Q$2,'Card Data'!$A:$A,$A29)</f>
        <v>1</v>
      </c>
      <c r="R29" s="123">
        <f>COUNTIFS('Card Data'!$I:$I,R$2,'Card Data'!$A:$A,$A29)</f>
        <v>3</v>
      </c>
      <c r="S29" s="123">
        <f>COUNTIFS('Card Data'!$I:$I,S$2,'Card Data'!$A:$A,$A29)</f>
        <v>5</v>
      </c>
      <c r="T29" s="123">
        <f>COUNTIFS('Card Data'!$I:$I,T$2,'Card Data'!$A:$A,$A29)</f>
        <v>3</v>
      </c>
      <c r="U29" s="129"/>
      <c r="V29" s="123">
        <f>COUNTIFS('Card Data'!$J:$J,V$2,'Card Data'!$A:$A,$A29)</f>
        <v>2</v>
      </c>
      <c r="W29" s="123">
        <f>COUNTIFS('Card Data'!$J:$J,W$2,'Card Data'!$A:$A,$A29)</f>
        <v>2</v>
      </c>
      <c r="X29" s="123">
        <f>COUNTIFS('Card Data'!$J:$J,X$2,'Card Data'!$A:$A,$A29)</f>
        <v>3</v>
      </c>
      <c r="Y29" s="123">
        <f>COUNTIFS('Card Data'!$J:$J,Y$2,'Card Data'!$A:$A,$A29)</f>
        <v>2</v>
      </c>
      <c r="Z29" s="123">
        <f>COUNTIFS('Card Data'!$J:$J,Z$2,'Card Data'!$A:$A,$A29)</f>
        <v>1</v>
      </c>
      <c r="AA29" s="129"/>
      <c r="AB29" s="123"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3">
        <f>IF(COUNTIFS('Card Data'!$K:$K,"*"&amp;AC$2&amp;".*",'Card Data'!$A:$A,$A29)=0,"",IF(COUNTIFS('Card Data'!$K:$K,"*"&amp;AC$2&amp;".*",'Card Data'!$A:$A,$A29,'Card Data'!$I:$I,"Hero")=0,COUNTIFS('Card Data'!$K:$K,"*"&amp;AC$2&amp;".*",'Card Data'!$A:$A,$A29),COUNTIFS('Card Data'!$K:$K,"*"&amp;AC$2&amp;".*",'Card Data'!$A:$A,$A29)&amp;" ("&amp;COUNTIFS('Card Data'!$K:$K,"*"&amp;AC$2&amp;".*",'Card Data'!$A:$A,$A29,'Card Data'!$I:$I,"Hero")&amp;")"))</f>
        <v>1</v>
      </c>
      <c r="AD29" s="123"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3">
        <f>IF(COUNTIFS('Card Data'!$K:$K,"*"&amp;AE$2&amp;".*",'Card Data'!$A:$A,$A29)=0,"",IF(COUNTIFS('Card Data'!$K:$K,"*"&amp;AE$2&amp;".*",'Card Data'!$A:$A,$A29,'Card Data'!$I:$I,"Hero")=0,COUNTIFS('Card Data'!$K:$K,"*"&amp;AE$2&amp;".*",'Card Data'!$A:$A,$A29),COUNTIFS('Card Data'!$K:$K,"*"&amp;AE$2&amp;".*",'Card Data'!$A:$A,$A29)&amp;" ("&amp;COUNTIFS('Card Data'!$K:$K,"*"&amp;AE$2&amp;".*",'Card Data'!$A:$A,$A29,'Card Data'!$I:$I,"Hero")&amp;")"))</f>
        <v>2</v>
      </c>
      <c r="AF29" s="123"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3"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3"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3"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3">
        <f>IF(COUNTIFS('Card Data'!$K:$K,"*"&amp;AJ$2&amp;".*",'Card Data'!$A:$A,$A29)=0,"",IF(COUNTIFS('Card Data'!$K:$K,"*"&amp;AJ$2&amp;".*",'Card Data'!$A:$A,$A29,'Card Data'!$I:$I,"Hero")=0,COUNTIFS('Card Data'!$K:$K,"*"&amp;AJ$2&amp;".*",'Card Data'!$A:$A,$A29),COUNTIFS('Card Data'!$K:$K,"*"&amp;AJ$2&amp;".*",'Card Data'!$A:$A,$A29)&amp;" ("&amp;COUNTIFS('Card Data'!$K:$K,"*"&amp;AJ$2&amp;".*",'Card Data'!$A:$A,$A29,'Card Data'!$I:$I,"Hero")&amp;")"))</f>
        <v>1</v>
      </c>
      <c r="AK29" s="123"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6" t="s">
        <v>11451</v>
      </c>
      <c r="B30" s="26" t="s">
        <v>9681</v>
      </c>
      <c r="C30" s="28" t="s">
        <v>8065</v>
      </c>
      <c r="D30" s="26" t="s">
        <v>5595</v>
      </c>
      <c r="E30" s="29" t="s">
        <v>11540</v>
      </c>
      <c r="F30" s="34"/>
      <c r="G30" s="123">
        <f>SUMIF('Card Data'!$A:$A,$A30,'Card Data'!$E:$E)</f>
        <v>60</v>
      </c>
      <c r="H30" s="123">
        <f>COUNTIFS('Card Data'!$I:$I,N$2,'Card Data'!$A:$A,$A30)</f>
        <v>1</v>
      </c>
      <c r="I30" s="123">
        <f>SUMIFS('Card Data'!$E:$E,'Card Data'!$A:$A,$A30,'Card Data'!$J:$J,"&lt;&gt;",'Card Data'!$J:$J,"&lt;&gt;Burden",'Card Data'!$I:$I,"&lt;&gt;Hero")</f>
        <v>27</v>
      </c>
      <c r="J30" s="123">
        <f>SUMIFS('Card Data'!$E:$E,'Card Data'!$A:$A,$A30,'Card Data'!$J:$J,"",'Card Data'!$I:$I,"&lt;&gt;Campaign")+SUMIFS('Card Data'!$E:$E,'Card Data'!$A:$A,$A30,'Card Data'!$J:$J,"Burden")-K30</f>
        <v>29</v>
      </c>
      <c r="K30" s="123">
        <f>SUMIFS('Card Data'!$E:$E,'Card Data'!$I:$I,K$2,'Card Data'!$A:$A,$A30,'Card Data'!$K:$K,"&lt;&gt;*Side Quest.*")</f>
        <v>3</v>
      </c>
      <c r="L30" s="123">
        <f>COUNTIFS('Card Data'!$I:$I,L$2,'Card Data'!$A:$A,$A30,'Card Data'!$K:$K,"&lt;&gt;*Side Quest.*")</f>
        <v>0</v>
      </c>
      <c r="M30" s="129"/>
      <c r="N30" s="123">
        <f>COUNTIFS('Card Data'!$I:$I,N$2,'Card Data'!$A:$A,$A30)</f>
        <v>1</v>
      </c>
      <c r="O30" s="123">
        <f>COUNTIFS('Card Data'!$I:$I,O$2,'Card Data'!$A:$A,$A30)</f>
        <v>3</v>
      </c>
      <c r="P30" s="123">
        <f>COUNTIFS('Card Data'!$I:$I,P$2,'Card Data'!$A:$A,$A30)</f>
        <v>2</v>
      </c>
      <c r="Q30" s="123">
        <f>COUNTIFS('Card Data'!$I:$I,Q$2,'Card Data'!$A:$A,$A30)</f>
        <v>4</v>
      </c>
      <c r="R30" s="123">
        <f>COUNTIFS('Card Data'!$I:$I,R$2,'Card Data'!$A:$A,$A30)</f>
        <v>3</v>
      </c>
      <c r="S30" s="123">
        <f>COUNTIFS('Card Data'!$I:$I,S$2,'Card Data'!$A:$A,$A30)</f>
        <v>5</v>
      </c>
      <c r="T30" s="123">
        <f>COUNTIFS('Card Data'!$I:$I,T$2,'Card Data'!$A:$A,$A30)</f>
        <v>3</v>
      </c>
      <c r="U30" s="129"/>
      <c r="V30" s="123">
        <f>COUNTIFS('Card Data'!$J:$J,V$2,'Card Data'!$A:$A,$A30)</f>
        <v>3</v>
      </c>
      <c r="W30" s="123">
        <f>COUNTIFS('Card Data'!$J:$J,W$2,'Card Data'!$A:$A,$A30)</f>
        <v>2</v>
      </c>
      <c r="X30" s="123">
        <f>COUNTIFS('Card Data'!$J:$J,X$2,'Card Data'!$A:$A,$A30)</f>
        <v>2</v>
      </c>
      <c r="Y30" s="123">
        <f>COUNTIFS('Card Data'!$J:$J,Y$2,'Card Data'!$A:$A,$A30)</f>
        <v>2</v>
      </c>
      <c r="Z30" s="123">
        <f>COUNTIFS('Card Data'!$J:$J,Z$2,'Card Data'!$A:$A,$A30)</f>
        <v>1</v>
      </c>
      <c r="AA30" s="129"/>
      <c r="AB30" s="123"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3"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3"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3"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3"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3"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3"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3"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3"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3"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3">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2" customFormat="1" x14ac:dyDescent="0.2">
      <c r="A31" s="89" t="s">
        <v>4783</v>
      </c>
      <c r="B31" s="89" t="s">
        <v>4788</v>
      </c>
      <c r="C31" s="90" t="s">
        <v>5745</v>
      </c>
      <c r="D31" s="89"/>
      <c r="E31" s="91" t="s">
        <v>5864</v>
      </c>
      <c r="F31" s="126"/>
      <c r="G31" s="93">
        <f>SUMIF('Card Data'!$A:$A,$A31,'Card Data'!$E:$E)</f>
        <v>45</v>
      </c>
      <c r="H31" s="93">
        <f>COUNTIFS('Card Data'!$I:$I,N$2,'Card Data'!$A:$A,$A31)</f>
        <v>0</v>
      </c>
      <c r="I31" s="93">
        <f>SUMIFS('Card Data'!$E:$E,'Card Data'!$A:$A,$A31,'Card Data'!$J:$J,"&lt;&gt;",'Card Data'!$J:$J,"&lt;&gt;Burden",'Card Data'!$I:$I,"&lt;&gt;Hero")</f>
        <v>0</v>
      </c>
      <c r="J31" s="93">
        <f>SUMIFS('Card Data'!$E:$E,'Card Data'!$A:$A,$A31,'Card Data'!$J:$J,"",'Card Data'!$I:$I,"&lt;&gt;Campaign")+SUMIFS('Card Data'!$E:$E,'Card Data'!$A:$A,$A31,'Card Data'!$J:$J,"Burden")-K31</f>
        <v>41</v>
      </c>
      <c r="K31" s="93">
        <f>SUMIFS('Card Data'!$E:$E,'Card Data'!$I:$I,K$2,'Card Data'!$A:$A,$A31,'Card Data'!$K:$K,"&lt;&gt;*Side Quest.*")</f>
        <v>4</v>
      </c>
      <c r="L31" s="93">
        <f>COUNTIFS('Card Data'!$I:$I,L$2,'Card Data'!$A:$A,$A31,'Card Data'!$K:$K,"&lt;&gt;*Side Quest.*")</f>
        <v>0</v>
      </c>
      <c r="M31" s="129"/>
      <c r="N31" s="93">
        <f>COUNTIFS('Card Data'!$I:$I,N$2,'Card Data'!$A:$A,$A31)</f>
        <v>0</v>
      </c>
      <c r="O31" s="93">
        <f>COUNTIFS('Card Data'!$I:$I,O$2,'Card Data'!$A:$A,$A31)</f>
        <v>0</v>
      </c>
      <c r="P31" s="93">
        <f>COUNTIFS('Card Data'!$I:$I,P$2,'Card Data'!$A:$A,$A31)</f>
        <v>0</v>
      </c>
      <c r="Q31" s="93">
        <f>COUNTIFS('Card Data'!$I:$I,Q$2,'Card Data'!$A:$A,$A31)</f>
        <v>0</v>
      </c>
      <c r="R31" s="93">
        <f>COUNTIFS('Card Data'!$I:$I,R$2,'Card Data'!$A:$A,$A31)</f>
        <v>6</v>
      </c>
      <c r="S31" s="93">
        <f>COUNTIFS('Card Data'!$I:$I,S$2,'Card Data'!$A:$A,$A31)</f>
        <v>5</v>
      </c>
      <c r="T31" s="93">
        <f>COUNTIFS('Card Data'!$I:$I,T$2,'Card Data'!$A:$A,$A31)</f>
        <v>3</v>
      </c>
      <c r="U31" s="129"/>
      <c r="V31" s="93">
        <f>COUNTIFS('Card Data'!$J:$J,V$2,'Card Data'!$A:$A,$A31)</f>
        <v>0</v>
      </c>
      <c r="W31" s="93">
        <f>COUNTIFS('Card Data'!$J:$J,W$2,'Card Data'!$A:$A,$A31)</f>
        <v>0</v>
      </c>
      <c r="X31" s="93">
        <f>COUNTIFS('Card Data'!$J:$J,X$2,'Card Data'!$A:$A,$A31)</f>
        <v>0</v>
      </c>
      <c r="Y31" s="93">
        <f>COUNTIFS('Card Data'!$J:$J,Y$2,'Card Data'!$A:$A,$A31)</f>
        <v>0</v>
      </c>
      <c r="Z31" s="93">
        <f>COUNTIFS('Card Data'!$J:$J,Z$2,'Card Data'!$A:$A,$A31)</f>
        <v>0</v>
      </c>
      <c r="AA31" s="129"/>
      <c r="AB31" s="93" t="str">
        <f>IF(COUNTIFS('Card Data'!$K:$K,"*"&amp;AB$2&amp;".*",'Card Data'!$A:$A,$A31)=0,"",IF(COUNTIFS('Card Data'!$K:$K,"*"&amp;AB$2&amp;".*",'Card Data'!$A:$A,$A31,'Card Data'!$I:$I,"Hero")=0,COUNTIFS('Card Data'!$K:$K,"*"&amp;AB$2&amp;".*",'Card Data'!$A:$A,$A31),COUNTIFS('Card Data'!$K:$K,"*"&amp;AB$2&amp;".*",'Card Data'!$A:$A,$A31)&amp;" ("&amp;COUNTIFS('Card Data'!$K:$K,"*"&amp;AB$2&amp;".*",'Card Data'!$A:$A,$A31,'Card Data'!$I:$I,"Hero")&amp;")"))</f>
        <v/>
      </c>
      <c r="AC31" s="93">
        <f>IF(COUNTIFS('Card Data'!$K:$K,"*"&amp;AC$2&amp;".*",'Card Data'!$A:$A,$A31)=0,"",IF(COUNTIFS('Card Data'!$K:$K,"*"&amp;AC$2&amp;".*",'Card Data'!$A:$A,$A31,'Card Data'!$I:$I,"Hero")=0,COUNTIFS('Card Data'!$K:$K,"*"&amp;AC$2&amp;".*",'Card Data'!$A:$A,$A31),COUNTIFS('Card Data'!$K:$K,"*"&amp;AC$2&amp;".*",'Card Data'!$A:$A,$A31)&amp;" ("&amp;COUNTIFS('Card Data'!$K:$K,"*"&amp;AC$2&amp;".*",'Card Data'!$A:$A,$A31,'Card Data'!$I:$I,"Hero")&amp;")"))</f>
        <v>1</v>
      </c>
      <c r="AD31" s="93" t="str">
        <f>IF(COUNTIFS('Card Data'!$K:$K,"*"&amp;AD$2&amp;".*",'Card Data'!$A:$A,$A31)=0,"",IF(COUNTIFS('Card Data'!$K:$K,"*"&amp;AD$2&amp;".*",'Card Data'!$A:$A,$A31,'Card Data'!$I:$I,"Hero")=0,COUNTIFS('Card Data'!$K:$K,"*"&amp;AD$2&amp;".*",'Card Data'!$A:$A,$A31),COUNTIFS('Card Data'!$K:$K,"*"&amp;AD$2&amp;".*",'Card Data'!$A:$A,$A31)&amp;" ("&amp;COUNTIFS('Card Data'!$K:$K,"*"&amp;AD$2&amp;".*",'Card Data'!$A:$A,$A31,'Card Data'!$I:$I,"Hero")&amp;")"))</f>
        <v/>
      </c>
      <c r="AE31" s="93" t="str">
        <f>IF(COUNTIFS('Card Data'!$K:$K,"*"&amp;AE$2&amp;".*",'Card Data'!$A:$A,$A31)=0,"",IF(COUNTIFS('Card Data'!$K:$K,"*"&amp;AE$2&amp;".*",'Card Data'!$A:$A,$A31,'Card Data'!$I:$I,"Hero")=0,COUNTIFS('Card Data'!$K:$K,"*"&amp;AE$2&amp;".*",'Card Data'!$A:$A,$A31),COUNTIFS('Card Data'!$K:$K,"*"&amp;AE$2&amp;".*",'Card Data'!$A:$A,$A31)&amp;" ("&amp;COUNTIFS('Card Data'!$K:$K,"*"&amp;AE$2&amp;".*",'Card Data'!$A:$A,$A31,'Card Data'!$I:$I,"Hero")&amp;")"))</f>
        <v/>
      </c>
      <c r="AF31" s="93" t="str">
        <f>IF(COUNTIFS('Card Data'!$K:$K,"*"&amp;AF$2&amp;".*",'Card Data'!$A:$A,$A31)=0,"",IF(COUNTIFS('Card Data'!$K:$K,"*"&amp;AF$2&amp;".*",'Card Data'!$A:$A,$A31,'Card Data'!$I:$I,"Hero")=0,COUNTIFS('Card Data'!$K:$K,"*"&amp;AF$2&amp;".*",'Card Data'!$A:$A,$A31),COUNTIFS('Card Data'!$K:$K,"*"&amp;AF$2&amp;".*",'Card Data'!$A:$A,$A31)&amp;" ("&amp;COUNTIFS('Card Data'!$K:$K,"*"&amp;AF$2&amp;".*",'Card Data'!$A:$A,$A31,'Card Data'!$I:$I,"Hero")&amp;")"))</f>
        <v/>
      </c>
      <c r="AG31" s="93" t="str">
        <f>IF(COUNTIFS('Card Data'!$K:$K,"*"&amp;AG$2&amp;".*",'Card Data'!$A:$A,$A31)=0,"",IF(COUNTIFS('Card Data'!$K:$K,"*"&amp;AG$2&amp;".*",'Card Data'!$A:$A,$A31,'Card Data'!$I:$I,"Hero")=0,COUNTIFS('Card Data'!$K:$K,"*"&amp;AG$2&amp;".*",'Card Data'!$A:$A,$A31),COUNTIFS('Card Data'!$K:$K,"*"&amp;AG$2&amp;".*",'Card Data'!$A:$A,$A31)&amp;" ("&amp;COUNTIFS('Card Data'!$K:$K,"*"&amp;AG$2&amp;".*",'Card Data'!$A:$A,$A31,'Card Data'!$I:$I,"Hero")&amp;")"))</f>
        <v/>
      </c>
      <c r="AH31" s="93" t="str">
        <f>IF(COUNTIFS('Card Data'!$K:$K,"*"&amp;AH$2&amp;".*",'Card Data'!$A:$A,$A31)=0,"",IF(COUNTIFS('Card Data'!$K:$K,"*"&amp;AH$2&amp;".*",'Card Data'!$A:$A,$A31,'Card Data'!$I:$I,"Hero")=0,COUNTIFS('Card Data'!$K:$K,"*"&amp;AH$2&amp;".*",'Card Data'!$A:$A,$A31),COUNTIFS('Card Data'!$K:$K,"*"&amp;AH$2&amp;".*",'Card Data'!$A:$A,$A31)&amp;" ("&amp;COUNTIFS('Card Data'!$K:$K,"*"&amp;AH$2&amp;".*",'Card Data'!$A:$A,$A31,'Card Data'!$I:$I,"Hero")&amp;")"))</f>
        <v/>
      </c>
      <c r="AI31" s="93" t="str">
        <f>IF(COUNTIFS('Card Data'!$K:$K,"*"&amp;AI$2&amp;".*",'Card Data'!$A:$A,$A31)=0,"",IF(COUNTIFS('Card Data'!$K:$K,"*"&amp;AI$2&amp;".*",'Card Data'!$A:$A,$A31,'Card Data'!$I:$I,"Hero")=0,COUNTIFS('Card Data'!$K:$K,"*"&amp;AI$2&amp;".*",'Card Data'!$A:$A,$A31),COUNTIFS('Card Data'!$K:$K,"*"&amp;AI$2&amp;".*",'Card Data'!$A:$A,$A31)&amp;" ("&amp;COUNTIFS('Card Data'!$K:$K,"*"&amp;AI$2&amp;".*",'Card Data'!$A:$A,$A31,'Card Data'!$I:$I,"Hero")&amp;")"))</f>
        <v/>
      </c>
      <c r="AJ31" s="93">
        <f>IF(COUNTIFS('Card Data'!$K:$K,"*"&amp;AJ$2&amp;".*",'Card Data'!$A:$A,$A31)=0,"",IF(COUNTIFS('Card Data'!$K:$K,"*"&amp;AJ$2&amp;".*",'Card Data'!$A:$A,$A31,'Card Data'!$I:$I,"Hero")=0,COUNTIFS('Card Data'!$K:$K,"*"&amp;AJ$2&amp;".*",'Card Data'!$A:$A,$A31),COUNTIFS('Card Data'!$K:$K,"*"&amp;AJ$2&amp;".*",'Card Data'!$A:$A,$A31)&amp;" ("&amp;COUNTIFS('Card Data'!$K:$K,"*"&amp;AJ$2&amp;".*",'Card Data'!$A:$A,$A31,'Card Data'!$I:$I,"Hero")&amp;")"))</f>
        <v>1</v>
      </c>
      <c r="AK31" s="93" t="str">
        <f>IF(COUNTIFS('Card Data'!$K:$K,"*"&amp;AK$2&amp;".*",'Card Data'!$A:$A,$A31)=0,"",IF(COUNTIFS('Card Data'!$K:$K,"*"&amp;AK$2&amp;".*",'Card Data'!$A:$A,$A31,'Card Data'!$I:$I,"Hero")=0,COUNTIFS('Card Data'!$K:$K,"*"&amp;AK$2&amp;".*",'Card Data'!$A:$A,$A31),COUNTIFS('Card Data'!$K:$K,"*"&amp;AK$2&amp;".*",'Card Data'!$A:$A,$A31)&amp;" ("&amp;COUNTIFS('Card Data'!$K:$K,"*"&amp;AK$2&amp;".*",'Card Data'!$A:$A,$A31,'Card Data'!$I:$I,"Hero")&amp;")"))</f>
        <v/>
      </c>
      <c r="AL31" s="93"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2" customFormat="1" x14ac:dyDescent="0.2">
      <c r="A32" s="89" t="s">
        <v>3365</v>
      </c>
      <c r="B32" s="89" t="s">
        <v>3370</v>
      </c>
      <c r="C32" s="90" t="s">
        <v>5745</v>
      </c>
      <c r="D32" s="89"/>
      <c r="E32" s="91" t="s">
        <v>5865</v>
      </c>
      <c r="F32" s="126"/>
      <c r="G32" s="93">
        <f>SUMIF('Card Data'!$A:$A,$A32,'Card Data'!$E:$E)</f>
        <v>49</v>
      </c>
      <c r="H32" s="93">
        <f>COUNTIFS('Card Data'!$I:$I,N$2,'Card Data'!$A:$A,$A32)</f>
        <v>0</v>
      </c>
      <c r="I32" s="93">
        <f>SUMIFS('Card Data'!$E:$E,'Card Data'!$A:$A,$A32,'Card Data'!$J:$J,"&lt;&gt;",'Card Data'!$J:$J,"&lt;&gt;Burden",'Card Data'!$I:$I,"&lt;&gt;Hero")</f>
        <v>0</v>
      </c>
      <c r="J32" s="93">
        <f>SUMIFS('Card Data'!$E:$E,'Card Data'!$A:$A,$A32,'Card Data'!$J:$J,"",'Card Data'!$I:$I,"&lt;&gt;Campaign")+SUMIFS('Card Data'!$E:$E,'Card Data'!$A:$A,$A32,'Card Data'!$J:$J,"Burden")-K32</f>
        <v>46</v>
      </c>
      <c r="K32" s="93">
        <f>SUMIFS('Card Data'!$E:$E,'Card Data'!$I:$I,K$2,'Card Data'!$A:$A,$A32,'Card Data'!$K:$K,"&lt;&gt;*Side Quest.*")</f>
        <v>3</v>
      </c>
      <c r="L32" s="93">
        <f>COUNTIFS('Card Data'!$I:$I,L$2,'Card Data'!$A:$A,$A32,'Card Data'!$K:$K,"&lt;&gt;*Side Quest.*")</f>
        <v>0</v>
      </c>
      <c r="M32" s="129"/>
      <c r="N32" s="93">
        <f>COUNTIFS('Card Data'!$I:$I,N$2,'Card Data'!$A:$A,$A32)</f>
        <v>0</v>
      </c>
      <c r="O32" s="93">
        <f>COUNTIFS('Card Data'!$I:$I,O$2,'Card Data'!$A:$A,$A32)</f>
        <v>0</v>
      </c>
      <c r="P32" s="93">
        <f>COUNTIFS('Card Data'!$I:$I,P$2,'Card Data'!$A:$A,$A32)</f>
        <v>0</v>
      </c>
      <c r="Q32" s="93">
        <f>COUNTIFS('Card Data'!$I:$I,Q$2,'Card Data'!$A:$A,$A32)</f>
        <v>0</v>
      </c>
      <c r="R32" s="93">
        <f>COUNTIFS('Card Data'!$I:$I,R$2,'Card Data'!$A:$A,$A32)</f>
        <v>3</v>
      </c>
      <c r="S32" s="93">
        <f>COUNTIFS('Card Data'!$I:$I,S$2,'Card Data'!$A:$A,$A32)</f>
        <v>10</v>
      </c>
      <c r="T32" s="93">
        <f>COUNTIFS('Card Data'!$I:$I,T$2,'Card Data'!$A:$A,$A32)</f>
        <v>6</v>
      </c>
      <c r="U32" s="129"/>
      <c r="V32" s="93">
        <f>COUNTIFS('Card Data'!$J:$J,V$2,'Card Data'!$A:$A,$A32)</f>
        <v>0</v>
      </c>
      <c r="W32" s="93">
        <f>COUNTIFS('Card Data'!$J:$J,W$2,'Card Data'!$A:$A,$A32)</f>
        <v>0</v>
      </c>
      <c r="X32" s="93">
        <f>COUNTIFS('Card Data'!$J:$J,X$2,'Card Data'!$A:$A,$A32)</f>
        <v>0</v>
      </c>
      <c r="Y32" s="93">
        <f>COUNTIFS('Card Data'!$J:$J,Y$2,'Card Data'!$A:$A,$A32)</f>
        <v>0</v>
      </c>
      <c r="Z32" s="93">
        <f>COUNTIFS('Card Data'!$J:$J,Z$2,'Card Data'!$A:$A,$A32)</f>
        <v>0</v>
      </c>
      <c r="AA32" s="129"/>
      <c r="AB32" s="93" t="str">
        <f>IF(COUNTIFS('Card Data'!$K:$K,"*"&amp;AB$2&amp;".*",'Card Data'!$A:$A,$A32)=0,"",IF(COUNTIFS('Card Data'!$K:$K,"*"&amp;AB$2&amp;".*",'Card Data'!$A:$A,$A32,'Card Data'!$I:$I,"Hero")=0,COUNTIFS('Card Data'!$K:$K,"*"&amp;AB$2&amp;".*",'Card Data'!$A:$A,$A32),COUNTIFS('Card Data'!$K:$K,"*"&amp;AB$2&amp;".*",'Card Data'!$A:$A,$A32)&amp;" ("&amp;COUNTIFS('Card Data'!$K:$K,"*"&amp;AB$2&amp;".*",'Card Data'!$A:$A,$A32,'Card Data'!$I:$I,"Hero")&amp;")"))</f>
        <v/>
      </c>
      <c r="AC32" s="93" t="str">
        <f>IF(COUNTIFS('Card Data'!$K:$K,"*"&amp;AC$2&amp;".*",'Card Data'!$A:$A,$A32)=0,"",IF(COUNTIFS('Card Data'!$K:$K,"*"&amp;AC$2&amp;".*",'Card Data'!$A:$A,$A32,'Card Data'!$I:$I,"Hero")=0,COUNTIFS('Card Data'!$K:$K,"*"&amp;AC$2&amp;".*",'Card Data'!$A:$A,$A32),COUNTIFS('Card Data'!$K:$K,"*"&amp;AC$2&amp;".*",'Card Data'!$A:$A,$A32)&amp;" ("&amp;COUNTIFS('Card Data'!$K:$K,"*"&amp;AC$2&amp;".*",'Card Data'!$A:$A,$A32,'Card Data'!$I:$I,"Hero")&amp;")"))</f>
        <v/>
      </c>
      <c r="AD32" s="93" t="str">
        <f>IF(COUNTIFS('Card Data'!$K:$K,"*"&amp;AD$2&amp;".*",'Card Data'!$A:$A,$A32)=0,"",IF(COUNTIFS('Card Data'!$K:$K,"*"&amp;AD$2&amp;".*",'Card Data'!$A:$A,$A32,'Card Data'!$I:$I,"Hero")=0,COUNTIFS('Card Data'!$K:$K,"*"&amp;AD$2&amp;".*",'Card Data'!$A:$A,$A32),COUNTIFS('Card Data'!$K:$K,"*"&amp;AD$2&amp;".*",'Card Data'!$A:$A,$A32)&amp;" ("&amp;COUNTIFS('Card Data'!$K:$K,"*"&amp;AD$2&amp;".*",'Card Data'!$A:$A,$A32,'Card Data'!$I:$I,"Hero")&amp;")"))</f>
        <v/>
      </c>
      <c r="AE32" s="93" t="str">
        <f>IF(COUNTIFS('Card Data'!$K:$K,"*"&amp;AE$2&amp;".*",'Card Data'!$A:$A,$A32)=0,"",IF(COUNTIFS('Card Data'!$K:$K,"*"&amp;AE$2&amp;".*",'Card Data'!$A:$A,$A32,'Card Data'!$I:$I,"Hero")=0,COUNTIFS('Card Data'!$K:$K,"*"&amp;AE$2&amp;".*",'Card Data'!$A:$A,$A32),COUNTIFS('Card Data'!$K:$K,"*"&amp;AE$2&amp;".*",'Card Data'!$A:$A,$A32)&amp;" ("&amp;COUNTIFS('Card Data'!$K:$K,"*"&amp;AE$2&amp;".*",'Card Data'!$A:$A,$A32,'Card Data'!$I:$I,"Hero")&amp;")"))</f>
        <v/>
      </c>
      <c r="AF32" s="93" t="str">
        <f>IF(COUNTIFS('Card Data'!$K:$K,"*"&amp;AF$2&amp;".*",'Card Data'!$A:$A,$A32)=0,"",IF(COUNTIFS('Card Data'!$K:$K,"*"&amp;AF$2&amp;".*",'Card Data'!$A:$A,$A32,'Card Data'!$I:$I,"Hero")=0,COUNTIFS('Card Data'!$K:$K,"*"&amp;AF$2&amp;".*",'Card Data'!$A:$A,$A32),COUNTIFS('Card Data'!$K:$K,"*"&amp;AF$2&amp;".*",'Card Data'!$A:$A,$A32)&amp;" ("&amp;COUNTIFS('Card Data'!$K:$K,"*"&amp;AF$2&amp;".*",'Card Data'!$A:$A,$A32,'Card Data'!$I:$I,"Hero")&amp;")"))</f>
        <v/>
      </c>
      <c r="AG32" s="93" t="str">
        <f>IF(COUNTIFS('Card Data'!$K:$K,"*"&amp;AG$2&amp;".*",'Card Data'!$A:$A,$A32)=0,"",IF(COUNTIFS('Card Data'!$K:$K,"*"&amp;AG$2&amp;".*",'Card Data'!$A:$A,$A32,'Card Data'!$I:$I,"Hero")=0,COUNTIFS('Card Data'!$K:$K,"*"&amp;AG$2&amp;".*",'Card Data'!$A:$A,$A32),COUNTIFS('Card Data'!$K:$K,"*"&amp;AG$2&amp;".*",'Card Data'!$A:$A,$A32)&amp;" ("&amp;COUNTIFS('Card Data'!$K:$K,"*"&amp;AG$2&amp;".*",'Card Data'!$A:$A,$A32,'Card Data'!$I:$I,"Hero")&amp;")"))</f>
        <v/>
      </c>
      <c r="AH32" s="93" t="str">
        <f>IF(COUNTIFS('Card Data'!$K:$K,"*"&amp;AH$2&amp;".*",'Card Data'!$A:$A,$A32)=0,"",IF(COUNTIFS('Card Data'!$K:$K,"*"&amp;AH$2&amp;".*",'Card Data'!$A:$A,$A32,'Card Data'!$I:$I,"Hero")=0,COUNTIFS('Card Data'!$K:$K,"*"&amp;AH$2&amp;".*",'Card Data'!$A:$A,$A32),COUNTIFS('Card Data'!$K:$K,"*"&amp;AH$2&amp;".*",'Card Data'!$A:$A,$A32)&amp;" ("&amp;COUNTIFS('Card Data'!$K:$K,"*"&amp;AH$2&amp;".*",'Card Data'!$A:$A,$A32,'Card Data'!$I:$I,"Hero")&amp;")"))</f>
        <v/>
      </c>
      <c r="AI32" s="93" t="str">
        <f>IF(COUNTIFS('Card Data'!$K:$K,"*"&amp;AI$2&amp;".*",'Card Data'!$A:$A,$A32)=0,"",IF(COUNTIFS('Card Data'!$K:$K,"*"&amp;AI$2&amp;".*",'Card Data'!$A:$A,$A32,'Card Data'!$I:$I,"Hero")=0,COUNTIFS('Card Data'!$K:$K,"*"&amp;AI$2&amp;".*",'Card Data'!$A:$A,$A32),COUNTIFS('Card Data'!$K:$K,"*"&amp;AI$2&amp;".*",'Card Data'!$A:$A,$A32)&amp;" ("&amp;COUNTIFS('Card Data'!$K:$K,"*"&amp;AI$2&amp;".*",'Card Data'!$A:$A,$A32,'Card Data'!$I:$I,"Hero")&amp;")"))</f>
        <v/>
      </c>
      <c r="AJ32" s="93" t="str">
        <f>IF(COUNTIFS('Card Data'!$K:$K,"*"&amp;AJ$2&amp;".*",'Card Data'!$A:$A,$A32)=0,"",IF(COUNTIFS('Card Data'!$K:$K,"*"&amp;AJ$2&amp;".*",'Card Data'!$A:$A,$A32,'Card Data'!$I:$I,"Hero")=0,COUNTIFS('Card Data'!$K:$K,"*"&amp;AJ$2&amp;".*",'Card Data'!$A:$A,$A32),COUNTIFS('Card Data'!$K:$K,"*"&amp;AJ$2&amp;".*",'Card Data'!$A:$A,$A32)&amp;" ("&amp;COUNTIFS('Card Data'!$K:$K,"*"&amp;AJ$2&amp;".*",'Card Data'!$A:$A,$A32,'Card Data'!$I:$I,"Hero")&amp;")"))</f>
        <v/>
      </c>
      <c r="AK32" s="93" t="str">
        <f>IF(COUNTIFS('Card Data'!$K:$K,"*"&amp;AK$2&amp;".*",'Card Data'!$A:$A,$A32)=0,"",IF(COUNTIFS('Card Data'!$K:$K,"*"&amp;AK$2&amp;".*",'Card Data'!$A:$A,$A32,'Card Data'!$I:$I,"Hero")=0,COUNTIFS('Card Data'!$K:$K,"*"&amp;AK$2&amp;".*",'Card Data'!$A:$A,$A32),COUNTIFS('Card Data'!$K:$K,"*"&amp;AK$2&amp;".*",'Card Data'!$A:$A,$A32)&amp;" ("&amp;COUNTIFS('Card Data'!$K:$K,"*"&amp;AK$2&amp;".*",'Card Data'!$A:$A,$A32,'Card Data'!$I:$I,"Hero")&amp;")"))</f>
        <v/>
      </c>
      <c r="AL32" s="93"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2" customFormat="1" x14ac:dyDescent="0.2">
      <c r="A33" s="89" t="s">
        <v>5144</v>
      </c>
      <c r="B33" s="89" t="s">
        <v>5149</v>
      </c>
      <c r="C33" s="90" t="s">
        <v>5745</v>
      </c>
      <c r="D33" s="89"/>
      <c r="E33" s="91" t="s">
        <v>5866</v>
      </c>
      <c r="F33" s="126"/>
      <c r="G33" s="93">
        <f>SUMIF('Card Data'!$A:$A,$A33,'Card Data'!$E:$E)</f>
        <v>48</v>
      </c>
      <c r="H33" s="93">
        <f>COUNTIFS('Card Data'!$I:$I,N$2,'Card Data'!$A:$A,$A33)</f>
        <v>0</v>
      </c>
      <c r="I33" s="93">
        <f>SUMIFS('Card Data'!$E:$E,'Card Data'!$A:$A,$A33,'Card Data'!$J:$J,"&lt;&gt;",'Card Data'!$J:$J,"&lt;&gt;Burden",'Card Data'!$I:$I,"&lt;&gt;Hero")</f>
        <v>0</v>
      </c>
      <c r="J33" s="93">
        <f>SUMIFS('Card Data'!$E:$E,'Card Data'!$A:$A,$A33,'Card Data'!$J:$J,"",'Card Data'!$I:$I,"&lt;&gt;Campaign")+SUMIFS('Card Data'!$E:$E,'Card Data'!$A:$A,$A33,'Card Data'!$J:$J,"Burden")-K33</f>
        <v>45</v>
      </c>
      <c r="K33" s="93">
        <f>SUMIFS('Card Data'!$E:$E,'Card Data'!$I:$I,K$2,'Card Data'!$A:$A,$A33,'Card Data'!$K:$K,"&lt;&gt;*Side Quest.*")</f>
        <v>3</v>
      </c>
      <c r="L33" s="93">
        <f>COUNTIFS('Card Data'!$I:$I,L$2,'Card Data'!$A:$A,$A33,'Card Data'!$K:$K,"&lt;&gt;*Side Quest.*")</f>
        <v>0</v>
      </c>
      <c r="M33" s="129"/>
      <c r="N33" s="93">
        <f>COUNTIFS('Card Data'!$I:$I,N$2,'Card Data'!$A:$A,$A33)</f>
        <v>0</v>
      </c>
      <c r="O33" s="93">
        <f>COUNTIFS('Card Data'!$I:$I,O$2,'Card Data'!$A:$A,$A33)</f>
        <v>0</v>
      </c>
      <c r="P33" s="93">
        <f>COUNTIFS('Card Data'!$I:$I,P$2,'Card Data'!$A:$A,$A33)</f>
        <v>0</v>
      </c>
      <c r="Q33" s="93">
        <f>COUNTIFS('Card Data'!$I:$I,Q$2,'Card Data'!$A:$A,$A33)</f>
        <v>0</v>
      </c>
      <c r="R33" s="93">
        <f>COUNTIFS('Card Data'!$I:$I,R$2,'Card Data'!$A:$A,$A33)</f>
        <v>6</v>
      </c>
      <c r="S33" s="93">
        <f>COUNTIFS('Card Data'!$I:$I,S$2,'Card Data'!$A:$A,$A33)</f>
        <v>7</v>
      </c>
      <c r="T33" s="93">
        <f>COUNTIFS('Card Data'!$I:$I,T$2,'Card Data'!$A:$A,$A33)</f>
        <v>6</v>
      </c>
      <c r="U33" s="129"/>
      <c r="V33" s="93">
        <f>COUNTIFS('Card Data'!$J:$J,V$2,'Card Data'!$A:$A,$A33)</f>
        <v>0</v>
      </c>
      <c r="W33" s="93">
        <f>COUNTIFS('Card Data'!$J:$J,W$2,'Card Data'!$A:$A,$A33)</f>
        <v>0</v>
      </c>
      <c r="X33" s="93">
        <f>COUNTIFS('Card Data'!$J:$J,X$2,'Card Data'!$A:$A,$A33)</f>
        <v>0</v>
      </c>
      <c r="Y33" s="93">
        <f>COUNTIFS('Card Data'!$J:$J,Y$2,'Card Data'!$A:$A,$A33)</f>
        <v>0</v>
      </c>
      <c r="Z33" s="93">
        <f>COUNTIFS('Card Data'!$J:$J,Z$2,'Card Data'!$A:$A,$A33)</f>
        <v>0</v>
      </c>
      <c r="AA33" s="129"/>
      <c r="AB33" s="93" t="str">
        <f>IF(COUNTIFS('Card Data'!$K:$K,"*"&amp;AB$2&amp;".*",'Card Data'!$A:$A,$A33)=0,"",IF(COUNTIFS('Card Data'!$K:$K,"*"&amp;AB$2&amp;".*",'Card Data'!$A:$A,$A33,'Card Data'!$I:$I,"Hero")=0,COUNTIFS('Card Data'!$K:$K,"*"&amp;AB$2&amp;".*",'Card Data'!$A:$A,$A33),COUNTIFS('Card Data'!$K:$K,"*"&amp;AB$2&amp;".*",'Card Data'!$A:$A,$A33)&amp;" ("&amp;COUNTIFS('Card Data'!$K:$K,"*"&amp;AB$2&amp;".*",'Card Data'!$A:$A,$A33,'Card Data'!$I:$I,"Hero")&amp;")"))</f>
        <v/>
      </c>
      <c r="AC33" s="93">
        <f>IF(COUNTIFS('Card Data'!$K:$K,"*"&amp;AC$2&amp;".*",'Card Data'!$A:$A,$A33)=0,"",IF(COUNTIFS('Card Data'!$K:$K,"*"&amp;AC$2&amp;".*",'Card Data'!$A:$A,$A33,'Card Data'!$I:$I,"Hero")=0,COUNTIFS('Card Data'!$K:$K,"*"&amp;AC$2&amp;".*",'Card Data'!$A:$A,$A33),COUNTIFS('Card Data'!$K:$K,"*"&amp;AC$2&amp;".*",'Card Data'!$A:$A,$A33)&amp;" ("&amp;COUNTIFS('Card Data'!$K:$K,"*"&amp;AC$2&amp;".*",'Card Data'!$A:$A,$A33,'Card Data'!$I:$I,"Hero")&amp;")"))</f>
        <v>1</v>
      </c>
      <c r="AD33" s="93" t="str">
        <f>IF(COUNTIFS('Card Data'!$K:$K,"*"&amp;AD$2&amp;".*",'Card Data'!$A:$A,$A33)=0,"",IF(COUNTIFS('Card Data'!$K:$K,"*"&amp;AD$2&amp;".*",'Card Data'!$A:$A,$A33,'Card Data'!$I:$I,"Hero")=0,COUNTIFS('Card Data'!$K:$K,"*"&amp;AD$2&amp;".*",'Card Data'!$A:$A,$A33),COUNTIFS('Card Data'!$K:$K,"*"&amp;AD$2&amp;".*",'Card Data'!$A:$A,$A33)&amp;" ("&amp;COUNTIFS('Card Data'!$K:$K,"*"&amp;AD$2&amp;".*",'Card Data'!$A:$A,$A33,'Card Data'!$I:$I,"Hero")&amp;")"))</f>
        <v/>
      </c>
      <c r="AE33" s="93" t="str">
        <f>IF(COUNTIFS('Card Data'!$K:$K,"*"&amp;AE$2&amp;".*",'Card Data'!$A:$A,$A33)=0,"",IF(COUNTIFS('Card Data'!$K:$K,"*"&amp;AE$2&amp;".*",'Card Data'!$A:$A,$A33,'Card Data'!$I:$I,"Hero")=0,COUNTIFS('Card Data'!$K:$K,"*"&amp;AE$2&amp;".*",'Card Data'!$A:$A,$A33),COUNTIFS('Card Data'!$K:$K,"*"&amp;AE$2&amp;".*",'Card Data'!$A:$A,$A33)&amp;" ("&amp;COUNTIFS('Card Data'!$K:$K,"*"&amp;AE$2&amp;".*",'Card Data'!$A:$A,$A33,'Card Data'!$I:$I,"Hero")&amp;")"))</f>
        <v/>
      </c>
      <c r="AF33" s="93" t="str">
        <f>IF(COUNTIFS('Card Data'!$K:$K,"*"&amp;AF$2&amp;".*",'Card Data'!$A:$A,$A33)=0,"",IF(COUNTIFS('Card Data'!$K:$K,"*"&amp;AF$2&amp;".*",'Card Data'!$A:$A,$A33,'Card Data'!$I:$I,"Hero")=0,COUNTIFS('Card Data'!$K:$K,"*"&amp;AF$2&amp;".*",'Card Data'!$A:$A,$A33),COUNTIFS('Card Data'!$K:$K,"*"&amp;AF$2&amp;".*",'Card Data'!$A:$A,$A33)&amp;" ("&amp;COUNTIFS('Card Data'!$K:$K,"*"&amp;AF$2&amp;".*",'Card Data'!$A:$A,$A33,'Card Data'!$I:$I,"Hero")&amp;")"))</f>
        <v/>
      </c>
      <c r="AG33" s="93" t="str">
        <f>IF(COUNTIFS('Card Data'!$K:$K,"*"&amp;AG$2&amp;".*",'Card Data'!$A:$A,$A33)=0,"",IF(COUNTIFS('Card Data'!$K:$K,"*"&amp;AG$2&amp;".*",'Card Data'!$A:$A,$A33,'Card Data'!$I:$I,"Hero")=0,COUNTIFS('Card Data'!$K:$K,"*"&amp;AG$2&amp;".*",'Card Data'!$A:$A,$A33),COUNTIFS('Card Data'!$K:$K,"*"&amp;AG$2&amp;".*",'Card Data'!$A:$A,$A33)&amp;" ("&amp;COUNTIFS('Card Data'!$K:$K,"*"&amp;AG$2&amp;".*",'Card Data'!$A:$A,$A33,'Card Data'!$I:$I,"Hero")&amp;")"))</f>
        <v/>
      </c>
      <c r="AH33" s="93" t="str">
        <f>IF(COUNTIFS('Card Data'!$K:$K,"*"&amp;AH$2&amp;".*",'Card Data'!$A:$A,$A33)=0,"",IF(COUNTIFS('Card Data'!$K:$K,"*"&amp;AH$2&amp;".*",'Card Data'!$A:$A,$A33,'Card Data'!$I:$I,"Hero")=0,COUNTIFS('Card Data'!$K:$K,"*"&amp;AH$2&amp;".*",'Card Data'!$A:$A,$A33),COUNTIFS('Card Data'!$K:$K,"*"&amp;AH$2&amp;".*",'Card Data'!$A:$A,$A33)&amp;" ("&amp;COUNTIFS('Card Data'!$K:$K,"*"&amp;AH$2&amp;".*",'Card Data'!$A:$A,$A33,'Card Data'!$I:$I,"Hero")&amp;")"))</f>
        <v/>
      </c>
      <c r="AI33" s="93" t="str">
        <f>IF(COUNTIFS('Card Data'!$K:$K,"*"&amp;AI$2&amp;".*",'Card Data'!$A:$A,$A33)=0,"",IF(COUNTIFS('Card Data'!$K:$K,"*"&amp;AI$2&amp;".*",'Card Data'!$A:$A,$A33,'Card Data'!$I:$I,"Hero")=0,COUNTIFS('Card Data'!$K:$K,"*"&amp;AI$2&amp;".*",'Card Data'!$A:$A,$A33),COUNTIFS('Card Data'!$K:$K,"*"&amp;AI$2&amp;".*",'Card Data'!$A:$A,$A33)&amp;" ("&amp;COUNTIFS('Card Data'!$K:$K,"*"&amp;AI$2&amp;".*",'Card Data'!$A:$A,$A33,'Card Data'!$I:$I,"Hero")&amp;")"))</f>
        <v/>
      </c>
      <c r="AJ33" s="93" t="str">
        <f>IF(COUNTIFS('Card Data'!$K:$K,"*"&amp;AJ$2&amp;".*",'Card Data'!$A:$A,$A33)=0,"",IF(COUNTIFS('Card Data'!$K:$K,"*"&amp;AJ$2&amp;".*",'Card Data'!$A:$A,$A33,'Card Data'!$I:$I,"Hero")=0,COUNTIFS('Card Data'!$K:$K,"*"&amp;AJ$2&amp;".*",'Card Data'!$A:$A,$A33),COUNTIFS('Card Data'!$K:$K,"*"&amp;AJ$2&amp;".*",'Card Data'!$A:$A,$A33)&amp;" ("&amp;COUNTIFS('Card Data'!$K:$K,"*"&amp;AJ$2&amp;".*",'Card Data'!$A:$A,$A33,'Card Data'!$I:$I,"Hero")&amp;")"))</f>
        <v/>
      </c>
      <c r="AK33" s="93" t="str">
        <f>IF(COUNTIFS('Card Data'!$K:$K,"*"&amp;AK$2&amp;".*",'Card Data'!$A:$A,$A33)=0,"",IF(COUNTIFS('Card Data'!$K:$K,"*"&amp;AK$2&amp;".*",'Card Data'!$A:$A,$A33,'Card Data'!$I:$I,"Hero")=0,COUNTIFS('Card Data'!$K:$K,"*"&amp;AK$2&amp;".*",'Card Data'!$A:$A,$A33),COUNTIFS('Card Data'!$K:$K,"*"&amp;AK$2&amp;".*",'Card Data'!$A:$A,$A33)&amp;" ("&amp;COUNTIFS('Card Data'!$K:$K,"*"&amp;AK$2&amp;".*",'Card Data'!$A:$A,$A33,'Card Data'!$I:$I,"Hero")&amp;")"))</f>
        <v/>
      </c>
      <c r="AL33" s="93"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2" customFormat="1" x14ac:dyDescent="0.2">
      <c r="A34" s="89" t="s">
        <v>11288</v>
      </c>
      <c r="B34" s="89" t="s">
        <v>1671</v>
      </c>
      <c r="C34" s="90" t="s">
        <v>8065</v>
      </c>
      <c r="D34" s="89" t="s">
        <v>5595</v>
      </c>
      <c r="E34" s="91" t="s">
        <v>11285</v>
      </c>
      <c r="F34" s="126"/>
      <c r="G34" s="93">
        <f>SUMIF('Card Data'!$A:$A,$A34,'Card Data'!$E:$E)</f>
        <v>48</v>
      </c>
      <c r="H34" s="93">
        <f>COUNTIFS('Card Data'!$I:$I,N$2,'Card Data'!$A:$A,$A34)</f>
        <v>0</v>
      </c>
      <c r="I34" s="93">
        <f>SUMIFS('Card Data'!$E:$E,'Card Data'!$A:$A,$A34,'Card Data'!$J:$J,"&lt;&gt;",'Card Data'!$J:$J,"&lt;&gt;Burden",'Card Data'!$I:$I,"&lt;&gt;Hero")</f>
        <v>1</v>
      </c>
      <c r="J34" s="93">
        <f>SUMIFS('Card Data'!$E:$E,'Card Data'!$A:$A,$A34,'Card Data'!$J:$J,"",'Card Data'!$I:$I,"&lt;&gt;Campaign")+SUMIFS('Card Data'!$E:$E,'Card Data'!$A:$A,$A34,'Card Data'!$J:$J,"Burden")-K34</f>
        <v>40</v>
      </c>
      <c r="K34" s="93">
        <f>SUMIFS('Card Data'!$E:$E,'Card Data'!$I:$I,K$2,'Card Data'!$A:$A,$A34,'Card Data'!$K:$K,"&lt;&gt;*Side Quest.*")</f>
        <v>6</v>
      </c>
      <c r="L34" s="93">
        <f>COUNTIFS('Card Data'!$I:$I,L$2,'Card Data'!$A:$A,$A34,'Card Data'!$K:$K,"&lt;&gt;*Side Quest.*")</f>
        <v>1</v>
      </c>
      <c r="M34" s="129"/>
      <c r="N34" s="93">
        <f>COUNTIFS('Card Data'!$I:$I,N$2,'Card Data'!$A:$A,$A34)</f>
        <v>0</v>
      </c>
      <c r="O34" s="93">
        <f>COUNTIFS('Card Data'!$I:$I,O$2,'Card Data'!$A:$A,$A34)</f>
        <v>0</v>
      </c>
      <c r="P34" s="93">
        <f>COUNTIFS('Card Data'!$I:$I,P$2,'Card Data'!$A:$A,$A34)</f>
        <v>1</v>
      </c>
      <c r="Q34" s="93">
        <f>COUNTIFS('Card Data'!$I:$I,Q$2,'Card Data'!$A:$A,$A34)</f>
        <v>0</v>
      </c>
      <c r="R34" s="93">
        <f>COUNTIFS('Card Data'!$I:$I,R$2,'Card Data'!$A:$A,$A34)</f>
        <v>4</v>
      </c>
      <c r="S34" s="93">
        <f>COUNTIFS('Card Data'!$I:$I,S$2,'Card Data'!$A:$A,$A34)</f>
        <v>6</v>
      </c>
      <c r="T34" s="93">
        <f>COUNTIFS('Card Data'!$I:$I,T$2,'Card Data'!$A:$A,$A34)</f>
        <v>5</v>
      </c>
      <c r="U34" s="129"/>
      <c r="V34" s="93">
        <f>COUNTIFS('Card Data'!$J:$J,V$2,'Card Data'!$A:$A,$A34)</f>
        <v>0</v>
      </c>
      <c r="W34" s="93">
        <f>COUNTIFS('Card Data'!$J:$J,W$2,'Card Data'!$A:$A,$A34)</f>
        <v>0</v>
      </c>
      <c r="X34" s="93">
        <f>COUNTIFS('Card Data'!$J:$J,X$2,'Card Data'!$A:$A,$A34)</f>
        <v>0</v>
      </c>
      <c r="Y34" s="93">
        <f>COUNTIFS('Card Data'!$J:$J,Y$2,'Card Data'!$A:$A,$A34)</f>
        <v>0</v>
      </c>
      <c r="Z34" s="93">
        <f>COUNTIFS('Card Data'!$J:$J,Z$2,'Card Data'!$A:$A,$A34)</f>
        <v>0</v>
      </c>
      <c r="AA34" s="129"/>
      <c r="AB34" s="93" t="str">
        <f>IF(COUNTIFS('Card Data'!$K:$K,"*"&amp;AB$2&amp;".*",'Card Data'!$A:$A,$A34)=0,"",IF(COUNTIFS('Card Data'!$K:$K,"*"&amp;AB$2&amp;".*",'Card Data'!$A:$A,$A34,'Card Data'!$I:$I,"Hero")=0,COUNTIFS('Card Data'!$K:$K,"*"&amp;AB$2&amp;".*",'Card Data'!$A:$A,$A34),COUNTIFS('Card Data'!$K:$K,"*"&amp;AB$2&amp;".*",'Card Data'!$A:$A,$A34)&amp;" ("&amp;COUNTIFS('Card Data'!$K:$K,"*"&amp;AB$2&amp;".*",'Card Data'!$A:$A,$A34,'Card Data'!$I:$I,"Hero")&amp;")"))</f>
        <v/>
      </c>
      <c r="AC34" s="93" t="str">
        <f>IF(COUNTIFS('Card Data'!$K:$K,"*"&amp;AC$2&amp;".*",'Card Data'!$A:$A,$A34)=0,"",IF(COUNTIFS('Card Data'!$K:$K,"*"&amp;AC$2&amp;".*",'Card Data'!$A:$A,$A34,'Card Data'!$I:$I,"Hero")=0,COUNTIFS('Card Data'!$K:$K,"*"&amp;AC$2&amp;".*",'Card Data'!$A:$A,$A34),COUNTIFS('Card Data'!$K:$K,"*"&amp;AC$2&amp;".*",'Card Data'!$A:$A,$A34)&amp;" ("&amp;COUNTIFS('Card Data'!$K:$K,"*"&amp;AC$2&amp;".*",'Card Data'!$A:$A,$A34,'Card Data'!$I:$I,"Hero")&amp;")"))</f>
        <v/>
      </c>
      <c r="AD34" s="93" t="str">
        <f>IF(COUNTIFS('Card Data'!$K:$K,"*"&amp;AD$2&amp;".*",'Card Data'!$A:$A,$A34)=0,"",IF(COUNTIFS('Card Data'!$K:$K,"*"&amp;AD$2&amp;".*",'Card Data'!$A:$A,$A34,'Card Data'!$I:$I,"Hero")=0,COUNTIFS('Card Data'!$K:$K,"*"&amp;AD$2&amp;".*",'Card Data'!$A:$A,$A34),COUNTIFS('Card Data'!$K:$K,"*"&amp;AD$2&amp;".*",'Card Data'!$A:$A,$A34)&amp;" ("&amp;COUNTIFS('Card Data'!$K:$K,"*"&amp;AD$2&amp;".*",'Card Data'!$A:$A,$A34,'Card Data'!$I:$I,"Hero")&amp;")"))</f>
        <v/>
      </c>
      <c r="AE34" s="93" t="str">
        <f>IF(COUNTIFS('Card Data'!$K:$K,"*"&amp;AE$2&amp;".*",'Card Data'!$A:$A,$A34)=0,"",IF(COUNTIFS('Card Data'!$K:$K,"*"&amp;AE$2&amp;".*",'Card Data'!$A:$A,$A34,'Card Data'!$I:$I,"Hero")=0,COUNTIFS('Card Data'!$K:$K,"*"&amp;AE$2&amp;".*",'Card Data'!$A:$A,$A34),COUNTIFS('Card Data'!$K:$K,"*"&amp;AE$2&amp;".*",'Card Data'!$A:$A,$A34)&amp;" ("&amp;COUNTIFS('Card Data'!$K:$K,"*"&amp;AE$2&amp;".*",'Card Data'!$A:$A,$A34,'Card Data'!$I:$I,"Hero")&amp;")"))</f>
        <v/>
      </c>
      <c r="AF34" s="93" t="str">
        <f>IF(COUNTIFS('Card Data'!$K:$K,"*"&amp;AF$2&amp;".*",'Card Data'!$A:$A,$A34)=0,"",IF(COUNTIFS('Card Data'!$K:$K,"*"&amp;AF$2&amp;".*",'Card Data'!$A:$A,$A34,'Card Data'!$I:$I,"Hero")=0,COUNTIFS('Card Data'!$K:$K,"*"&amp;AF$2&amp;".*",'Card Data'!$A:$A,$A34),COUNTIFS('Card Data'!$K:$K,"*"&amp;AF$2&amp;".*",'Card Data'!$A:$A,$A34)&amp;" ("&amp;COUNTIFS('Card Data'!$K:$K,"*"&amp;AF$2&amp;".*",'Card Data'!$A:$A,$A34,'Card Data'!$I:$I,"Hero")&amp;")"))</f>
        <v/>
      </c>
      <c r="AG34" s="93" t="str">
        <f>IF(COUNTIFS('Card Data'!$K:$K,"*"&amp;AG$2&amp;".*",'Card Data'!$A:$A,$A34)=0,"",IF(COUNTIFS('Card Data'!$K:$K,"*"&amp;AG$2&amp;".*",'Card Data'!$A:$A,$A34,'Card Data'!$I:$I,"Hero")=0,COUNTIFS('Card Data'!$K:$K,"*"&amp;AG$2&amp;".*",'Card Data'!$A:$A,$A34),COUNTIFS('Card Data'!$K:$K,"*"&amp;AG$2&amp;".*",'Card Data'!$A:$A,$A34)&amp;" ("&amp;COUNTIFS('Card Data'!$K:$K,"*"&amp;AG$2&amp;".*",'Card Data'!$A:$A,$A34,'Card Data'!$I:$I,"Hero")&amp;")"))</f>
        <v/>
      </c>
      <c r="AH34" s="93" t="str">
        <f>IF(COUNTIFS('Card Data'!$K:$K,"*"&amp;AH$2&amp;".*",'Card Data'!$A:$A,$A34)=0,"",IF(COUNTIFS('Card Data'!$K:$K,"*"&amp;AH$2&amp;".*",'Card Data'!$A:$A,$A34,'Card Data'!$I:$I,"Hero")=0,COUNTIFS('Card Data'!$K:$K,"*"&amp;AH$2&amp;".*",'Card Data'!$A:$A,$A34),COUNTIFS('Card Data'!$K:$K,"*"&amp;AH$2&amp;".*",'Card Data'!$A:$A,$A34)&amp;" ("&amp;COUNTIFS('Card Data'!$K:$K,"*"&amp;AH$2&amp;".*",'Card Data'!$A:$A,$A34,'Card Data'!$I:$I,"Hero")&amp;")"))</f>
        <v/>
      </c>
      <c r="AI34" s="93" t="str">
        <f>IF(COUNTIFS('Card Data'!$K:$K,"*"&amp;AI$2&amp;".*",'Card Data'!$A:$A,$A34)=0,"",IF(COUNTIFS('Card Data'!$K:$K,"*"&amp;AI$2&amp;".*",'Card Data'!$A:$A,$A34,'Card Data'!$I:$I,"Hero")=0,COUNTIFS('Card Data'!$K:$K,"*"&amp;AI$2&amp;".*",'Card Data'!$A:$A,$A34),COUNTIFS('Card Data'!$K:$K,"*"&amp;AI$2&amp;".*",'Card Data'!$A:$A,$A34)&amp;" ("&amp;COUNTIFS('Card Data'!$K:$K,"*"&amp;AI$2&amp;".*",'Card Data'!$A:$A,$A34,'Card Data'!$I:$I,"Hero")&amp;")"))</f>
        <v/>
      </c>
      <c r="AJ34" s="93" t="str">
        <f>IF(COUNTIFS('Card Data'!$K:$K,"*"&amp;AJ$2&amp;".*",'Card Data'!$A:$A,$A34)=0,"",IF(COUNTIFS('Card Data'!$K:$K,"*"&amp;AJ$2&amp;".*",'Card Data'!$A:$A,$A34,'Card Data'!$I:$I,"Hero")=0,COUNTIFS('Card Data'!$K:$K,"*"&amp;AJ$2&amp;".*",'Card Data'!$A:$A,$A34),COUNTIFS('Card Data'!$K:$K,"*"&amp;AJ$2&amp;".*",'Card Data'!$A:$A,$A34)&amp;" ("&amp;COUNTIFS('Card Data'!$K:$K,"*"&amp;AJ$2&amp;".*",'Card Data'!$A:$A,$A34,'Card Data'!$I:$I,"Hero")&amp;")"))</f>
        <v/>
      </c>
      <c r="AK34" s="93" t="str">
        <f>IF(COUNTIFS('Card Data'!$K:$K,"*"&amp;AK$2&amp;".*",'Card Data'!$A:$A,$A34)=0,"",IF(COUNTIFS('Card Data'!$K:$K,"*"&amp;AK$2&amp;".*",'Card Data'!$A:$A,$A34,'Card Data'!$I:$I,"Hero")=0,COUNTIFS('Card Data'!$K:$K,"*"&amp;AK$2&amp;".*",'Card Data'!$A:$A,$A34),COUNTIFS('Card Data'!$K:$K,"*"&amp;AK$2&amp;".*",'Card Data'!$A:$A,$A34)&amp;" ("&amp;COUNTIFS('Card Data'!$K:$K,"*"&amp;AK$2&amp;".*",'Card Data'!$A:$A,$A34,'Card Data'!$I:$I,"Hero")&amp;")"))</f>
        <v/>
      </c>
      <c r="AL34" s="93"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2" customFormat="1" x14ac:dyDescent="0.2">
      <c r="A35" s="89" t="s">
        <v>11448</v>
      </c>
      <c r="B35" s="89" t="s">
        <v>11287</v>
      </c>
      <c r="C35" s="90" t="s">
        <v>8065</v>
      </c>
      <c r="D35" s="89" t="s">
        <v>5595</v>
      </c>
      <c r="E35" s="91" t="s">
        <v>11286</v>
      </c>
      <c r="F35" s="126"/>
      <c r="G35" s="93">
        <f>SUMIF('Card Data'!$A:$A,$A35,'Card Data'!$E:$E)</f>
        <v>50</v>
      </c>
      <c r="H35" s="93">
        <f>COUNTIFS('Card Data'!$I:$I,N$2,'Card Data'!$A:$A,$A35)</f>
        <v>0</v>
      </c>
      <c r="I35" s="93">
        <f>SUMIFS('Card Data'!$E:$E,'Card Data'!$A:$A,$A35,'Card Data'!$J:$J,"&lt;&gt;",'Card Data'!$J:$J,"&lt;&gt;Burden",'Card Data'!$I:$I,"&lt;&gt;Hero")</f>
        <v>1</v>
      </c>
      <c r="J35" s="93">
        <f>SUMIFS('Card Data'!$E:$E,'Card Data'!$A:$A,$A35,'Card Data'!$J:$J,"",'Card Data'!$I:$I,"&lt;&gt;Campaign")+SUMIFS('Card Data'!$E:$E,'Card Data'!$A:$A,$A35,'Card Data'!$J:$J,"Burden")-K35</f>
        <v>41</v>
      </c>
      <c r="K35" s="93">
        <f>SUMIFS('Card Data'!$E:$E,'Card Data'!$I:$I,K$2,'Card Data'!$A:$A,$A35,'Card Data'!$K:$K,"&lt;&gt;*Side Quest.*")</f>
        <v>7</v>
      </c>
      <c r="L35" s="93">
        <f>COUNTIFS('Card Data'!$I:$I,L$2,'Card Data'!$A:$A,$A35,'Card Data'!$K:$K,"&lt;&gt;*Side Quest.*")</f>
        <v>1</v>
      </c>
      <c r="M35" s="129"/>
      <c r="N35" s="93">
        <f>COUNTIFS('Card Data'!$I:$I,N$2,'Card Data'!$A:$A,$A35)</f>
        <v>0</v>
      </c>
      <c r="O35" s="93">
        <f>COUNTIFS('Card Data'!$I:$I,O$2,'Card Data'!$A:$A,$A35)</f>
        <v>0</v>
      </c>
      <c r="P35" s="93">
        <f>COUNTIFS('Card Data'!$I:$I,P$2,'Card Data'!$A:$A,$A35)</f>
        <v>0</v>
      </c>
      <c r="Q35" s="93">
        <f>COUNTIFS('Card Data'!$I:$I,Q$2,'Card Data'!$A:$A,$A35)</f>
        <v>1</v>
      </c>
      <c r="R35" s="93">
        <f>COUNTIFS('Card Data'!$I:$I,R$2,'Card Data'!$A:$A,$A35)</f>
        <v>3</v>
      </c>
      <c r="S35" s="93">
        <f>COUNTIFS('Card Data'!$I:$I,S$2,'Card Data'!$A:$A,$A35)</f>
        <v>6</v>
      </c>
      <c r="T35" s="93">
        <f>COUNTIFS('Card Data'!$I:$I,T$2,'Card Data'!$A:$A,$A35)</f>
        <v>5</v>
      </c>
      <c r="U35" s="129"/>
      <c r="V35" s="93">
        <f>COUNTIFS('Card Data'!$J:$J,V$2,'Card Data'!$A:$A,$A35)</f>
        <v>0</v>
      </c>
      <c r="W35" s="93">
        <f>COUNTIFS('Card Data'!$J:$J,W$2,'Card Data'!$A:$A,$A35)</f>
        <v>0</v>
      </c>
      <c r="X35" s="93">
        <f>COUNTIFS('Card Data'!$J:$J,X$2,'Card Data'!$A:$A,$A35)</f>
        <v>0</v>
      </c>
      <c r="Y35" s="93">
        <f>COUNTIFS('Card Data'!$J:$J,Y$2,'Card Data'!$A:$A,$A35)</f>
        <v>0</v>
      </c>
      <c r="Z35" s="93">
        <f>COUNTIFS('Card Data'!$J:$J,Z$2,'Card Data'!$A:$A,$A35)</f>
        <v>0</v>
      </c>
      <c r="AA35" s="129"/>
      <c r="AB35" s="93" t="str">
        <f>IF(COUNTIFS('Card Data'!$K:$K,"*"&amp;AB$2&amp;".*",'Card Data'!$A:$A,$A35)=0,"",IF(COUNTIFS('Card Data'!$K:$K,"*"&amp;AB$2&amp;".*",'Card Data'!$A:$A,$A35,'Card Data'!$I:$I,"Hero")=0,COUNTIFS('Card Data'!$K:$K,"*"&amp;AB$2&amp;".*",'Card Data'!$A:$A,$A35),COUNTIFS('Card Data'!$K:$K,"*"&amp;AB$2&amp;".*",'Card Data'!$A:$A,$A35)&amp;" ("&amp;COUNTIFS('Card Data'!$K:$K,"*"&amp;AB$2&amp;".*",'Card Data'!$A:$A,$A35,'Card Data'!$I:$I,"Hero")&amp;")"))</f>
        <v/>
      </c>
      <c r="AC35" s="93" t="str">
        <f>IF(COUNTIFS('Card Data'!$K:$K,"*"&amp;AC$2&amp;".*",'Card Data'!$A:$A,$A35)=0,"",IF(COUNTIFS('Card Data'!$K:$K,"*"&amp;AC$2&amp;".*",'Card Data'!$A:$A,$A35,'Card Data'!$I:$I,"Hero")=0,COUNTIFS('Card Data'!$K:$K,"*"&amp;AC$2&amp;".*",'Card Data'!$A:$A,$A35),COUNTIFS('Card Data'!$K:$K,"*"&amp;AC$2&amp;".*",'Card Data'!$A:$A,$A35)&amp;" ("&amp;COUNTIFS('Card Data'!$K:$K,"*"&amp;AC$2&amp;".*",'Card Data'!$A:$A,$A35,'Card Data'!$I:$I,"Hero")&amp;")"))</f>
        <v/>
      </c>
      <c r="AD35" s="93" t="str">
        <f>IF(COUNTIFS('Card Data'!$K:$K,"*"&amp;AD$2&amp;".*",'Card Data'!$A:$A,$A35)=0,"",IF(COUNTIFS('Card Data'!$K:$K,"*"&amp;AD$2&amp;".*",'Card Data'!$A:$A,$A35,'Card Data'!$I:$I,"Hero")=0,COUNTIFS('Card Data'!$K:$K,"*"&amp;AD$2&amp;".*",'Card Data'!$A:$A,$A35),COUNTIFS('Card Data'!$K:$K,"*"&amp;AD$2&amp;".*",'Card Data'!$A:$A,$A35)&amp;" ("&amp;COUNTIFS('Card Data'!$K:$K,"*"&amp;AD$2&amp;".*",'Card Data'!$A:$A,$A35,'Card Data'!$I:$I,"Hero")&amp;")"))</f>
        <v/>
      </c>
      <c r="AE35" s="93" t="str">
        <f>IF(COUNTIFS('Card Data'!$K:$K,"*"&amp;AE$2&amp;".*",'Card Data'!$A:$A,$A35)=0,"",IF(COUNTIFS('Card Data'!$K:$K,"*"&amp;AE$2&amp;".*",'Card Data'!$A:$A,$A35,'Card Data'!$I:$I,"Hero")=0,COUNTIFS('Card Data'!$K:$K,"*"&amp;AE$2&amp;".*",'Card Data'!$A:$A,$A35),COUNTIFS('Card Data'!$K:$K,"*"&amp;AE$2&amp;".*",'Card Data'!$A:$A,$A35)&amp;" ("&amp;COUNTIFS('Card Data'!$K:$K,"*"&amp;AE$2&amp;".*",'Card Data'!$A:$A,$A35,'Card Data'!$I:$I,"Hero")&amp;")"))</f>
        <v/>
      </c>
      <c r="AF35" s="93" t="str">
        <f>IF(COUNTIFS('Card Data'!$K:$K,"*"&amp;AF$2&amp;".*",'Card Data'!$A:$A,$A35)=0,"",IF(COUNTIFS('Card Data'!$K:$K,"*"&amp;AF$2&amp;".*",'Card Data'!$A:$A,$A35,'Card Data'!$I:$I,"Hero")=0,COUNTIFS('Card Data'!$K:$K,"*"&amp;AF$2&amp;".*",'Card Data'!$A:$A,$A35),COUNTIFS('Card Data'!$K:$K,"*"&amp;AF$2&amp;".*",'Card Data'!$A:$A,$A35)&amp;" ("&amp;COUNTIFS('Card Data'!$K:$K,"*"&amp;AF$2&amp;".*",'Card Data'!$A:$A,$A35,'Card Data'!$I:$I,"Hero")&amp;")"))</f>
        <v/>
      </c>
      <c r="AG35" s="93" t="str">
        <f>IF(COUNTIFS('Card Data'!$K:$K,"*"&amp;AG$2&amp;".*",'Card Data'!$A:$A,$A35)=0,"",IF(COUNTIFS('Card Data'!$K:$K,"*"&amp;AG$2&amp;".*",'Card Data'!$A:$A,$A35,'Card Data'!$I:$I,"Hero")=0,COUNTIFS('Card Data'!$K:$K,"*"&amp;AG$2&amp;".*",'Card Data'!$A:$A,$A35),COUNTIFS('Card Data'!$K:$K,"*"&amp;AG$2&amp;".*",'Card Data'!$A:$A,$A35)&amp;" ("&amp;COUNTIFS('Card Data'!$K:$K,"*"&amp;AG$2&amp;".*",'Card Data'!$A:$A,$A35,'Card Data'!$I:$I,"Hero")&amp;")"))</f>
        <v/>
      </c>
      <c r="AH35" s="93" t="str">
        <f>IF(COUNTIFS('Card Data'!$K:$K,"*"&amp;AH$2&amp;".*",'Card Data'!$A:$A,$A35)=0,"",IF(COUNTIFS('Card Data'!$K:$K,"*"&amp;AH$2&amp;".*",'Card Data'!$A:$A,$A35,'Card Data'!$I:$I,"Hero")=0,COUNTIFS('Card Data'!$K:$K,"*"&amp;AH$2&amp;".*",'Card Data'!$A:$A,$A35),COUNTIFS('Card Data'!$K:$K,"*"&amp;AH$2&amp;".*",'Card Data'!$A:$A,$A35)&amp;" ("&amp;COUNTIFS('Card Data'!$K:$K,"*"&amp;AH$2&amp;".*",'Card Data'!$A:$A,$A35,'Card Data'!$I:$I,"Hero")&amp;")"))</f>
        <v/>
      </c>
      <c r="AI35" s="93" t="str">
        <f>IF(COUNTIFS('Card Data'!$K:$K,"*"&amp;AI$2&amp;".*",'Card Data'!$A:$A,$A35)=0,"",IF(COUNTIFS('Card Data'!$K:$K,"*"&amp;AI$2&amp;".*",'Card Data'!$A:$A,$A35,'Card Data'!$I:$I,"Hero")=0,COUNTIFS('Card Data'!$K:$K,"*"&amp;AI$2&amp;".*",'Card Data'!$A:$A,$A35),COUNTIFS('Card Data'!$K:$K,"*"&amp;AI$2&amp;".*",'Card Data'!$A:$A,$A35)&amp;" ("&amp;COUNTIFS('Card Data'!$K:$K,"*"&amp;AI$2&amp;".*",'Card Data'!$A:$A,$A35,'Card Data'!$I:$I,"Hero")&amp;")"))</f>
        <v/>
      </c>
      <c r="AJ35" s="93" t="str">
        <f>IF(COUNTIFS('Card Data'!$K:$K,"*"&amp;AJ$2&amp;".*",'Card Data'!$A:$A,$A35)=0,"",IF(COUNTIFS('Card Data'!$K:$K,"*"&amp;AJ$2&amp;".*",'Card Data'!$A:$A,$A35,'Card Data'!$I:$I,"Hero")=0,COUNTIFS('Card Data'!$K:$K,"*"&amp;AJ$2&amp;".*",'Card Data'!$A:$A,$A35),COUNTIFS('Card Data'!$K:$K,"*"&amp;AJ$2&amp;".*",'Card Data'!$A:$A,$A35)&amp;" ("&amp;COUNTIFS('Card Data'!$K:$K,"*"&amp;AJ$2&amp;".*",'Card Data'!$A:$A,$A35,'Card Data'!$I:$I,"Hero")&amp;")"))</f>
        <v/>
      </c>
      <c r="AK35" s="93" t="str">
        <f>IF(COUNTIFS('Card Data'!$K:$K,"*"&amp;AK$2&amp;".*",'Card Data'!$A:$A,$A35)=0,"",IF(COUNTIFS('Card Data'!$K:$K,"*"&amp;AK$2&amp;".*",'Card Data'!$A:$A,$A35,'Card Data'!$I:$I,"Hero")=0,COUNTIFS('Card Data'!$K:$K,"*"&amp;AK$2&amp;".*",'Card Data'!$A:$A,$A35),COUNTIFS('Card Data'!$K:$K,"*"&amp;AK$2&amp;".*",'Card Data'!$A:$A,$A35)&amp;" ("&amp;COUNTIFS('Card Data'!$K:$K,"*"&amp;AK$2&amp;".*",'Card Data'!$A:$A,$A35,'Card Data'!$I:$I,"Hero")&amp;")"))</f>
        <v/>
      </c>
      <c r="AL35" s="93">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7" customFormat="1" x14ac:dyDescent="0.2">
      <c r="A36" s="74" t="s">
        <v>766</v>
      </c>
      <c r="B36" s="74" t="s">
        <v>5330</v>
      </c>
      <c r="C36" s="75" t="s">
        <v>5745</v>
      </c>
      <c r="D36" s="74"/>
      <c r="E36" s="76" t="s">
        <v>5867</v>
      </c>
      <c r="F36" s="127"/>
      <c r="G36" s="78">
        <f>SUMIF('Card Data'!$A:$A,$A36,'Card Data'!$E:$E)</f>
        <v>60</v>
      </c>
      <c r="H36" s="78">
        <f>COUNTIFS('Card Data'!$I:$I,N$2,'Card Data'!$A:$A,$A36)</f>
        <v>0</v>
      </c>
      <c r="I36" s="78">
        <f>SUMIFS('Card Data'!$E:$E,'Card Data'!$A:$A,$A36,'Card Data'!$J:$J,"&lt;&gt;",'Card Data'!$J:$J,"&lt;&gt;Burden",'Card Data'!$I:$I,"&lt;&gt;Hero")</f>
        <v>0</v>
      </c>
      <c r="J36" s="78">
        <f>SUMIFS('Card Data'!$E:$E,'Card Data'!$A:$A,$A36,'Card Data'!$J:$J,"",'Card Data'!$I:$I,"&lt;&gt;Campaign")+SUMIFS('Card Data'!$E:$E,'Card Data'!$A:$A,$A36,'Card Data'!$J:$J,"Burden")-K36</f>
        <v>60</v>
      </c>
      <c r="K36" s="78">
        <f>SUMIFS('Card Data'!$E:$E,'Card Data'!$I:$I,K$2,'Card Data'!$A:$A,$A36,'Card Data'!$K:$K,"&lt;&gt;*Side Quest.*")</f>
        <v>0</v>
      </c>
      <c r="L36" s="78">
        <f>COUNTIFS('Card Data'!$I:$I,L$2,'Card Data'!$A:$A,$A36,'Card Data'!$K:$K,"&lt;&gt;*Side Quest.*")</f>
        <v>0</v>
      </c>
      <c r="M36" s="130"/>
      <c r="N36" s="78">
        <f>COUNTIFS('Card Data'!$I:$I,N$2,'Card Data'!$A:$A,$A36)</f>
        <v>0</v>
      </c>
      <c r="O36" s="78">
        <f>COUNTIFS('Card Data'!$I:$I,O$2,'Card Data'!$A:$A,$A36)</f>
        <v>0</v>
      </c>
      <c r="P36" s="78">
        <f>COUNTIFS('Card Data'!$I:$I,P$2,'Card Data'!$A:$A,$A36)</f>
        <v>0</v>
      </c>
      <c r="Q36" s="78">
        <f>COUNTIFS('Card Data'!$I:$I,Q$2,'Card Data'!$A:$A,$A36)</f>
        <v>0</v>
      </c>
      <c r="R36" s="78">
        <f>COUNTIFS('Card Data'!$I:$I,R$2,'Card Data'!$A:$A,$A36)</f>
        <v>10</v>
      </c>
      <c r="S36" s="78">
        <f>COUNTIFS('Card Data'!$I:$I,S$2,'Card Data'!$A:$A,$A36)</f>
        <v>6</v>
      </c>
      <c r="T36" s="78">
        <f>COUNTIFS('Card Data'!$I:$I,T$2,'Card Data'!$A:$A,$A36)</f>
        <v>8</v>
      </c>
      <c r="U36" s="130"/>
      <c r="V36" s="78">
        <f>COUNTIFS('Card Data'!$J:$J,V$2,'Card Data'!$A:$A,$A36)</f>
        <v>0</v>
      </c>
      <c r="W36" s="78">
        <f>COUNTIFS('Card Data'!$J:$J,W$2,'Card Data'!$A:$A,$A36)</f>
        <v>0</v>
      </c>
      <c r="X36" s="78">
        <f>COUNTIFS('Card Data'!$J:$J,X$2,'Card Data'!$A:$A,$A36)</f>
        <v>0</v>
      </c>
      <c r="Y36" s="78">
        <f>COUNTIFS('Card Data'!$J:$J,Y$2,'Card Data'!$A:$A,$A36)</f>
        <v>0</v>
      </c>
      <c r="Z36" s="78">
        <f>COUNTIFS('Card Data'!$J:$J,Z$2,'Card Data'!$A:$A,$A36)</f>
        <v>0</v>
      </c>
      <c r="AA36" s="130"/>
      <c r="AB36" s="78" t="str">
        <f>IF(COUNTIFS('Card Data'!$K:$K,"*"&amp;AB$2&amp;".*",'Card Data'!$A:$A,$A36)=0,"",IF(COUNTIFS('Card Data'!$K:$K,"*"&amp;AB$2&amp;".*",'Card Data'!$A:$A,$A36,'Card Data'!$I:$I,"Hero")=0,COUNTIFS('Card Data'!$K:$K,"*"&amp;AB$2&amp;".*",'Card Data'!$A:$A,$A36),COUNTIFS('Card Data'!$K:$K,"*"&amp;AB$2&amp;".*",'Card Data'!$A:$A,$A36)&amp;" ("&amp;COUNTIFS('Card Data'!$K:$K,"*"&amp;AB$2&amp;".*",'Card Data'!$A:$A,$A36,'Card Data'!$I:$I,"Hero")&amp;")"))</f>
        <v/>
      </c>
      <c r="AC36" s="78" t="str">
        <f>IF(COUNTIFS('Card Data'!$K:$K,"*"&amp;AC$2&amp;".*",'Card Data'!$A:$A,$A36)=0,"",IF(COUNTIFS('Card Data'!$K:$K,"*"&amp;AC$2&amp;".*",'Card Data'!$A:$A,$A36,'Card Data'!$I:$I,"Hero")=0,COUNTIFS('Card Data'!$K:$K,"*"&amp;AC$2&amp;".*",'Card Data'!$A:$A,$A36),COUNTIFS('Card Data'!$K:$K,"*"&amp;AC$2&amp;".*",'Card Data'!$A:$A,$A36)&amp;" ("&amp;COUNTIFS('Card Data'!$K:$K,"*"&amp;AC$2&amp;".*",'Card Data'!$A:$A,$A36,'Card Data'!$I:$I,"Hero")&amp;")"))</f>
        <v/>
      </c>
      <c r="AD36" s="78" t="str">
        <f>IF(COUNTIFS('Card Data'!$K:$K,"*"&amp;AD$2&amp;".*",'Card Data'!$A:$A,$A36)=0,"",IF(COUNTIFS('Card Data'!$K:$K,"*"&amp;AD$2&amp;".*",'Card Data'!$A:$A,$A36,'Card Data'!$I:$I,"Hero")=0,COUNTIFS('Card Data'!$K:$K,"*"&amp;AD$2&amp;".*",'Card Data'!$A:$A,$A36),COUNTIFS('Card Data'!$K:$K,"*"&amp;AD$2&amp;".*",'Card Data'!$A:$A,$A36)&amp;" ("&amp;COUNTIFS('Card Data'!$K:$K,"*"&amp;AD$2&amp;".*",'Card Data'!$A:$A,$A36,'Card Data'!$I:$I,"Hero")&amp;")"))</f>
        <v/>
      </c>
      <c r="AE36" s="78" t="str">
        <f>IF(COUNTIFS('Card Data'!$K:$K,"*"&amp;AE$2&amp;".*",'Card Data'!$A:$A,$A36)=0,"",IF(COUNTIFS('Card Data'!$K:$K,"*"&amp;AE$2&amp;".*",'Card Data'!$A:$A,$A36,'Card Data'!$I:$I,"Hero")=0,COUNTIFS('Card Data'!$K:$K,"*"&amp;AE$2&amp;".*",'Card Data'!$A:$A,$A36),COUNTIFS('Card Data'!$K:$K,"*"&amp;AE$2&amp;".*",'Card Data'!$A:$A,$A36)&amp;" ("&amp;COUNTIFS('Card Data'!$K:$K,"*"&amp;AE$2&amp;".*",'Card Data'!$A:$A,$A36,'Card Data'!$I:$I,"Hero")&amp;")"))</f>
        <v/>
      </c>
      <c r="AF36" s="78" t="str">
        <f>IF(COUNTIFS('Card Data'!$K:$K,"*"&amp;AF$2&amp;".*",'Card Data'!$A:$A,$A36)=0,"",IF(COUNTIFS('Card Data'!$K:$K,"*"&amp;AF$2&amp;".*",'Card Data'!$A:$A,$A36,'Card Data'!$I:$I,"Hero")=0,COUNTIFS('Card Data'!$K:$K,"*"&amp;AF$2&amp;".*",'Card Data'!$A:$A,$A36),COUNTIFS('Card Data'!$K:$K,"*"&amp;AF$2&amp;".*",'Card Data'!$A:$A,$A36)&amp;" ("&amp;COUNTIFS('Card Data'!$K:$K,"*"&amp;AF$2&amp;".*",'Card Data'!$A:$A,$A36,'Card Data'!$I:$I,"Hero")&amp;")"))</f>
        <v/>
      </c>
      <c r="AG36" s="78" t="str">
        <f>IF(COUNTIFS('Card Data'!$K:$K,"*"&amp;AG$2&amp;".*",'Card Data'!$A:$A,$A36)=0,"",IF(COUNTIFS('Card Data'!$K:$K,"*"&amp;AG$2&amp;".*",'Card Data'!$A:$A,$A36,'Card Data'!$I:$I,"Hero")=0,COUNTIFS('Card Data'!$K:$K,"*"&amp;AG$2&amp;".*",'Card Data'!$A:$A,$A36),COUNTIFS('Card Data'!$K:$K,"*"&amp;AG$2&amp;".*",'Card Data'!$A:$A,$A36)&amp;" ("&amp;COUNTIFS('Card Data'!$K:$K,"*"&amp;AG$2&amp;".*",'Card Data'!$A:$A,$A36,'Card Data'!$I:$I,"Hero")&amp;")"))</f>
        <v/>
      </c>
      <c r="AH36" s="78" t="str">
        <f>IF(COUNTIFS('Card Data'!$K:$K,"*"&amp;AH$2&amp;".*",'Card Data'!$A:$A,$A36)=0,"",IF(COUNTIFS('Card Data'!$K:$K,"*"&amp;AH$2&amp;".*",'Card Data'!$A:$A,$A36,'Card Data'!$I:$I,"Hero")=0,COUNTIFS('Card Data'!$K:$K,"*"&amp;AH$2&amp;".*",'Card Data'!$A:$A,$A36),COUNTIFS('Card Data'!$K:$K,"*"&amp;AH$2&amp;".*",'Card Data'!$A:$A,$A36)&amp;" ("&amp;COUNTIFS('Card Data'!$K:$K,"*"&amp;AH$2&amp;".*",'Card Data'!$A:$A,$A36,'Card Data'!$I:$I,"Hero")&amp;")"))</f>
        <v/>
      </c>
      <c r="AI36" s="78" t="str">
        <f>IF(COUNTIFS('Card Data'!$K:$K,"*"&amp;AI$2&amp;".*",'Card Data'!$A:$A,$A36)=0,"",IF(COUNTIFS('Card Data'!$K:$K,"*"&amp;AI$2&amp;".*",'Card Data'!$A:$A,$A36,'Card Data'!$I:$I,"Hero")=0,COUNTIFS('Card Data'!$K:$K,"*"&amp;AI$2&amp;".*",'Card Data'!$A:$A,$A36),COUNTIFS('Card Data'!$K:$K,"*"&amp;AI$2&amp;".*",'Card Data'!$A:$A,$A36)&amp;" ("&amp;COUNTIFS('Card Data'!$K:$K,"*"&amp;AI$2&amp;".*",'Card Data'!$A:$A,$A36,'Card Data'!$I:$I,"Hero")&amp;")"))</f>
        <v/>
      </c>
      <c r="AJ36" s="78" t="str">
        <f>IF(COUNTIFS('Card Data'!$K:$K,"*"&amp;AJ$2&amp;".*",'Card Data'!$A:$A,$A36)=0,"",IF(COUNTIFS('Card Data'!$K:$K,"*"&amp;AJ$2&amp;".*",'Card Data'!$A:$A,$A36,'Card Data'!$I:$I,"Hero")=0,COUNTIFS('Card Data'!$K:$K,"*"&amp;AJ$2&amp;".*",'Card Data'!$A:$A,$A36),COUNTIFS('Card Data'!$K:$K,"*"&amp;AJ$2&amp;".*",'Card Data'!$A:$A,$A36)&amp;" ("&amp;COUNTIFS('Card Data'!$K:$K,"*"&amp;AJ$2&amp;".*",'Card Data'!$A:$A,$A36,'Card Data'!$I:$I,"Hero")&amp;")"))</f>
        <v/>
      </c>
      <c r="AK36" s="78" t="str">
        <f>IF(COUNTIFS('Card Data'!$K:$K,"*"&amp;AK$2&amp;".*",'Card Data'!$A:$A,$A36)=0,"",IF(COUNTIFS('Card Data'!$K:$K,"*"&amp;AK$2&amp;".*",'Card Data'!$A:$A,$A36,'Card Data'!$I:$I,"Hero")=0,COUNTIFS('Card Data'!$K:$K,"*"&amp;AK$2&amp;".*",'Card Data'!$A:$A,$A36),COUNTIFS('Card Data'!$K:$K,"*"&amp;AK$2&amp;".*",'Card Data'!$A:$A,$A36)&amp;" ("&amp;COUNTIFS('Card Data'!$K:$K,"*"&amp;AK$2&amp;".*",'Card Data'!$A:$A,$A36,'Card Data'!$I:$I,"Hero")&amp;")"))</f>
        <v/>
      </c>
      <c r="AL36" s="78"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7" customFormat="1" x14ac:dyDescent="0.2">
      <c r="A37" s="74" t="s">
        <v>3165</v>
      </c>
      <c r="B37" s="74" t="s">
        <v>5331</v>
      </c>
      <c r="C37" s="75" t="s">
        <v>5745</v>
      </c>
      <c r="D37" s="74"/>
      <c r="E37" s="79" t="s">
        <v>5868</v>
      </c>
      <c r="F37" s="127"/>
      <c r="G37" s="78">
        <f>SUMIF('Card Data'!$A:$A,$A37,'Card Data'!$E:$E)</f>
        <v>120</v>
      </c>
      <c r="H37" s="78">
        <f>COUNTIFS('Card Data'!$I:$I,N$2,'Card Data'!$A:$A,$A37)</f>
        <v>0</v>
      </c>
      <c r="I37" s="78">
        <f>SUMIFS('Card Data'!$E:$E,'Card Data'!$A:$A,$A37,'Card Data'!$J:$J,"&lt;&gt;",'Card Data'!$J:$J,"&lt;&gt;Burden",'Card Data'!$I:$I,"&lt;&gt;Hero")</f>
        <v>0</v>
      </c>
      <c r="J37" s="78">
        <f>SUMIFS('Card Data'!$E:$E,'Card Data'!$A:$A,$A37,'Card Data'!$J:$J,"",'Card Data'!$I:$I,"&lt;&gt;Campaign")+SUMIFS('Card Data'!$E:$E,'Card Data'!$A:$A,$A37,'Card Data'!$J:$J,"Burden")-K37</f>
        <v>119</v>
      </c>
      <c r="K37" s="78">
        <f>SUMIFS('Card Data'!$E:$E,'Card Data'!$I:$I,K$2,'Card Data'!$A:$A,$A37,'Card Data'!$K:$K,"&lt;&gt;*Side Quest.*")</f>
        <v>1</v>
      </c>
      <c r="L37" s="78">
        <f>COUNTIFS('Card Data'!$I:$I,L$2,'Card Data'!$A:$A,$A37,'Card Data'!$K:$K,"&lt;&gt;*Side Quest.*")</f>
        <v>0</v>
      </c>
      <c r="M37" s="130"/>
      <c r="N37" s="78">
        <f>COUNTIFS('Card Data'!$I:$I,N$2,'Card Data'!$A:$A,$A37)</f>
        <v>0</v>
      </c>
      <c r="O37" s="78">
        <f>COUNTIFS('Card Data'!$I:$I,O$2,'Card Data'!$A:$A,$A37)</f>
        <v>0</v>
      </c>
      <c r="P37" s="78">
        <f>COUNTIFS('Card Data'!$I:$I,P$2,'Card Data'!$A:$A,$A37)</f>
        <v>0</v>
      </c>
      <c r="Q37" s="78">
        <f>COUNTIFS('Card Data'!$I:$I,Q$2,'Card Data'!$A:$A,$A37)</f>
        <v>0</v>
      </c>
      <c r="R37" s="78">
        <f>COUNTIFS('Card Data'!$I:$I,R$2,'Card Data'!$A:$A,$A37)</f>
        <v>19</v>
      </c>
      <c r="S37" s="78">
        <f>COUNTIFS('Card Data'!$I:$I,S$2,'Card Data'!$A:$A,$A37)</f>
        <v>14</v>
      </c>
      <c r="T37" s="78">
        <f>COUNTIFS('Card Data'!$I:$I,T$2,'Card Data'!$A:$A,$A37)</f>
        <v>16</v>
      </c>
      <c r="U37" s="130"/>
      <c r="V37" s="78">
        <f>COUNTIFS('Card Data'!$J:$J,V$2,'Card Data'!$A:$A,$A37)</f>
        <v>0</v>
      </c>
      <c r="W37" s="78">
        <f>COUNTIFS('Card Data'!$J:$J,W$2,'Card Data'!$A:$A,$A37)</f>
        <v>0</v>
      </c>
      <c r="X37" s="78">
        <f>COUNTIFS('Card Data'!$J:$J,X$2,'Card Data'!$A:$A,$A37)</f>
        <v>0</v>
      </c>
      <c r="Y37" s="78">
        <f>COUNTIFS('Card Data'!$J:$J,Y$2,'Card Data'!$A:$A,$A37)</f>
        <v>0</v>
      </c>
      <c r="Z37" s="78">
        <f>COUNTIFS('Card Data'!$J:$J,Z$2,'Card Data'!$A:$A,$A37)</f>
        <v>0</v>
      </c>
      <c r="AA37" s="130"/>
      <c r="AB37" s="78" t="str">
        <f>IF(COUNTIFS('Card Data'!$K:$K,"*"&amp;AB$2&amp;".*",'Card Data'!$A:$A,$A37)=0,"",IF(COUNTIFS('Card Data'!$K:$K,"*"&amp;AB$2&amp;".*",'Card Data'!$A:$A,$A37,'Card Data'!$I:$I,"Hero")=0,COUNTIFS('Card Data'!$K:$K,"*"&amp;AB$2&amp;".*",'Card Data'!$A:$A,$A37),COUNTIFS('Card Data'!$K:$K,"*"&amp;AB$2&amp;".*",'Card Data'!$A:$A,$A37)&amp;" ("&amp;COUNTIFS('Card Data'!$K:$K,"*"&amp;AB$2&amp;".*",'Card Data'!$A:$A,$A37,'Card Data'!$I:$I,"Hero")&amp;")"))</f>
        <v/>
      </c>
      <c r="AC37" s="78" t="str">
        <f>IF(COUNTIFS('Card Data'!$K:$K,"*"&amp;AC$2&amp;".*",'Card Data'!$A:$A,$A37)=0,"",IF(COUNTIFS('Card Data'!$K:$K,"*"&amp;AC$2&amp;".*",'Card Data'!$A:$A,$A37,'Card Data'!$I:$I,"Hero")=0,COUNTIFS('Card Data'!$K:$K,"*"&amp;AC$2&amp;".*",'Card Data'!$A:$A,$A37),COUNTIFS('Card Data'!$K:$K,"*"&amp;AC$2&amp;".*",'Card Data'!$A:$A,$A37)&amp;" ("&amp;COUNTIFS('Card Data'!$K:$K,"*"&amp;AC$2&amp;".*",'Card Data'!$A:$A,$A37,'Card Data'!$I:$I,"Hero")&amp;")"))</f>
        <v/>
      </c>
      <c r="AD37" s="78" t="str">
        <f>IF(COUNTIFS('Card Data'!$K:$K,"*"&amp;AD$2&amp;".*",'Card Data'!$A:$A,$A37)=0,"",IF(COUNTIFS('Card Data'!$K:$K,"*"&amp;AD$2&amp;".*",'Card Data'!$A:$A,$A37,'Card Data'!$I:$I,"Hero")=0,COUNTIFS('Card Data'!$K:$K,"*"&amp;AD$2&amp;".*",'Card Data'!$A:$A,$A37),COUNTIFS('Card Data'!$K:$K,"*"&amp;AD$2&amp;".*",'Card Data'!$A:$A,$A37)&amp;" ("&amp;COUNTIFS('Card Data'!$K:$K,"*"&amp;AD$2&amp;".*",'Card Data'!$A:$A,$A37,'Card Data'!$I:$I,"Hero")&amp;")"))</f>
        <v/>
      </c>
      <c r="AE37" s="78" t="str">
        <f>IF(COUNTIFS('Card Data'!$K:$K,"*"&amp;AE$2&amp;".*",'Card Data'!$A:$A,$A37)=0,"",IF(COUNTIFS('Card Data'!$K:$K,"*"&amp;AE$2&amp;".*",'Card Data'!$A:$A,$A37,'Card Data'!$I:$I,"Hero")=0,COUNTIFS('Card Data'!$K:$K,"*"&amp;AE$2&amp;".*",'Card Data'!$A:$A,$A37),COUNTIFS('Card Data'!$K:$K,"*"&amp;AE$2&amp;".*",'Card Data'!$A:$A,$A37)&amp;" ("&amp;COUNTIFS('Card Data'!$K:$K,"*"&amp;AE$2&amp;".*",'Card Data'!$A:$A,$A37,'Card Data'!$I:$I,"Hero")&amp;")"))</f>
        <v/>
      </c>
      <c r="AF37" s="78" t="str">
        <f>IF(COUNTIFS('Card Data'!$K:$K,"*"&amp;AF$2&amp;".*",'Card Data'!$A:$A,$A37)=0,"",IF(COUNTIFS('Card Data'!$K:$K,"*"&amp;AF$2&amp;".*",'Card Data'!$A:$A,$A37,'Card Data'!$I:$I,"Hero")=0,COUNTIFS('Card Data'!$K:$K,"*"&amp;AF$2&amp;".*",'Card Data'!$A:$A,$A37),COUNTIFS('Card Data'!$K:$K,"*"&amp;AF$2&amp;".*",'Card Data'!$A:$A,$A37)&amp;" ("&amp;COUNTIFS('Card Data'!$K:$K,"*"&amp;AF$2&amp;".*",'Card Data'!$A:$A,$A37,'Card Data'!$I:$I,"Hero")&amp;")"))</f>
        <v/>
      </c>
      <c r="AG37" s="78" t="str">
        <f>IF(COUNTIFS('Card Data'!$K:$K,"*"&amp;AG$2&amp;".*",'Card Data'!$A:$A,$A37)=0,"",IF(COUNTIFS('Card Data'!$K:$K,"*"&amp;AG$2&amp;".*",'Card Data'!$A:$A,$A37,'Card Data'!$I:$I,"Hero")=0,COUNTIFS('Card Data'!$K:$K,"*"&amp;AG$2&amp;".*",'Card Data'!$A:$A,$A37),COUNTIFS('Card Data'!$K:$K,"*"&amp;AG$2&amp;".*",'Card Data'!$A:$A,$A37)&amp;" ("&amp;COUNTIFS('Card Data'!$K:$K,"*"&amp;AG$2&amp;".*",'Card Data'!$A:$A,$A37,'Card Data'!$I:$I,"Hero")&amp;")"))</f>
        <v/>
      </c>
      <c r="AH37" s="78" t="str">
        <f>IF(COUNTIFS('Card Data'!$K:$K,"*"&amp;AH$2&amp;".*",'Card Data'!$A:$A,$A37)=0,"",IF(COUNTIFS('Card Data'!$K:$K,"*"&amp;AH$2&amp;".*",'Card Data'!$A:$A,$A37,'Card Data'!$I:$I,"Hero")=0,COUNTIFS('Card Data'!$K:$K,"*"&amp;AH$2&amp;".*",'Card Data'!$A:$A,$A37),COUNTIFS('Card Data'!$K:$K,"*"&amp;AH$2&amp;".*",'Card Data'!$A:$A,$A37)&amp;" ("&amp;COUNTIFS('Card Data'!$K:$K,"*"&amp;AH$2&amp;".*",'Card Data'!$A:$A,$A37,'Card Data'!$I:$I,"Hero")&amp;")"))</f>
        <v/>
      </c>
      <c r="AI37" s="78" t="str">
        <f>IF(COUNTIFS('Card Data'!$K:$K,"*"&amp;AI$2&amp;".*",'Card Data'!$A:$A,$A37)=0,"",IF(COUNTIFS('Card Data'!$K:$K,"*"&amp;AI$2&amp;".*",'Card Data'!$A:$A,$A37,'Card Data'!$I:$I,"Hero")=0,COUNTIFS('Card Data'!$K:$K,"*"&amp;AI$2&amp;".*",'Card Data'!$A:$A,$A37),COUNTIFS('Card Data'!$K:$K,"*"&amp;AI$2&amp;".*",'Card Data'!$A:$A,$A37)&amp;" ("&amp;COUNTIFS('Card Data'!$K:$K,"*"&amp;AI$2&amp;".*",'Card Data'!$A:$A,$A37,'Card Data'!$I:$I,"Hero")&amp;")"))</f>
        <v/>
      </c>
      <c r="AJ37" s="78" t="str">
        <f>IF(COUNTIFS('Card Data'!$K:$K,"*"&amp;AJ$2&amp;".*",'Card Data'!$A:$A,$A37)=0,"",IF(COUNTIFS('Card Data'!$K:$K,"*"&amp;AJ$2&amp;".*",'Card Data'!$A:$A,$A37,'Card Data'!$I:$I,"Hero")=0,COUNTIFS('Card Data'!$K:$K,"*"&amp;AJ$2&amp;".*",'Card Data'!$A:$A,$A37),COUNTIFS('Card Data'!$K:$K,"*"&amp;AJ$2&amp;".*",'Card Data'!$A:$A,$A37)&amp;" ("&amp;COUNTIFS('Card Data'!$K:$K,"*"&amp;AJ$2&amp;".*",'Card Data'!$A:$A,$A37,'Card Data'!$I:$I,"Hero")&amp;")"))</f>
        <v/>
      </c>
      <c r="AK37" s="78" t="str">
        <f>IF(COUNTIFS('Card Data'!$K:$K,"*"&amp;AK$2&amp;".*",'Card Data'!$A:$A,$A37)=0,"",IF(COUNTIFS('Card Data'!$K:$K,"*"&amp;AK$2&amp;".*",'Card Data'!$A:$A,$A37,'Card Data'!$I:$I,"Hero")=0,COUNTIFS('Card Data'!$K:$K,"*"&amp;AK$2&amp;".*",'Card Data'!$A:$A,$A37),COUNTIFS('Card Data'!$K:$K,"*"&amp;AK$2&amp;".*",'Card Data'!$A:$A,$A37)&amp;" ("&amp;COUNTIFS('Card Data'!$K:$K,"*"&amp;AK$2&amp;".*",'Card Data'!$A:$A,$A37,'Card Data'!$I:$I,"Hero")&amp;")"))</f>
        <v/>
      </c>
      <c r="AL37" s="78"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7" customFormat="1" x14ac:dyDescent="0.2">
      <c r="A38" s="74" t="s">
        <v>5801</v>
      </c>
      <c r="B38" s="74" t="s">
        <v>5829</v>
      </c>
      <c r="C38" s="75" t="s">
        <v>5745</v>
      </c>
      <c r="D38" s="74"/>
      <c r="E38" s="79" t="s">
        <v>5869</v>
      </c>
      <c r="F38" s="127"/>
      <c r="G38" s="78">
        <f>SUMIF('Card Data'!$A:$A,$A38,'Card Data'!$E:$E)</f>
        <v>60</v>
      </c>
      <c r="H38" s="78">
        <f>COUNTIFS('Card Data'!$I:$I,N$2,'Card Data'!$A:$A,$A38)</f>
        <v>0</v>
      </c>
      <c r="I38" s="78">
        <f>SUMIFS('Card Data'!$E:$E,'Card Data'!$A:$A,$A38,'Card Data'!$J:$J,"&lt;&gt;",'Card Data'!$J:$J,"&lt;&gt;Burden",'Card Data'!$I:$I,"&lt;&gt;Hero")</f>
        <v>0</v>
      </c>
      <c r="J38" s="78">
        <f>SUMIFS('Card Data'!$E:$E,'Card Data'!$A:$A,$A38,'Card Data'!$J:$J,"",'Card Data'!$I:$I,"&lt;&gt;Campaign")+SUMIFS('Card Data'!$E:$E,'Card Data'!$A:$A,$A38,'Card Data'!$J:$J,"Burden")-K38</f>
        <v>56</v>
      </c>
      <c r="K38" s="78">
        <f>SUMIFS('Card Data'!$E:$E,'Card Data'!$I:$I,K$2,'Card Data'!$A:$A,$A38,'Card Data'!$K:$K,"&lt;&gt;*Side Quest.*")</f>
        <v>4</v>
      </c>
      <c r="L38" s="78">
        <f>COUNTIFS('Card Data'!$I:$I,L$2,'Card Data'!$A:$A,$A38,'Card Data'!$K:$K,"&lt;&gt;*Side Quest.*")</f>
        <v>0</v>
      </c>
      <c r="M38" s="130"/>
      <c r="N38" s="78">
        <f>COUNTIFS('Card Data'!$I:$I,N$2,'Card Data'!$A:$A,$A38)</f>
        <v>0</v>
      </c>
      <c r="O38" s="78">
        <f>COUNTIFS('Card Data'!$I:$I,O$2,'Card Data'!$A:$A,$A38)</f>
        <v>0</v>
      </c>
      <c r="P38" s="78">
        <f>COUNTIFS('Card Data'!$I:$I,P$2,'Card Data'!$A:$A,$A38)</f>
        <v>0</v>
      </c>
      <c r="Q38" s="78">
        <f>COUNTIFS('Card Data'!$I:$I,Q$2,'Card Data'!$A:$A,$A38)</f>
        <v>0</v>
      </c>
      <c r="R38" s="78">
        <f>COUNTIFS('Card Data'!$I:$I,R$2,'Card Data'!$A:$A,$A38)</f>
        <v>9</v>
      </c>
      <c r="S38" s="78">
        <f>COUNTIFS('Card Data'!$I:$I,S$2,'Card Data'!$A:$A,$A38)</f>
        <v>6</v>
      </c>
      <c r="T38" s="78">
        <f>COUNTIFS('Card Data'!$I:$I,T$2,'Card Data'!$A:$A,$A38)</f>
        <v>5</v>
      </c>
      <c r="U38" s="130"/>
      <c r="V38" s="78">
        <f>COUNTIFS('Card Data'!$J:$J,V$2,'Card Data'!$A:$A,$A38)</f>
        <v>0</v>
      </c>
      <c r="W38" s="78">
        <f>COUNTIFS('Card Data'!$J:$J,W$2,'Card Data'!$A:$A,$A38)</f>
        <v>0</v>
      </c>
      <c r="X38" s="78">
        <f>COUNTIFS('Card Data'!$J:$J,X$2,'Card Data'!$A:$A,$A38)</f>
        <v>0</v>
      </c>
      <c r="Y38" s="78">
        <f>COUNTIFS('Card Data'!$J:$J,Y$2,'Card Data'!$A:$A,$A38)</f>
        <v>0</v>
      </c>
      <c r="Z38" s="78">
        <f>COUNTIFS('Card Data'!$J:$J,Z$2,'Card Data'!$A:$A,$A38)</f>
        <v>0</v>
      </c>
      <c r="AA38" s="130"/>
      <c r="AB38" s="78" t="str">
        <f>IF(COUNTIFS('Card Data'!$K:$K,"*"&amp;AB$2&amp;".*",'Card Data'!$A:$A,$A38)=0,"",IF(COUNTIFS('Card Data'!$K:$K,"*"&amp;AB$2&amp;".*",'Card Data'!$A:$A,$A38,'Card Data'!$I:$I,"Hero")=0,COUNTIFS('Card Data'!$K:$K,"*"&amp;AB$2&amp;".*",'Card Data'!$A:$A,$A38),COUNTIFS('Card Data'!$K:$K,"*"&amp;AB$2&amp;".*",'Card Data'!$A:$A,$A38)&amp;" ("&amp;COUNTIFS('Card Data'!$K:$K,"*"&amp;AB$2&amp;".*",'Card Data'!$A:$A,$A38,'Card Data'!$I:$I,"Hero")&amp;")"))</f>
        <v/>
      </c>
      <c r="AC38" s="78" t="str">
        <f>IF(COUNTIFS('Card Data'!$K:$K,"*"&amp;AC$2&amp;".*",'Card Data'!$A:$A,$A38)=0,"",IF(COUNTIFS('Card Data'!$K:$K,"*"&amp;AC$2&amp;".*",'Card Data'!$A:$A,$A38,'Card Data'!$I:$I,"Hero")=0,COUNTIFS('Card Data'!$K:$K,"*"&amp;AC$2&amp;".*",'Card Data'!$A:$A,$A38),COUNTIFS('Card Data'!$K:$K,"*"&amp;AC$2&amp;".*",'Card Data'!$A:$A,$A38)&amp;" ("&amp;COUNTIFS('Card Data'!$K:$K,"*"&amp;AC$2&amp;".*",'Card Data'!$A:$A,$A38,'Card Data'!$I:$I,"Hero")&amp;")"))</f>
        <v/>
      </c>
      <c r="AD38" s="78" t="str">
        <f>IF(COUNTIFS('Card Data'!$K:$K,"*"&amp;AD$2&amp;".*",'Card Data'!$A:$A,$A38)=0,"",IF(COUNTIFS('Card Data'!$K:$K,"*"&amp;AD$2&amp;".*",'Card Data'!$A:$A,$A38,'Card Data'!$I:$I,"Hero")=0,COUNTIFS('Card Data'!$K:$K,"*"&amp;AD$2&amp;".*",'Card Data'!$A:$A,$A38),COUNTIFS('Card Data'!$K:$K,"*"&amp;AD$2&amp;".*",'Card Data'!$A:$A,$A38)&amp;" ("&amp;COUNTIFS('Card Data'!$K:$K,"*"&amp;AD$2&amp;".*",'Card Data'!$A:$A,$A38,'Card Data'!$I:$I,"Hero")&amp;")"))</f>
        <v/>
      </c>
      <c r="AE38" s="78" t="str">
        <f>IF(COUNTIFS('Card Data'!$K:$K,"*"&amp;AE$2&amp;".*",'Card Data'!$A:$A,$A38)=0,"",IF(COUNTIFS('Card Data'!$K:$K,"*"&amp;AE$2&amp;".*",'Card Data'!$A:$A,$A38,'Card Data'!$I:$I,"Hero")=0,COUNTIFS('Card Data'!$K:$K,"*"&amp;AE$2&amp;".*",'Card Data'!$A:$A,$A38),COUNTIFS('Card Data'!$K:$K,"*"&amp;AE$2&amp;".*",'Card Data'!$A:$A,$A38)&amp;" ("&amp;COUNTIFS('Card Data'!$K:$K,"*"&amp;AE$2&amp;".*",'Card Data'!$A:$A,$A38,'Card Data'!$I:$I,"Hero")&amp;")"))</f>
        <v/>
      </c>
      <c r="AF38" s="78" t="str">
        <f>IF(COUNTIFS('Card Data'!$K:$K,"*"&amp;AF$2&amp;".*",'Card Data'!$A:$A,$A38)=0,"",IF(COUNTIFS('Card Data'!$K:$K,"*"&amp;AF$2&amp;".*",'Card Data'!$A:$A,$A38,'Card Data'!$I:$I,"Hero")=0,COUNTIFS('Card Data'!$K:$K,"*"&amp;AF$2&amp;".*",'Card Data'!$A:$A,$A38),COUNTIFS('Card Data'!$K:$K,"*"&amp;AF$2&amp;".*",'Card Data'!$A:$A,$A38)&amp;" ("&amp;COUNTIFS('Card Data'!$K:$K,"*"&amp;AF$2&amp;".*",'Card Data'!$A:$A,$A38,'Card Data'!$I:$I,"Hero")&amp;")"))</f>
        <v/>
      </c>
      <c r="AG38" s="78" t="str">
        <f>IF(COUNTIFS('Card Data'!$K:$K,"*"&amp;AG$2&amp;".*",'Card Data'!$A:$A,$A38)=0,"",IF(COUNTIFS('Card Data'!$K:$K,"*"&amp;AG$2&amp;".*",'Card Data'!$A:$A,$A38,'Card Data'!$I:$I,"Hero")=0,COUNTIFS('Card Data'!$K:$K,"*"&amp;AG$2&amp;".*",'Card Data'!$A:$A,$A38),COUNTIFS('Card Data'!$K:$K,"*"&amp;AG$2&amp;".*",'Card Data'!$A:$A,$A38)&amp;" ("&amp;COUNTIFS('Card Data'!$K:$K,"*"&amp;AG$2&amp;".*",'Card Data'!$A:$A,$A38,'Card Data'!$I:$I,"Hero")&amp;")"))</f>
        <v/>
      </c>
      <c r="AH38" s="78" t="str">
        <f>IF(COUNTIFS('Card Data'!$K:$K,"*"&amp;AH$2&amp;".*",'Card Data'!$A:$A,$A38)=0,"",IF(COUNTIFS('Card Data'!$K:$K,"*"&amp;AH$2&amp;".*",'Card Data'!$A:$A,$A38,'Card Data'!$I:$I,"Hero")=0,COUNTIFS('Card Data'!$K:$K,"*"&amp;AH$2&amp;".*",'Card Data'!$A:$A,$A38),COUNTIFS('Card Data'!$K:$K,"*"&amp;AH$2&amp;".*",'Card Data'!$A:$A,$A38)&amp;" ("&amp;COUNTIFS('Card Data'!$K:$K,"*"&amp;AH$2&amp;".*",'Card Data'!$A:$A,$A38,'Card Data'!$I:$I,"Hero")&amp;")"))</f>
        <v/>
      </c>
      <c r="AI38" s="78" t="str">
        <f>IF(COUNTIFS('Card Data'!$K:$K,"*"&amp;AI$2&amp;".*",'Card Data'!$A:$A,$A38)=0,"",IF(COUNTIFS('Card Data'!$K:$K,"*"&amp;AI$2&amp;".*",'Card Data'!$A:$A,$A38,'Card Data'!$I:$I,"Hero")=0,COUNTIFS('Card Data'!$K:$K,"*"&amp;AI$2&amp;".*",'Card Data'!$A:$A,$A38),COUNTIFS('Card Data'!$K:$K,"*"&amp;AI$2&amp;".*",'Card Data'!$A:$A,$A38)&amp;" ("&amp;COUNTIFS('Card Data'!$K:$K,"*"&amp;AI$2&amp;".*",'Card Data'!$A:$A,$A38,'Card Data'!$I:$I,"Hero")&amp;")"))</f>
        <v/>
      </c>
      <c r="AJ38" s="78" t="str">
        <f>IF(COUNTIFS('Card Data'!$K:$K,"*"&amp;AJ$2&amp;".*",'Card Data'!$A:$A,$A38)=0,"",IF(COUNTIFS('Card Data'!$K:$K,"*"&amp;AJ$2&amp;".*",'Card Data'!$A:$A,$A38,'Card Data'!$I:$I,"Hero")=0,COUNTIFS('Card Data'!$K:$K,"*"&amp;AJ$2&amp;".*",'Card Data'!$A:$A,$A38),COUNTIFS('Card Data'!$K:$K,"*"&amp;AJ$2&amp;".*",'Card Data'!$A:$A,$A38)&amp;" ("&amp;COUNTIFS('Card Data'!$K:$K,"*"&amp;AJ$2&amp;".*",'Card Data'!$A:$A,$A38,'Card Data'!$I:$I,"Hero")&amp;")"))</f>
        <v/>
      </c>
      <c r="AK38" s="78" t="str">
        <f>IF(COUNTIFS('Card Data'!$K:$K,"*"&amp;AK$2&amp;".*",'Card Data'!$A:$A,$A38)=0,"",IF(COUNTIFS('Card Data'!$K:$K,"*"&amp;AK$2&amp;".*",'Card Data'!$A:$A,$A38,'Card Data'!$I:$I,"Hero")=0,COUNTIFS('Card Data'!$K:$K,"*"&amp;AK$2&amp;".*",'Card Data'!$A:$A,$A38),COUNTIFS('Card Data'!$K:$K,"*"&amp;AK$2&amp;".*",'Card Data'!$A:$A,$A38)&amp;" ("&amp;COUNTIFS('Card Data'!$K:$K,"*"&amp;AK$2&amp;".*",'Card Data'!$A:$A,$A38,'Card Data'!$I:$I,"Hero")&amp;")"))</f>
        <v/>
      </c>
      <c r="AL38" s="78"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7" customFormat="1" x14ac:dyDescent="0.2">
      <c r="A39" s="74" t="s">
        <v>10413</v>
      </c>
      <c r="B39" s="74" t="s">
        <v>10414</v>
      </c>
      <c r="C39" s="75" t="s">
        <v>5745</v>
      </c>
      <c r="D39" s="74"/>
      <c r="E39" s="79" t="s">
        <v>5869</v>
      </c>
      <c r="F39" s="127"/>
      <c r="G39" s="78">
        <f>SUMIF('Card Data'!$A:$A,$A39,'Card Data'!$E:$E)</f>
        <v>121</v>
      </c>
      <c r="H39" s="78">
        <f>COUNTIFS('Card Data'!$I:$I,N$2,'Card Data'!$A:$A,$A39)</f>
        <v>0</v>
      </c>
      <c r="I39" s="78">
        <f>SUMIFS('Card Data'!$E:$E,'Card Data'!$A:$A,$A39,'Card Data'!$J:$J,"&lt;&gt;",'Card Data'!$J:$J,"&lt;&gt;Burden",'Card Data'!$I:$I,"&lt;&gt;Hero")</f>
        <v>0</v>
      </c>
      <c r="J39" s="78">
        <f>SUMIFS('Card Data'!$E:$E,'Card Data'!$A:$A,$A39,'Card Data'!$J:$J,"",'Card Data'!$I:$I,"&lt;&gt;Campaign")+SUMIFS('Card Data'!$E:$E,'Card Data'!$A:$A,$A39,'Card Data'!$J:$J,"Burden")-K39</f>
        <v>120</v>
      </c>
      <c r="K39" s="78">
        <f>SUMIFS('Card Data'!$E:$E,'Card Data'!$I:$I,K$2,'Card Data'!$A:$A,$A39,'Card Data'!$K:$K,"&lt;&gt;*Side Quest.*")</f>
        <v>1</v>
      </c>
      <c r="L39" s="78">
        <f>COUNTIFS('Card Data'!$I:$I,L$2,'Card Data'!$A:$A,$A39,'Card Data'!$K:$K,"&lt;&gt;*Side Quest.*")</f>
        <v>0</v>
      </c>
      <c r="M39" s="130"/>
      <c r="N39" s="78">
        <f>COUNTIFS('Card Data'!$I:$I,N$2,'Card Data'!$A:$A,$A39)</f>
        <v>0</v>
      </c>
      <c r="O39" s="78">
        <f>COUNTIFS('Card Data'!$I:$I,O$2,'Card Data'!$A:$A,$A39)</f>
        <v>0</v>
      </c>
      <c r="P39" s="78">
        <f>COUNTIFS('Card Data'!$I:$I,P$2,'Card Data'!$A:$A,$A39)</f>
        <v>0</v>
      </c>
      <c r="Q39" s="78">
        <f>COUNTIFS('Card Data'!$I:$I,Q$2,'Card Data'!$A:$A,$A39)</f>
        <v>0</v>
      </c>
      <c r="R39" s="78">
        <f>COUNTIFS('Card Data'!$I:$I,R$2,'Card Data'!$A:$A,$A39)</f>
        <v>19</v>
      </c>
      <c r="S39" s="78">
        <f>COUNTIFS('Card Data'!$I:$I,S$2,'Card Data'!$A:$A,$A39)</f>
        <v>12</v>
      </c>
      <c r="T39" s="78">
        <f>COUNTIFS('Card Data'!$I:$I,T$2,'Card Data'!$A:$A,$A39)</f>
        <v>13</v>
      </c>
      <c r="U39" s="130"/>
      <c r="V39" s="78">
        <f>COUNTIFS('Card Data'!$J:$J,V$2,'Card Data'!$A:$A,$A39)</f>
        <v>0</v>
      </c>
      <c r="W39" s="78">
        <f>COUNTIFS('Card Data'!$J:$J,W$2,'Card Data'!$A:$A,$A39)</f>
        <v>0</v>
      </c>
      <c r="X39" s="78">
        <f>COUNTIFS('Card Data'!$J:$J,X$2,'Card Data'!$A:$A,$A39)</f>
        <v>0</v>
      </c>
      <c r="Y39" s="78">
        <f>COUNTIFS('Card Data'!$J:$J,Y$2,'Card Data'!$A:$A,$A39)</f>
        <v>0</v>
      </c>
      <c r="Z39" s="78">
        <f>COUNTIFS('Card Data'!$J:$J,Z$2,'Card Data'!$A:$A,$A39)</f>
        <v>0</v>
      </c>
      <c r="AA39" s="130"/>
      <c r="AB39" s="78" t="str">
        <f>IF(COUNTIFS('Card Data'!$K:$K,"*"&amp;AB$2&amp;".*",'Card Data'!$A:$A,$A39)=0,"",IF(COUNTIFS('Card Data'!$K:$K,"*"&amp;AB$2&amp;".*",'Card Data'!$A:$A,$A39,'Card Data'!$I:$I,"Hero")=0,COUNTIFS('Card Data'!$K:$K,"*"&amp;AB$2&amp;".*",'Card Data'!$A:$A,$A39),COUNTIFS('Card Data'!$K:$K,"*"&amp;AB$2&amp;".*",'Card Data'!$A:$A,$A39)&amp;" ("&amp;COUNTIFS('Card Data'!$K:$K,"*"&amp;AB$2&amp;".*",'Card Data'!$A:$A,$A39,'Card Data'!$I:$I,"Hero")&amp;")"))</f>
        <v/>
      </c>
      <c r="AC39" s="78" t="str">
        <f>IF(COUNTIFS('Card Data'!$K:$K,"*"&amp;AC$2&amp;".*",'Card Data'!$A:$A,$A39)=0,"",IF(COUNTIFS('Card Data'!$K:$K,"*"&amp;AC$2&amp;".*",'Card Data'!$A:$A,$A39,'Card Data'!$I:$I,"Hero")=0,COUNTIFS('Card Data'!$K:$K,"*"&amp;AC$2&amp;".*",'Card Data'!$A:$A,$A39),COUNTIFS('Card Data'!$K:$K,"*"&amp;AC$2&amp;".*",'Card Data'!$A:$A,$A39)&amp;" ("&amp;COUNTIFS('Card Data'!$K:$K,"*"&amp;AC$2&amp;".*",'Card Data'!$A:$A,$A39,'Card Data'!$I:$I,"Hero")&amp;")"))</f>
        <v/>
      </c>
      <c r="AD39" s="78" t="str">
        <f>IF(COUNTIFS('Card Data'!$K:$K,"*"&amp;AD$2&amp;".*",'Card Data'!$A:$A,$A39)=0,"",IF(COUNTIFS('Card Data'!$K:$K,"*"&amp;AD$2&amp;".*",'Card Data'!$A:$A,$A39,'Card Data'!$I:$I,"Hero")=0,COUNTIFS('Card Data'!$K:$K,"*"&amp;AD$2&amp;".*",'Card Data'!$A:$A,$A39),COUNTIFS('Card Data'!$K:$K,"*"&amp;AD$2&amp;".*",'Card Data'!$A:$A,$A39)&amp;" ("&amp;COUNTIFS('Card Data'!$K:$K,"*"&amp;AD$2&amp;".*",'Card Data'!$A:$A,$A39,'Card Data'!$I:$I,"Hero")&amp;")"))</f>
        <v/>
      </c>
      <c r="AE39" s="78" t="str">
        <f>IF(COUNTIFS('Card Data'!$K:$K,"*"&amp;AE$2&amp;".*",'Card Data'!$A:$A,$A39)=0,"",IF(COUNTIFS('Card Data'!$K:$K,"*"&amp;AE$2&amp;".*",'Card Data'!$A:$A,$A39,'Card Data'!$I:$I,"Hero")=0,COUNTIFS('Card Data'!$K:$K,"*"&amp;AE$2&amp;".*",'Card Data'!$A:$A,$A39),COUNTIFS('Card Data'!$K:$K,"*"&amp;AE$2&amp;".*",'Card Data'!$A:$A,$A39)&amp;" ("&amp;COUNTIFS('Card Data'!$K:$K,"*"&amp;AE$2&amp;".*",'Card Data'!$A:$A,$A39,'Card Data'!$I:$I,"Hero")&amp;")"))</f>
        <v/>
      </c>
      <c r="AF39" s="78" t="str">
        <f>IF(COUNTIFS('Card Data'!$K:$K,"*"&amp;AF$2&amp;".*",'Card Data'!$A:$A,$A39)=0,"",IF(COUNTIFS('Card Data'!$K:$K,"*"&amp;AF$2&amp;".*",'Card Data'!$A:$A,$A39,'Card Data'!$I:$I,"Hero")=0,COUNTIFS('Card Data'!$K:$K,"*"&amp;AF$2&amp;".*",'Card Data'!$A:$A,$A39),COUNTIFS('Card Data'!$K:$K,"*"&amp;AF$2&amp;".*",'Card Data'!$A:$A,$A39)&amp;" ("&amp;COUNTIFS('Card Data'!$K:$K,"*"&amp;AF$2&amp;".*",'Card Data'!$A:$A,$A39,'Card Data'!$I:$I,"Hero")&amp;")"))</f>
        <v/>
      </c>
      <c r="AG39" s="78" t="str">
        <f>IF(COUNTIFS('Card Data'!$K:$K,"*"&amp;AG$2&amp;".*",'Card Data'!$A:$A,$A39)=0,"",IF(COUNTIFS('Card Data'!$K:$K,"*"&amp;AG$2&amp;".*",'Card Data'!$A:$A,$A39,'Card Data'!$I:$I,"Hero")=0,COUNTIFS('Card Data'!$K:$K,"*"&amp;AG$2&amp;".*",'Card Data'!$A:$A,$A39),COUNTIFS('Card Data'!$K:$K,"*"&amp;AG$2&amp;".*",'Card Data'!$A:$A,$A39)&amp;" ("&amp;COUNTIFS('Card Data'!$K:$K,"*"&amp;AG$2&amp;".*",'Card Data'!$A:$A,$A39,'Card Data'!$I:$I,"Hero")&amp;")"))</f>
        <v/>
      </c>
      <c r="AH39" s="78" t="str">
        <f>IF(COUNTIFS('Card Data'!$K:$K,"*"&amp;AH$2&amp;".*",'Card Data'!$A:$A,$A39)=0,"",IF(COUNTIFS('Card Data'!$K:$K,"*"&amp;AH$2&amp;".*",'Card Data'!$A:$A,$A39,'Card Data'!$I:$I,"Hero")=0,COUNTIFS('Card Data'!$K:$K,"*"&amp;AH$2&amp;".*",'Card Data'!$A:$A,$A39),COUNTIFS('Card Data'!$K:$K,"*"&amp;AH$2&amp;".*",'Card Data'!$A:$A,$A39)&amp;" ("&amp;COUNTIFS('Card Data'!$K:$K,"*"&amp;AH$2&amp;".*",'Card Data'!$A:$A,$A39,'Card Data'!$I:$I,"Hero")&amp;")"))</f>
        <v/>
      </c>
      <c r="AI39" s="78" t="str">
        <f>IF(COUNTIFS('Card Data'!$K:$K,"*"&amp;AI$2&amp;".*",'Card Data'!$A:$A,$A39)=0,"",IF(COUNTIFS('Card Data'!$K:$K,"*"&amp;AI$2&amp;".*",'Card Data'!$A:$A,$A39,'Card Data'!$I:$I,"Hero")=0,COUNTIFS('Card Data'!$K:$K,"*"&amp;AI$2&amp;".*",'Card Data'!$A:$A,$A39),COUNTIFS('Card Data'!$K:$K,"*"&amp;AI$2&amp;".*",'Card Data'!$A:$A,$A39)&amp;" ("&amp;COUNTIFS('Card Data'!$K:$K,"*"&amp;AI$2&amp;".*",'Card Data'!$A:$A,$A39,'Card Data'!$I:$I,"Hero")&amp;")"))</f>
        <v/>
      </c>
      <c r="AJ39" s="78" t="str">
        <f>IF(COUNTIFS('Card Data'!$K:$K,"*"&amp;AJ$2&amp;".*",'Card Data'!$A:$A,$A39)=0,"",IF(COUNTIFS('Card Data'!$K:$K,"*"&amp;AJ$2&amp;".*",'Card Data'!$A:$A,$A39,'Card Data'!$I:$I,"Hero")=0,COUNTIFS('Card Data'!$K:$K,"*"&amp;AJ$2&amp;".*",'Card Data'!$A:$A,$A39),COUNTIFS('Card Data'!$K:$K,"*"&amp;AJ$2&amp;".*",'Card Data'!$A:$A,$A39)&amp;" ("&amp;COUNTIFS('Card Data'!$K:$K,"*"&amp;AJ$2&amp;".*",'Card Data'!$A:$A,$A39,'Card Data'!$I:$I,"Hero")&amp;")"))</f>
        <v/>
      </c>
      <c r="AK39" s="78" t="str">
        <f>IF(COUNTIFS('Card Data'!$K:$K,"*"&amp;AK$2&amp;".*",'Card Data'!$A:$A,$A39)=0,"",IF(COUNTIFS('Card Data'!$K:$K,"*"&amp;AK$2&amp;".*",'Card Data'!$A:$A,$A39,'Card Data'!$I:$I,"Hero")=0,COUNTIFS('Card Data'!$K:$K,"*"&amp;AK$2&amp;".*",'Card Data'!$A:$A,$A39),COUNTIFS('Card Data'!$K:$K,"*"&amp;AK$2&amp;".*",'Card Data'!$A:$A,$A39)&amp;" ("&amp;COUNTIFS('Card Data'!$K:$K,"*"&amp;AK$2&amp;".*",'Card Data'!$A:$A,$A39,'Card Data'!$I:$I,"Hero")&amp;")"))</f>
        <v/>
      </c>
      <c r="AL39" s="78"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7" customFormat="1" x14ac:dyDescent="0.2">
      <c r="A40" s="74" t="s">
        <v>4566</v>
      </c>
      <c r="B40" s="74" t="s">
        <v>5662</v>
      </c>
      <c r="C40" s="75" t="s">
        <v>5745</v>
      </c>
      <c r="D40" s="74"/>
      <c r="E40" s="79" t="s">
        <v>5870</v>
      </c>
      <c r="F40" s="127"/>
      <c r="G40" s="78">
        <f>SUMIF('Card Data'!$A:$A,$A40,'Card Data'!$E:$E)</f>
        <v>58</v>
      </c>
      <c r="H40" s="78">
        <f>COUNTIFS('Card Data'!$I:$I,N$2,'Card Data'!$A:$A,$A40)</f>
        <v>0</v>
      </c>
      <c r="I40" s="78">
        <f>SUMIFS('Card Data'!$E:$E,'Card Data'!$A:$A,$A40,'Card Data'!$J:$J,"&lt;&gt;",'Card Data'!$J:$J,"&lt;&gt;Burden",'Card Data'!$I:$I,"&lt;&gt;Hero")</f>
        <v>0</v>
      </c>
      <c r="J40" s="78">
        <f>SUMIFS('Card Data'!$E:$E,'Card Data'!$A:$A,$A40,'Card Data'!$J:$J,"",'Card Data'!$I:$I,"&lt;&gt;Campaign")+SUMIFS('Card Data'!$E:$E,'Card Data'!$A:$A,$A40,'Card Data'!$J:$J,"Burden")-K40</f>
        <v>58</v>
      </c>
      <c r="K40" s="78">
        <f>SUMIFS('Card Data'!$E:$E,'Card Data'!$I:$I,K$2,'Card Data'!$A:$A,$A40,'Card Data'!$K:$K,"&lt;&gt;*Side Quest.*")</f>
        <v>0</v>
      </c>
      <c r="L40" s="78">
        <f>COUNTIFS('Card Data'!$I:$I,L$2,'Card Data'!$A:$A,$A40,'Card Data'!$K:$K,"&lt;&gt;*Side Quest.*")</f>
        <v>0</v>
      </c>
      <c r="M40" s="130"/>
      <c r="N40" s="78">
        <f>COUNTIFS('Card Data'!$I:$I,N$2,'Card Data'!$A:$A,$A40)</f>
        <v>0</v>
      </c>
      <c r="O40" s="78">
        <f>COUNTIFS('Card Data'!$I:$I,O$2,'Card Data'!$A:$A,$A40)</f>
        <v>0</v>
      </c>
      <c r="P40" s="78">
        <f>COUNTIFS('Card Data'!$I:$I,P$2,'Card Data'!$A:$A,$A40)</f>
        <v>0</v>
      </c>
      <c r="Q40" s="78">
        <f>COUNTIFS('Card Data'!$I:$I,Q$2,'Card Data'!$A:$A,$A40)</f>
        <v>0</v>
      </c>
      <c r="R40" s="78">
        <f>COUNTIFS('Card Data'!$I:$I,R$2,'Card Data'!$A:$A,$A40)</f>
        <v>5</v>
      </c>
      <c r="S40" s="78">
        <f>COUNTIFS('Card Data'!$I:$I,S$2,'Card Data'!$A:$A,$A40)</f>
        <v>9</v>
      </c>
      <c r="T40" s="78">
        <f>COUNTIFS('Card Data'!$I:$I,T$2,'Card Data'!$A:$A,$A40)</f>
        <v>7</v>
      </c>
      <c r="U40" s="130"/>
      <c r="V40" s="78">
        <f>COUNTIFS('Card Data'!$J:$J,V$2,'Card Data'!$A:$A,$A40)</f>
        <v>0</v>
      </c>
      <c r="W40" s="78">
        <f>COUNTIFS('Card Data'!$J:$J,W$2,'Card Data'!$A:$A,$A40)</f>
        <v>0</v>
      </c>
      <c r="X40" s="78">
        <f>COUNTIFS('Card Data'!$J:$J,X$2,'Card Data'!$A:$A,$A40)</f>
        <v>0</v>
      </c>
      <c r="Y40" s="78">
        <f>COUNTIFS('Card Data'!$J:$J,Y$2,'Card Data'!$A:$A,$A40)</f>
        <v>0</v>
      </c>
      <c r="Z40" s="78">
        <f>COUNTIFS('Card Data'!$J:$J,Z$2,'Card Data'!$A:$A,$A40)</f>
        <v>0</v>
      </c>
      <c r="AA40" s="130"/>
      <c r="AB40" s="78" t="str">
        <f>IF(COUNTIFS('Card Data'!$K:$K,"*"&amp;AB$2&amp;".*",'Card Data'!$A:$A,$A40)=0,"",IF(COUNTIFS('Card Data'!$K:$K,"*"&amp;AB$2&amp;".*",'Card Data'!$A:$A,$A40,'Card Data'!$I:$I,"Hero")=0,COUNTIFS('Card Data'!$K:$K,"*"&amp;AB$2&amp;".*",'Card Data'!$A:$A,$A40),COUNTIFS('Card Data'!$K:$K,"*"&amp;AB$2&amp;".*",'Card Data'!$A:$A,$A40)&amp;" ("&amp;COUNTIFS('Card Data'!$K:$K,"*"&amp;AB$2&amp;".*",'Card Data'!$A:$A,$A40,'Card Data'!$I:$I,"Hero")&amp;")"))</f>
        <v/>
      </c>
      <c r="AC40" s="78" t="str">
        <f>IF(COUNTIFS('Card Data'!$K:$K,"*"&amp;AC$2&amp;".*",'Card Data'!$A:$A,$A40)=0,"",IF(COUNTIFS('Card Data'!$K:$K,"*"&amp;AC$2&amp;".*",'Card Data'!$A:$A,$A40,'Card Data'!$I:$I,"Hero")=0,COUNTIFS('Card Data'!$K:$K,"*"&amp;AC$2&amp;".*",'Card Data'!$A:$A,$A40),COUNTIFS('Card Data'!$K:$K,"*"&amp;AC$2&amp;".*",'Card Data'!$A:$A,$A40)&amp;" ("&amp;COUNTIFS('Card Data'!$K:$K,"*"&amp;AC$2&amp;".*",'Card Data'!$A:$A,$A40,'Card Data'!$I:$I,"Hero")&amp;")"))</f>
        <v/>
      </c>
      <c r="AD40" s="78" t="str">
        <f>IF(COUNTIFS('Card Data'!$K:$K,"*"&amp;AD$2&amp;".*",'Card Data'!$A:$A,$A40)=0,"",IF(COUNTIFS('Card Data'!$K:$K,"*"&amp;AD$2&amp;".*",'Card Data'!$A:$A,$A40,'Card Data'!$I:$I,"Hero")=0,COUNTIFS('Card Data'!$K:$K,"*"&amp;AD$2&amp;".*",'Card Data'!$A:$A,$A40),COUNTIFS('Card Data'!$K:$K,"*"&amp;AD$2&amp;".*",'Card Data'!$A:$A,$A40)&amp;" ("&amp;COUNTIFS('Card Data'!$K:$K,"*"&amp;AD$2&amp;".*",'Card Data'!$A:$A,$A40,'Card Data'!$I:$I,"Hero")&amp;")"))</f>
        <v/>
      </c>
      <c r="AE40" s="78" t="str">
        <f>IF(COUNTIFS('Card Data'!$K:$K,"*"&amp;AE$2&amp;".*",'Card Data'!$A:$A,$A40)=0,"",IF(COUNTIFS('Card Data'!$K:$K,"*"&amp;AE$2&amp;".*",'Card Data'!$A:$A,$A40,'Card Data'!$I:$I,"Hero")=0,COUNTIFS('Card Data'!$K:$K,"*"&amp;AE$2&amp;".*",'Card Data'!$A:$A,$A40),COUNTIFS('Card Data'!$K:$K,"*"&amp;AE$2&amp;".*",'Card Data'!$A:$A,$A40)&amp;" ("&amp;COUNTIFS('Card Data'!$K:$K,"*"&amp;AE$2&amp;".*",'Card Data'!$A:$A,$A40,'Card Data'!$I:$I,"Hero")&amp;")"))</f>
        <v/>
      </c>
      <c r="AF40" s="78" t="str">
        <f>IF(COUNTIFS('Card Data'!$K:$K,"*"&amp;AF$2&amp;".*",'Card Data'!$A:$A,$A40)=0,"",IF(COUNTIFS('Card Data'!$K:$K,"*"&amp;AF$2&amp;".*",'Card Data'!$A:$A,$A40,'Card Data'!$I:$I,"Hero")=0,COUNTIFS('Card Data'!$K:$K,"*"&amp;AF$2&amp;".*",'Card Data'!$A:$A,$A40),COUNTIFS('Card Data'!$K:$K,"*"&amp;AF$2&amp;".*",'Card Data'!$A:$A,$A40)&amp;" ("&amp;COUNTIFS('Card Data'!$K:$K,"*"&amp;AF$2&amp;".*",'Card Data'!$A:$A,$A40,'Card Data'!$I:$I,"Hero")&amp;")"))</f>
        <v/>
      </c>
      <c r="AG40" s="78" t="str">
        <f>IF(COUNTIFS('Card Data'!$K:$K,"*"&amp;AG$2&amp;".*",'Card Data'!$A:$A,$A40)=0,"",IF(COUNTIFS('Card Data'!$K:$K,"*"&amp;AG$2&amp;".*",'Card Data'!$A:$A,$A40,'Card Data'!$I:$I,"Hero")=0,COUNTIFS('Card Data'!$K:$K,"*"&amp;AG$2&amp;".*",'Card Data'!$A:$A,$A40),COUNTIFS('Card Data'!$K:$K,"*"&amp;AG$2&amp;".*",'Card Data'!$A:$A,$A40)&amp;" ("&amp;COUNTIFS('Card Data'!$K:$K,"*"&amp;AG$2&amp;".*",'Card Data'!$A:$A,$A40,'Card Data'!$I:$I,"Hero")&amp;")"))</f>
        <v/>
      </c>
      <c r="AH40" s="78" t="str">
        <f>IF(COUNTIFS('Card Data'!$K:$K,"*"&amp;AH$2&amp;".*",'Card Data'!$A:$A,$A40)=0,"",IF(COUNTIFS('Card Data'!$K:$K,"*"&amp;AH$2&amp;".*",'Card Data'!$A:$A,$A40,'Card Data'!$I:$I,"Hero")=0,COUNTIFS('Card Data'!$K:$K,"*"&amp;AH$2&amp;".*",'Card Data'!$A:$A,$A40),COUNTIFS('Card Data'!$K:$K,"*"&amp;AH$2&amp;".*",'Card Data'!$A:$A,$A40)&amp;" ("&amp;COUNTIFS('Card Data'!$K:$K,"*"&amp;AH$2&amp;".*",'Card Data'!$A:$A,$A40,'Card Data'!$I:$I,"Hero")&amp;")"))</f>
        <v/>
      </c>
      <c r="AI40" s="78" t="str">
        <f>IF(COUNTIFS('Card Data'!$K:$K,"*"&amp;AI$2&amp;".*",'Card Data'!$A:$A,$A40)=0,"",IF(COUNTIFS('Card Data'!$K:$K,"*"&amp;AI$2&amp;".*",'Card Data'!$A:$A,$A40,'Card Data'!$I:$I,"Hero")=0,COUNTIFS('Card Data'!$K:$K,"*"&amp;AI$2&amp;".*",'Card Data'!$A:$A,$A40),COUNTIFS('Card Data'!$K:$K,"*"&amp;AI$2&amp;".*",'Card Data'!$A:$A,$A40)&amp;" ("&amp;COUNTIFS('Card Data'!$K:$K,"*"&amp;AI$2&amp;".*",'Card Data'!$A:$A,$A40,'Card Data'!$I:$I,"Hero")&amp;")"))</f>
        <v/>
      </c>
      <c r="AJ40" s="78" t="str">
        <f>IF(COUNTIFS('Card Data'!$K:$K,"*"&amp;AJ$2&amp;".*",'Card Data'!$A:$A,$A40)=0,"",IF(COUNTIFS('Card Data'!$K:$K,"*"&amp;AJ$2&amp;".*",'Card Data'!$A:$A,$A40,'Card Data'!$I:$I,"Hero")=0,COUNTIFS('Card Data'!$K:$K,"*"&amp;AJ$2&amp;".*",'Card Data'!$A:$A,$A40),COUNTIFS('Card Data'!$K:$K,"*"&amp;AJ$2&amp;".*",'Card Data'!$A:$A,$A40)&amp;" ("&amp;COUNTIFS('Card Data'!$K:$K,"*"&amp;AJ$2&amp;".*",'Card Data'!$A:$A,$A40,'Card Data'!$I:$I,"Hero")&amp;")"))</f>
        <v/>
      </c>
      <c r="AK40" s="78" t="str">
        <f>IF(COUNTIFS('Card Data'!$K:$K,"*"&amp;AK$2&amp;".*",'Card Data'!$A:$A,$A40)=0,"",IF(COUNTIFS('Card Data'!$K:$K,"*"&amp;AK$2&amp;".*",'Card Data'!$A:$A,$A40,'Card Data'!$I:$I,"Hero")=0,COUNTIFS('Card Data'!$K:$K,"*"&amp;AK$2&amp;".*",'Card Data'!$A:$A,$A40),COUNTIFS('Card Data'!$K:$K,"*"&amp;AK$2&amp;".*",'Card Data'!$A:$A,$A40)&amp;" ("&amp;COUNTIFS('Card Data'!$K:$K,"*"&amp;AK$2&amp;".*",'Card Data'!$A:$A,$A40,'Card Data'!$I:$I,"Hero")&amp;")"))</f>
        <v/>
      </c>
      <c r="AL40" s="78"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7" customFormat="1" x14ac:dyDescent="0.2">
      <c r="A41" s="74" t="s">
        <v>11042</v>
      </c>
      <c r="B41" s="74" t="s">
        <v>11012</v>
      </c>
      <c r="C41" s="75" t="s">
        <v>8065</v>
      </c>
      <c r="D41" s="74"/>
      <c r="E41" s="79" t="s">
        <v>11013</v>
      </c>
      <c r="F41" s="127"/>
      <c r="G41" s="78">
        <f>SUMIF('Card Data'!$A:$A,$A41,'Card Data'!$E:$E)</f>
        <v>60</v>
      </c>
      <c r="H41" s="78">
        <f>COUNTIFS('Card Data'!$I:$I,N$2,'Card Data'!$A:$A,$A41)</f>
        <v>0</v>
      </c>
      <c r="I41" s="78">
        <f>SUMIFS('Card Data'!$E:$E,'Card Data'!$A:$A,$A41,'Card Data'!$J:$J,"&lt;&gt;",'Card Data'!$J:$J,"&lt;&gt;Burden",'Card Data'!$I:$I,"&lt;&gt;Hero")</f>
        <v>0</v>
      </c>
      <c r="J41" s="78">
        <f>SUMIFS('Card Data'!$E:$E,'Card Data'!$A:$A,$A41,'Card Data'!$J:$J,"",'Card Data'!$I:$I,"&lt;&gt;Campaign")+SUMIFS('Card Data'!$E:$E,'Card Data'!$A:$A,$A41,'Card Data'!$J:$J,"Burden")-K41</f>
        <v>60</v>
      </c>
      <c r="K41" s="78">
        <f>SUMIFS('Card Data'!$E:$E,'Card Data'!$I:$I,K$2,'Card Data'!$A:$A,$A41,'Card Data'!$K:$K,"&lt;&gt;*Side Quest.*")</f>
        <v>0</v>
      </c>
      <c r="L41" s="78">
        <f>COUNTIFS('Card Data'!$I:$I,L$2,'Card Data'!$A:$A,$A41,'Card Data'!$K:$K,"&lt;&gt;*Side Quest.*")</f>
        <v>0</v>
      </c>
      <c r="M41" s="130"/>
      <c r="N41" s="78">
        <f>COUNTIFS('Card Data'!$I:$I,N$2,'Card Data'!$A:$A,$A41)</f>
        <v>0</v>
      </c>
      <c r="O41" s="78">
        <f>COUNTIFS('Card Data'!$I:$I,O$2,'Card Data'!$A:$A,$A41)</f>
        <v>0</v>
      </c>
      <c r="P41" s="78">
        <f>COUNTIFS('Card Data'!$I:$I,P$2,'Card Data'!$A:$A,$A41)</f>
        <v>0</v>
      </c>
      <c r="Q41" s="78">
        <f>COUNTIFS('Card Data'!$I:$I,Q$2,'Card Data'!$A:$A,$A41)</f>
        <v>0</v>
      </c>
      <c r="R41" s="78">
        <f>COUNTIFS('Card Data'!$I:$I,R$2,'Card Data'!$A:$A,$A41)</f>
        <v>6</v>
      </c>
      <c r="S41" s="78">
        <f>COUNTIFS('Card Data'!$I:$I,S$2,'Card Data'!$A:$A,$A41)</f>
        <v>8</v>
      </c>
      <c r="T41" s="78">
        <f>COUNTIFS('Card Data'!$I:$I,T$2,'Card Data'!$A:$A,$A41)</f>
        <v>5</v>
      </c>
      <c r="U41" s="130"/>
      <c r="V41" s="78">
        <f>COUNTIFS('Card Data'!$J:$J,V$2,'Card Data'!$A:$A,$A41)</f>
        <v>0</v>
      </c>
      <c r="W41" s="78">
        <f>COUNTIFS('Card Data'!$J:$J,W$2,'Card Data'!$A:$A,$A41)</f>
        <v>0</v>
      </c>
      <c r="X41" s="78">
        <f>COUNTIFS('Card Data'!$J:$J,X$2,'Card Data'!$A:$A,$A41)</f>
        <v>0</v>
      </c>
      <c r="Y41" s="78">
        <f>COUNTIFS('Card Data'!$J:$J,Y$2,'Card Data'!$A:$A,$A41)</f>
        <v>0</v>
      </c>
      <c r="Z41" s="78">
        <f>COUNTIFS('Card Data'!$J:$J,Z$2,'Card Data'!$A:$A,$A41)</f>
        <v>0</v>
      </c>
      <c r="AA41" s="130"/>
      <c r="AB41" s="78" t="str">
        <f>IF(COUNTIFS('Card Data'!$K:$K,"*"&amp;AB$2&amp;".*",'Card Data'!$A:$A,$A41)=0,"",IF(COUNTIFS('Card Data'!$K:$K,"*"&amp;AB$2&amp;".*",'Card Data'!$A:$A,$A41,'Card Data'!$I:$I,"Hero")=0,COUNTIFS('Card Data'!$K:$K,"*"&amp;AB$2&amp;".*",'Card Data'!$A:$A,$A41),COUNTIFS('Card Data'!$K:$K,"*"&amp;AB$2&amp;".*",'Card Data'!$A:$A,$A41)&amp;" ("&amp;COUNTIFS('Card Data'!$K:$K,"*"&amp;AB$2&amp;".*",'Card Data'!$A:$A,$A41,'Card Data'!$I:$I,"Hero")&amp;")"))</f>
        <v/>
      </c>
      <c r="AC41" s="78" t="str">
        <f>IF(COUNTIFS('Card Data'!$K:$K,"*"&amp;AC$2&amp;".*",'Card Data'!$A:$A,$A41)=0,"",IF(COUNTIFS('Card Data'!$K:$K,"*"&amp;AC$2&amp;".*",'Card Data'!$A:$A,$A41,'Card Data'!$I:$I,"Hero")=0,COUNTIFS('Card Data'!$K:$K,"*"&amp;AC$2&amp;".*",'Card Data'!$A:$A,$A41),COUNTIFS('Card Data'!$K:$K,"*"&amp;AC$2&amp;".*",'Card Data'!$A:$A,$A41)&amp;" ("&amp;COUNTIFS('Card Data'!$K:$K,"*"&amp;AC$2&amp;".*",'Card Data'!$A:$A,$A41,'Card Data'!$I:$I,"Hero")&amp;")"))</f>
        <v/>
      </c>
      <c r="AD41" s="78" t="str">
        <f>IF(COUNTIFS('Card Data'!$K:$K,"*"&amp;AD$2&amp;".*",'Card Data'!$A:$A,$A41)=0,"",IF(COUNTIFS('Card Data'!$K:$K,"*"&amp;AD$2&amp;".*",'Card Data'!$A:$A,$A41,'Card Data'!$I:$I,"Hero")=0,COUNTIFS('Card Data'!$K:$K,"*"&amp;AD$2&amp;".*",'Card Data'!$A:$A,$A41),COUNTIFS('Card Data'!$K:$K,"*"&amp;AD$2&amp;".*",'Card Data'!$A:$A,$A41)&amp;" ("&amp;COUNTIFS('Card Data'!$K:$K,"*"&amp;AD$2&amp;".*",'Card Data'!$A:$A,$A41,'Card Data'!$I:$I,"Hero")&amp;")"))</f>
        <v/>
      </c>
      <c r="AE41" s="78" t="str">
        <f>IF(COUNTIFS('Card Data'!$K:$K,"*"&amp;AE$2&amp;".*",'Card Data'!$A:$A,$A41)=0,"",IF(COUNTIFS('Card Data'!$K:$K,"*"&amp;AE$2&amp;".*",'Card Data'!$A:$A,$A41,'Card Data'!$I:$I,"Hero")=0,COUNTIFS('Card Data'!$K:$K,"*"&amp;AE$2&amp;".*",'Card Data'!$A:$A,$A41),COUNTIFS('Card Data'!$K:$K,"*"&amp;AE$2&amp;".*",'Card Data'!$A:$A,$A41)&amp;" ("&amp;COUNTIFS('Card Data'!$K:$K,"*"&amp;AE$2&amp;".*",'Card Data'!$A:$A,$A41,'Card Data'!$I:$I,"Hero")&amp;")"))</f>
        <v/>
      </c>
      <c r="AF41" s="78" t="str">
        <f>IF(COUNTIFS('Card Data'!$K:$K,"*"&amp;AF$2&amp;".*",'Card Data'!$A:$A,$A41)=0,"",IF(COUNTIFS('Card Data'!$K:$K,"*"&amp;AF$2&amp;".*",'Card Data'!$A:$A,$A41,'Card Data'!$I:$I,"Hero")=0,COUNTIFS('Card Data'!$K:$K,"*"&amp;AF$2&amp;".*",'Card Data'!$A:$A,$A41),COUNTIFS('Card Data'!$K:$K,"*"&amp;AF$2&amp;".*",'Card Data'!$A:$A,$A41)&amp;" ("&amp;COUNTIFS('Card Data'!$K:$K,"*"&amp;AF$2&amp;".*",'Card Data'!$A:$A,$A41,'Card Data'!$I:$I,"Hero")&amp;")"))</f>
        <v/>
      </c>
      <c r="AG41" s="78" t="str">
        <f>IF(COUNTIFS('Card Data'!$K:$K,"*"&amp;AG$2&amp;".*",'Card Data'!$A:$A,$A41)=0,"",IF(COUNTIFS('Card Data'!$K:$K,"*"&amp;AG$2&amp;".*",'Card Data'!$A:$A,$A41,'Card Data'!$I:$I,"Hero")=0,COUNTIFS('Card Data'!$K:$K,"*"&amp;AG$2&amp;".*",'Card Data'!$A:$A,$A41),COUNTIFS('Card Data'!$K:$K,"*"&amp;AG$2&amp;".*",'Card Data'!$A:$A,$A41)&amp;" ("&amp;COUNTIFS('Card Data'!$K:$K,"*"&amp;AG$2&amp;".*",'Card Data'!$A:$A,$A41,'Card Data'!$I:$I,"Hero")&amp;")"))</f>
        <v/>
      </c>
      <c r="AH41" s="78" t="str">
        <f>IF(COUNTIFS('Card Data'!$K:$K,"*"&amp;AH$2&amp;".*",'Card Data'!$A:$A,$A41)=0,"",IF(COUNTIFS('Card Data'!$K:$K,"*"&amp;AH$2&amp;".*",'Card Data'!$A:$A,$A41,'Card Data'!$I:$I,"Hero")=0,COUNTIFS('Card Data'!$K:$K,"*"&amp;AH$2&amp;".*",'Card Data'!$A:$A,$A41),COUNTIFS('Card Data'!$K:$K,"*"&amp;AH$2&amp;".*",'Card Data'!$A:$A,$A41)&amp;" ("&amp;COUNTIFS('Card Data'!$K:$K,"*"&amp;AH$2&amp;".*",'Card Data'!$A:$A,$A41,'Card Data'!$I:$I,"Hero")&amp;")"))</f>
        <v/>
      </c>
      <c r="AI41" s="78" t="str">
        <f>IF(COUNTIFS('Card Data'!$K:$K,"*"&amp;AI$2&amp;".*",'Card Data'!$A:$A,$A41)=0,"",IF(COUNTIFS('Card Data'!$K:$K,"*"&amp;AI$2&amp;".*",'Card Data'!$A:$A,$A41,'Card Data'!$I:$I,"Hero")=0,COUNTIFS('Card Data'!$K:$K,"*"&amp;AI$2&amp;".*",'Card Data'!$A:$A,$A41),COUNTIFS('Card Data'!$K:$K,"*"&amp;AI$2&amp;".*",'Card Data'!$A:$A,$A41)&amp;" ("&amp;COUNTIFS('Card Data'!$K:$K,"*"&amp;AI$2&amp;".*",'Card Data'!$A:$A,$A41,'Card Data'!$I:$I,"Hero")&amp;")"))</f>
        <v/>
      </c>
      <c r="AJ41" s="78" t="str">
        <f>IF(COUNTIFS('Card Data'!$K:$K,"*"&amp;AJ$2&amp;".*",'Card Data'!$A:$A,$A41)=0,"",IF(COUNTIFS('Card Data'!$K:$K,"*"&amp;AJ$2&amp;".*",'Card Data'!$A:$A,$A41,'Card Data'!$I:$I,"Hero")=0,COUNTIFS('Card Data'!$K:$K,"*"&amp;AJ$2&amp;".*",'Card Data'!$A:$A,$A41),COUNTIFS('Card Data'!$K:$K,"*"&amp;AJ$2&amp;".*",'Card Data'!$A:$A,$A41)&amp;" ("&amp;COUNTIFS('Card Data'!$K:$K,"*"&amp;AJ$2&amp;".*",'Card Data'!$A:$A,$A41,'Card Data'!$I:$I,"Hero")&amp;")"))</f>
        <v/>
      </c>
      <c r="AK41" s="78" t="str">
        <f>IF(COUNTIFS('Card Data'!$K:$K,"*"&amp;AK$2&amp;".*",'Card Data'!$A:$A,$A41)=0,"",IF(COUNTIFS('Card Data'!$K:$K,"*"&amp;AK$2&amp;".*",'Card Data'!$A:$A,$A41,'Card Data'!$I:$I,"Hero")=0,COUNTIFS('Card Data'!$K:$K,"*"&amp;AK$2&amp;".*",'Card Data'!$A:$A,$A41),COUNTIFS('Card Data'!$K:$K,"*"&amp;AK$2&amp;".*",'Card Data'!$A:$A,$A41)&amp;" ("&amp;COUNTIFS('Card Data'!$K:$K,"*"&amp;AK$2&amp;".*",'Card Data'!$A:$A,$A41,'Card Data'!$I:$I,"Hero")&amp;")"))</f>
        <v/>
      </c>
      <c r="AL41" s="78"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3" customFormat="1" x14ac:dyDescent="0.2">
      <c r="A42" s="80" t="s">
        <v>4293</v>
      </c>
      <c r="B42" s="80" t="s">
        <v>5661</v>
      </c>
      <c r="C42" s="81" t="s">
        <v>5745</v>
      </c>
      <c r="D42" s="80"/>
      <c r="E42" s="82" t="s">
        <v>5872</v>
      </c>
      <c r="F42" s="126"/>
      <c r="G42" s="84">
        <f>SUMIF('Card Data'!$A:$A,$A42,'Card Data'!$E:$E)</f>
        <v>165</v>
      </c>
      <c r="H42" s="84">
        <f>COUNTIFS('Card Data'!$I:$I,N$2,'Card Data'!$A:$A,$A42)</f>
        <v>5</v>
      </c>
      <c r="I42" s="84">
        <f>SUMIFS('Card Data'!$E:$E,'Card Data'!$A:$A,$A42,'Card Data'!$J:$J,"&lt;&gt;",'Card Data'!$J:$J,"&lt;&gt;Burden",'Card Data'!$I:$I,"&lt;&gt;Hero")</f>
        <v>52</v>
      </c>
      <c r="J42" s="84">
        <f>SUMIFS('Card Data'!$E:$E,'Card Data'!$A:$A,$A42,'Card Data'!$J:$J,"",'Card Data'!$I:$I,"&lt;&gt;Campaign")+SUMIFS('Card Data'!$E:$E,'Card Data'!$A:$A,$A42,'Card Data'!$J:$J,"Burden")-K42</f>
        <v>99</v>
      </c>
      <c r="K42" s="84">
        <f>SUMIFS('Card Data'!$E:$E,'Card Data'!$I:$I,K$2,'Card Data'!$A:$A,$A42,'Card Data'!$K:$K,"&lt;&gt;*Side Quest.*")</f>
        <v>9</v>
      </c>
      <c r="L42" s="84">
        <f>COUNTIFS('Card Data'!$I:$I,L$2,'Card Data'!$A:$A,$A42,'Card Data'!$K:$K,"&lt;&gt;*Side Quest.*")</f>
        <v>0</v>
      </c>
      <c r="M42" s="129"/>
      <c r="N42" s="84">
        <f>COUNTIFS('Card Data'!$I:$I,N$2,'Card Data'!$A:$A,$A42)</f>
        <v>5</v>
      </c>
      <c r="O42" s="84">
        <f>COUNTIFS('Card Data'!$I:$I,O$2,'Card Data'!$A:$A,$A42)</f>
        <v>5</v>
      </c>
      <c r="P42" s="84">
        <f>COUNTIFS('Card Data'!$I:$I,P$2,'Card Data'!$A:$A,$A42)</f>
        <v>3</v>
      </c>
      <c r="Q42" s="84">
        <f>COUNTIFS('Card Data'!$I:$I,Q$2,'Card Data'!$A:$A,$A42)</f>
        <v>6</v>
      </c>
      <c r="R42" s="84">
        <f>COUNTIFS('Card Data'!$I:$I,R$2,'Card Data'!$A:$A,$A42)</f>
        <v>14</v>
      </c>
      <c r="S42" s="84">
        <f>COUNTIFS('Card Data'!$I:$I,S$2,'Card Data'!$A:$A,$A42)</f>
        <v>13</v>
      </c>
      <c r="T42" s="84">
        <f>COUNTIFS('Card Data'!$I:$I,T$2,'Card Data'!$A:$A,$A42)</f>
        <v>16</v>
      </c>
      <c r="U42" s="129"/>
      <c r="V42" s="84">
        <f>COUNTIFS('Card Data'!$J:$J,V$2,'Card Data'!$A:$A,$A42)</f>
        <v>4</v>
      </c>
      <c r="W42" s="84">
        <f>COUNTIFS('Card Data'!$J:$J,W$2,'Card Data'!$A:$A,$A42)</f>
        <v>4</v>
      </c>
      <c r="X42" s="84">
        <f>COUNTIFS('Card Data'!$J:$J,X$2,'Card Data'!$A:$A,$A42)</f>
        <v>4</v>
      </c>
      <c r="Y42" s="84">
        <f>COUNTIFS('Card Data'!$J:$J,Y$2,'Card Data'!$A:$A,$A42)</f>
        <v>4</v>
      </c>
      <c r="Z42" s="84">
        <f>COUNTIFS('Card Data'!$J:$J,Z$2,'Card Data'!$A:$A,$A42)</f>
        <v>4</v>
      </c>
      <c r="AA42" s="129"/>
      <c r="AB42" s="84" t="str">
        <f>IF(COUNTIFS('Card Data'!$K:$K,"*"&amp;AB$2&amp;".*",'Card Data'!$A:$A,$A42)=0,"",IF(COUNTIFS('Card Data'!$K:$K,"*"&amp;AB$2&amp;".*",'Card Data'!$A:$A,$A42,'Card Data'!$I:$I,"Hero")=0,COUNTIFS('Card Data'!$K:$K,"*"&amp;AB$2&amp;".*",'Card Data'!$A:$A,$A42),COUNTIFS('Card Data'!$K:$K,"*"&amp;AB$2&amp;".*",'Card Data'!$A:$A,$A42)&amp;" ("&amp;COUNTIFS('Card Data'!$K:$K,"*"&amp;AB$2&amp;".*",'Card Data'!$A:$A,$A42,'Card Data'!$I:$I,"Hero")&amp;")"))</f>
        <v>7 (3)</v>
      </c>
      <c r="AC42" s="84" t="str">
        <f>IF(COUNTIFS('Card Data'!$K:$K,"*"&amp;AC$2&amp;".*",'Card Data'!$A:$A,$A42)=0,"",IF(COUNTIFS('Card Data'!$K:$K,"*"&amp;AC$2&amp;".*",'Card Data'!$A:$A,$A42,'Card Data'!$I:$I,"Hero")=0,COUNTIFS('Card Data'!$K:$K,"*"&amp;AC$2&amp;".*",'Card Data'!$A:$A,$A42),COUNTIFS('Card Data'!$K:$K,"*"&amp;AC$2&amp;".*",'Card Data'!$A:$A,$A42)&amp;" ("&amp;COUNTIFS('Card Data'!$K:$K,"*"&amp;AC$2&amp;".*",'Card Data'!$A:$A,$A42,'Card Data'!$I:$I,"Hero")&amp;")"))</f>
        <v/>
      </c>
      <c r="AD42" s="84" t="str">
        <f>IF(COUNTIFS('Card Data'!$K:$K,"*"&amp;AD$2&amp;".*",'Card Data'!$A:$A,$A42)=0,"",IF(COUNTIFS('Card Data'!$K:$K,"*"&amp;AD$2&amp;".*",'Card Data'!$A:$A,$A42,'Card Data'!$I:$I,"Hero")=0,COUNTIFS('Card Data'!$K:$K,"*"&amp;AD$2&amp;".*",'Card Data'!$A:$A,$A42),COUNTIFS('Card Data'!$K:$K,"*"&amp;AD$2&amp;".*",'Card Data'!$A:$A,$A42)&amp;" ("&amp;COUNTIFS('Card Data'!$K:$K,"*"&amp;AD$2&amp;".*",'Card Data'!$A:$A,$A42,'Card Data'!$I:$I,"Hero")&amp;")"))</f>
        <v/>
      </c>
      <c r="AE42" s="84" t="str">
        <f>IF(COUNTIFS('Card Data'!$K:$K,"*"&amp;AE$2&amp;".*",'Card Data'!$A:$A,$A42)=0,"",IF(COUNTIFS('Card Data'!$K:$K,"*"&amp;AE$2&amp;".*",'Card Data'!$A:$A,$A42,'Card Data'!$I:$I,"Hero")=0,COUNTIFS('Card Data'!$K:$K,"*"&amp;AE$2&amp;".*",'Card Data'!$A:$A,$A42),COUNTIFS('Card Data'!$K:$K,"*"&amp;AE$2&amp;".*",'Card Data'!$A:$A,$A42)&amp;" ("&amp;COUNTIFS('Card Data'!$K:$K,"*"&amp;AE$2&amp;".*",'Card Data'!$A:$A,$A42,'Card Data'!$I:$I,"Hero")&amp;")"))</f>
        <v/>
      </c>
      <c r="AF42" s="84" t="str">
        <f>IF(COUNTIFS('Card Data'!$K:$K,"*"&amp;AF$2&amp;".*",'Card Data'!$A:$A,$A42)=0,"",IF(COUNTIFS('Card Data'!$K:$K,"*"&amp;AF$2&amp;".*",'Card Data'!$A:$A,$A42,'Card Data'!$I:$I,"Hero")=0,COUNTIFS('Card Data'!$K:$K,"*"&amp;AF$2&amp;".*",'Card Data'!$A:$A,$A42),COUNTIFS('Card Data'!$K:$K,"*"&amp;AF$2&amp;".*",'Card Data'!$A:$A,$A42)&amp;" ("&amp;COUNTIFS('Card Data'!$K:$K,"*"&amp;AF$2&amp;".*",'Card Data'!$A:$A,$A42,'Card Data'!$I:$I,"Hero")&amp;")"))</f>
        <v>1 (1)</v>
      </c>
      <c r="AG42" s="84" t="str">
        <f>IF(COUNTIFS('Card Data'!$K:$K,"*"&amp;AG$2&amp;".*",'Card Data'!$A:$A,$A42)=0,"",IF(COUNTIFS('Card Data'!$K:$K,"*"&amp;AG$2&amp;".*",'Card Data'!$A:$A,$A42,'Card Data'!$I:$I,"Hero")=0,COUNTIFS('Card Data'!$K:$K,"*"&amp;AG$2&amp;".*",'Card Data'!$A:$A,$A42),COUNTIFS('Card Data'!$K:$K,"*"&amp;AG$2&amp;".*",'Card Data'!$A:$A,$A42)&amp;" ("&amp;COUNTIFS('Card Data'!$K:$K,"*"&amp;AG$2&amp;".*",'Card Data'!$A:$A,$A42,'Card Data'!$I:$I,"Hero")&amp;")"))</f>
        <v/>
      </c>
      <c r="AH42" s="84" t="str">
        <f>IF(COUNTIFS('Card Data'!$K:$K,"*"&amp;AH$2&amp;".*",'Card Data'!$A:$A,$A42)=0,"",IF(COUNTIFS('Card Data'!$K:$K,"*"&amp;AH$2&amp;".*",'Card Data'!$A:$A,$A42,'Card Data'!$I:$I,"Hero")=0,COUNTIFS('Card Data'!$K:$K,"*"&amp;AH$2&amp;".*",'Card Data'!$A:$A,$A42),COUNTIFS('Card Data'!$K:$K,"*"&amp;AH$2&amp;".*",'Card Data'!$A:$A,$A42)&amp;" ("&amp;COUNTIFS('Card Data'!$K:$K,"*"&amp;AH$2&amp;".*",'Card Data'!$A:$A,$A42,'Card Data'!$I:$I,"Hero")&amp;")"))</f>
        <v/>
      </c>
      <c r="AI42" s="84" t="str">
        <f>IF(COUNTIFS('Card Data'!$K:$K,"*"&amp;AI$2&amp;".*",'Card Data'!$A:$A,$A42)=0,"",IF(COUNTIFS('Card Data'!$K:$K,"*"&amp;AI$2&amp;".*",'Card Data'!$A:$A,$A42,'Card Data'!$I:$I,"Hero")=0,COUNTIFS('Card Data'!$K:$K,"*"&amp;AI$2&amp;".*",'Card Data'!$A:$A,$A42),COUNTIFS('Card Data'!$K:$K,"*"&amp;AI$2&amp;".*",'Card Data'!$A:$A,$A42)&amp;" ("&amp;COUNTIFS('Card Data'!$K:$K,"*"&amp;AI$2&amp;".*",'Card Data'!$A:$A,$A42,'Card Data'!$I:$I,"Hero")&amp;")"))</f>
        <v/>
      </c>
      <c r="AJ42" s="84" t="str">
        <f>IF(COUNTIFS('Card Data'!$K:$K,"*"&amp;AJ$2&amp;".*",'Card Data'!$A:$A,$A42)=0,"",IF(COUNTIFS('Card Data'!$K:$K,"*"&amp;AJ$2&amp;".*",'Card Data'!$A:$A,$A42,'Card Data'!$I:$I,"Hero")=0,COUNTIFS('Card Data'!$K:$K,"*"&amp;AJ$2&amp;".*",'Card Data'!$A:$A,$A42),COUNTIFS('Card Data'!$K:$K,"*"&amp;AJ$2&amp;".*",'Card Data'!$A:$A,$A42)&amp;" ("&amp;COUNTIFS('Card Data'!$K:$K,"*"&amp;AJ$2&amp;".*",'Card Data'!$A:$A,$A42,'Card Data'!$I:$I,"Hero")&amp;")"))</f>
        <v/>
      </c>
      <c r="AK42" s="84" t="str">
        <f>IF(COUNTIFS('Card Data'!$K:$K,"*"&amp;AK$2&amp;".*",'Card Data'!$A:$A,$A42)=0,"",IF(COUNTIFS('Card Data'!$K:$K,"*"&amp;AK$2&amp;".*",'Card Data'!$A:$A,$A42,'Card Data'!$I:$I,"Hero")=0,COUNTIFS('Card Data'!$K:$K,"*"&amp;AK$2&amp;".*",'Card Data'!$A:$A,$A42),COUNTIFS('Card Data'!$K:$K,"*"&amp;AK$2&amp;".*",'Card Data'!$A:$A,$A42)&amp;" ("&amp;COUNTIFS('Card Data'!$K:$K,"*"&amp;AK$2&amp;".*",'Card Data'!$A:$A,$A42,'Card Data'!$I:$I,"Hero")&amp;")"))</f>
        <v>1 (1)</v>
      </c>
      <c r="AL42" s="84"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3" customFormat="1" x14ac:dyDescent="0.2">
      <c r="A43" s="80" t="s">
        <v>4034</v>
      </c>
      <c r="B43" s="80" t="s">
        <v>5660</v>
      </c>
      <c r="C43" s="81" t="s">
        <v>5745</v>
      </c>
      <c r="D43" s="80"/>
      <c r="E43" s="82" t="s">
        <v>5873</v>
      </c>
      <c r="F43" s="126"/>
      <c r="G43" s="84">
        <f>SUMIF('Card Data'!$A:$A,$A43,'Card Data'!$E:$E)</f>
        <v>165</v>
      </c>
      <c r="H43" s="84">
        <f>COUNTIFS('Card Data'!$I:$I,N$2,'Card Data'!$A:$A,$A43)</f>
        <v>5</v>
      </c>
      <c r="I43" s="84">
        <f>SUMIFS('Card Data'!$E:$E,'Card Data'!$A:$A,$A43,'Card Data'!$J:$J,"&lt;&gt;",'Card Data'!$J:$J,"&lt;&gt;Burden",'Card Data'!$I:$I,"&lt;&gt;Hero")</f>
        <v>45</v>
      </c>
      <c r="J43" s="84">
        <f>SUMIFS('Card Data'!$E:$E,'Card Data'!$A:$A,$A43,'Card Data'!$J:$J,"",'Card Data'!$I:$I,"&lt;&gt;Campaign")+SUMIFS('Card Data'!$E:$E,'Card Data'!$A:$A,$A43,'Card Data'!$J:$J,"Burden")-K43</f>
        <v>102</v>
      </c>
      <c r="K43" s="84">
        <f>SUMIFS('Card Data'!$E:$E,'Card Data'!$I:$I,K$2,'Card Data'!$A:$A,$A43,'Card Data'!$K:$K,"&lt;&gt;*Side Quest.*")</f>
        <v>13</v>
      </c>
      <c r="L43" s="84">
        <f>COUNTIFS('Card Data'!$I:$I,L$2,'Card Data'!$A:$A,$A43,'Card Data'!$K:$K,"&lt;&gt;*Side Quest.*")</f>
        <v>0</v>
      </c>
      <c r="M43" s="129"/>
      <c r="N43" s="84">
        <f>COUNTIFS('Card Data'!$I:$I,N$2,'Card Data'!$A:$A,$A43)</f>
        <v>5</v>
      </c>
      <c r="O43" s="84">
        <f>COUNTIFS('Card Data'!$I:$I,O$2,'Card Data'!$A:$A,$A43)</f>
        <v>3</v>
      </c>
      <c r="P43" s="84">
        <f>COUNTIFS('Card Data'!$I:$I,P$2,'Card Data'!$A:$A,$A43)</f>
        <v>5</v>
      </c>
      <c r="Q43" s="84">
        <f>COUNTIFS('Card Data'!$I:$I,Q$2,'Card Data'!$A:$A,$A43)</f>
        <v>5</v>
      </c>
      <c r="R43" s="84">
        <f>COUNTIFS('Card Data'!$I:$I,R$2,'Card Data'!$A:$A,$A43)</f>
        <v>16</v>
      </c>
      <c r="S43" s="84">
        <f>COUNTIFS('Card Data'!$I:$I,S$2,'Card Data'!$A:$A,$A43)</f>
        <v>13</v>
      </c>
      <c r="T43" s="84">
        <f>COUNTIFS('Card Data'!$I:$I,T$2,'Card Data'!$A:$A,$A43)</f>
        <v>11</v>
      </c>
      <c r="U43" s="129"/>
      <c r="V43" s="84">
        <f>COUNTIFS('Card Data'!$J:$J,V$2,'Card Data'!$A:$A,$A43)</f>
        <v>4</v>
      </c>
      <c r="W43" s="84">
        <f>COUNTIFS('Card Data'!$J:$J,W$2,'Card Data'!$A:$A,$A43)</f>
        <v>4</v>
      </c>
      <c r="X43" s="84">
        <f>COUNTIFS('Card Data'!$J:$J,X$2,'Card Data'!$A:$A,$A43)</f>
        <v>4</v>
      </c>
      <c r="Y43" s="84">
        <f>COUNTIFS('Card Data'!$J:$J,Y$2,'Card Data'!$A:$A,$A43)</f>
        <v>4</v>
      </c>
      <c r="Z43" s="84">
        <f>COUNTIFS('Card Data'!$J:$J,Z$2,'Card Data'!$A:$A,$A43)</f>
        <v>6</v>
      </c>
      <c r="AA43" s="129"/>
      <c r="AB43" s="84" t="str">
        <f>IF(COUNTIFS('Card Data'!$K:$K,"*"&amp;AB$2&amp;".*",'Card Data'!$A:$A,$A43)=0,"",IF(COUNTIFS('Card Data'!$K:$K,"*"&amp;AB$2&amp;".*",'Card Data'!$A:$A,$A43,'Card Data'!$I:$I,"Hero")=0,COUNTIFS('Card Data'!$K:$K,"*"&amp;AB$2&amp;".*",'Card Data'!$A:$A,$A43),COUNTIFS('Card Data'!$K:$K,"*"&amp;AB$2&amp;".*",'Card Data'!$A:$A,$A43)&amp;" ("&amp;COUNTIFS('Card Data'!$K:$K,"*"&amp;AB$2&amp;".*",'Card Data'!$A:$A,$A43,'Card Data'!$I:$I,"Hero")&amp;")"))</f>
        <v>6 (3)</v>
      </c>
      <c r="AC43" s="84" t="str">
        <f>IF(COUNTIFS('Card Data'!$K:$K,"*"&amp;AC$2&amp;".*",'Card Data'!$A:$A,$A43)=0,"",IF(COUNTIFS('Card Data'!$K:$K,"*"&amp;AC$2&amp;".*",'Card Data'!$A:$A,$A43,'Card Data'!$I:$I,"Hero")=0,COUNTIFS('Card Data'!$K:$K,"*"&amp;AC$2&amp;".*",'Card Data'!$A:$A,$A43),COUNTIFS('Card Data'!$K:$K,"*"&amp;AC$2&amp;".*",'Card Data'!$A:$A,$A43)&amp;" ("&amp;COUNTIFS('Card Data'!$K:$K,"*"&amp;AC$2&amp;".*",'Card Data'!$A:$A,$A43,'Card Data'!$I:$I,"Hero")&amp;")"))</f>
        <v/>
      </c>
      <c r="AD43" s="84" t="str">
        <f>IF(COUNTIFS('Card Data'!$K:$K,"*"&amp;AD$2&amp;".*",'Card Data'!$A:$A,$A43)=0,"",IF(COUNTIFS('Card Data'!$K:$K,"*"&amp;AD$2&amp;".*",'Card Data'!$A:$A,$A43,'Card Data'!$I:$I,"Hero")=0,COUNTIFS('Card Data'!$K:$K,"*"&amp;AD$2&amp;".*",'Card Data'!$A:$A,$A43),COUNTIFS('Card Data'!$K:$K,"*"&amp;AD$2&amp;".*",'Card Data'!$A:$A,$A43)&amp;" ("&amp;COUNTIFS('Card Data'!$K:$K,"*"&amp;AD$2&amp;".*",'Card Data'!$A:$A,$A43,'Card Data'!$I:$I,"Hero")&amp;")"))</f>
        <v/>
      </c>
      <c r="AE43" s="84" t="str">
        <f>IF(COUNTIFS('Card Data'!$K:$K,"*"&amp;AE$2&amp;".*",'Card Data'!$A:$A,$A43)=0,"",IF(COUNTIFS('Card Data'!$K:$K,"*"&amp;AE$2&amp;".*",'Card Data'!$A:$A,$A43,'Card Data'!$I:$I,"Hero")=0,COUNTIFS('Card Data'!$K:$K,"*"&amp;AE$2&amp;".*",'Card Data'!$A:$A,$A43),COUNTIFS('Card Data'!$K:$K,"*"&amp;AE$2&amp;".*",'Card Data'!$A:$A,$A43)&amp;" ("&amp;COUNTIFS('Card Data'!$K:$K,"*"&amp;AE$2&amp;".*",'Card Data'!$A:$A,$A43,'Card Data'!$I:$I,"Hero")&amp;")"))</f>
        <v/>
      </c>
      <c r="AF43" s="84" t="str">
        <f>IF(COUNTIFS('Card Data'!$K:$K,"*"&amp;AF$2&amp;".*",'Card Data'!$A:$A,$A43)=0,"",IF(COUNTIFS('Card Data'!$K:$K,"*"&amp;AF$2&amp;".*",'Card Data'!$A:$A,$A43,'Card Data'!$I:$I,"Hero")=0,COUNTIFS('Card Data'!$K:$K,"*"&amp;AF$2&amp;".*",'Card Data'!$A:$A,$A43),COUNTIFS('Card Data'!$K:$K,"*"&amp;AF$2&amp;".*",'Card Data'!$A:$A,$A43)&amp;" ("&amp;COUNTIFS('Card Data'!$K:$K,"*"&amp;AF$2&amp;".*",'Card Data'!$A:$A,$A43,'Card Data'!$I:$I,"Hero")&amp;")"))</f>
        <v>1 (1)</v>
      </c>
      <c r="AG43" s="84" t="str">
        <f>IF(COUNTIFS('Card Data'!$K:$K,"*"&amp;AG$2&amp;".*",'Card Data'!$A:$A,$A43)=0,"",IF(COUNTIFS('Card Data'!$K:$K,"*"&amp;AG$2&amp;".*",'Card Data'!$A:$A,$A43,'Card Data'!$I:$I,"Hero")=0,COUNTIFS('Card Data'!$K:$K,"*"&amp;AG$2&amp;".*",'Card Data'!$A:$A,$A43),COUNTIFS('Card Data'!$K:$K,"*"&amp;AG$2&amp;".*",'Card Data'!$A:$A,$A43)&amp;" ("&amp;COUNTIFS('Card Data'!$K:$K,"*"&amp;AG$2&amp;".*",'Card Data'!$A:$A,$A43,'Card Data'!$I:$I,"Hero")&amp;")"))</f>
        <v/>
      </c>
      <c r="AH43" s="84" t="str">
        <f>IF(COUNTIFS('Card Data'!$K:$K,"*"&amp;AH$2&amp;".*",'Card Data'!$A:$A,$A43)=0,"",IF(COUNTIFS('Card Data'!$K:$K,"*"&amp;AH$2&amp;".*",'Card Data'!$A:$A,$A43,'Card Data'!$I:$I,"Hero")=0,COUNTIFS('Card Data'!$K:$K,"*"&amp;AH$2&amp;".*",'Card Data'!$A:$A,$A43),COUNTIFS('Card Data'!$K:$K,"*"&amp;AH$2&amp;".*",'Card Data'!$A:$A,$A43)&amp;" ("&amp;COUNTIFS('Card Data'!$K:$K,"*"&amp;AH$2&amp;".*",'Card Data'!$A:$A,$A43,'Card Data'!$I:$I,"Hero")&amp;")"))</f>
        <v/>
      </c>
      <c r="AI43" s="84">
        <f>IF(COUNTIFS('Card Data'!$K:$K,"*"&amp;AI$2&amp;".*",'Card Data'!$A:$A,$A43)=0,"",IF(COUNTIFS('Card Data'!$K:$K,"*"&amp;AI$2&amp;".*",'Card Data'!$A:$A,$A43,'Card Data'!$I:$I,"Hero")=0,COUNTIFS('Card Data'!$K:$K,"*"&amp;AI$2&amp;".*",'Card Data'!$A:$A,$A43),COUNTIFS('Card Data'!$K:$K,"*"&amp;AI$2&amp;".*",'Card Data'!$A:$A,$A43)&amp;" ("&amp;COUNTIFS('Card Data'!$K:$K,"*"&amp;AI$2&amp;".*",'Card Data'!$A:$A,$A43,'Card Data'!$I:$I,"Hero")&amp;")"))</f>
        <v>1</v>
      </c>
      <c r="AJ43" s="84" t="str">
        <f>IF(COUNTIFS('Card Data'!$K:$K,"*"&amp;AJ$2&amp;".*",'Card Data'!$A:$A,$A43)=0,"",IF(COUNTIFS('Card Data'!$K:$K,"*"&amp;AJ$2&amp;".*",'Card Data'!$A:$A,$A43,'Card Data'!$I:$I,"Hero")=0,COUNTIFS('Card Data'!$K:$K,"*"&amp;AJ$2&amp;".*",'Card Data'!$A:$A,$A43),COUNTIFS('Card Data'!$K:$K,"*"&amp;AJ$2&amp;".*",'Card Data'!$A:$A,$A43)&amp;" ("&amp;COUNTIFS('Card Data'!$K:$K,"*"&amp;AJ$2&amp;".*",'Card Data'!$A:$A,$A43,'Card Data'!$I:$I,"Hero")&amp;")"))</f>
        <v/>
      </c>
      <c r="AK43" s="84" t="str">
        <f>IF(COUNTIFS('Card Data'!$K:$K,"*"&amp;AK$2&amp;".*",'Card Data'!$A:$A,$A43)=0,"",IF(COUNTIFS('Card Data'!$K:$K,"*"&amp;AK$2&amp;".*",'Card Data'!$A:$A,$A43,'Card Data'!$I:$I,"Hero")=0,COUNTIFS('Card Data'!$K:$K,"*"&amp;AK$2&amp;".*",'Card Data'!$A:$A,$A43),COUNTIFS('Card Data'!$K:$K,"*"&amp;AK$2&amp;".*",'Card Data'!$A:$A,$A43)&amp;" ("&amp;COUNTIFS('Card Data'!$K:$K,"*"&amp;AK$2&amp;".*",'Card Data'!$A:$A,$A43,'Card Data'!$I:$I,"Hero")&amp;")"))</f>
        <v/>
      </c>
      <c r="AL43" s="84"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3" customFormat="1" x14ac:dyDescent="0.2">
      <c r="A44" s="80" t="s">
        <v>3452</v>
      </c>
      <c r="B44" s="80" t="s">
        <v>3465</v>
      </c>
      <c r="C44" s="81" t="s">
        <v>5745</v>
      </c>
      <c r="D44" s="80"/>
      <c r="E44" s="82" t="s">
        <v>5874</v>
      </c>
      <c r="F44" s="126"/>
      <c r="G44" s="84">
        <f>SUMIF('Card Data'!$A:$A,$A44,'Card Data'!$E:$E)</f>
        <v>165</v>
      </c>
      <c r="H44" s="84">
        <f>COUNTIFS('Card Data'!$I:$I,N$2,'Card Data'!$A:$A,$A44)</f>
        <v>5</v>
      </c>
      <c r="I44" s="84">
        <f>SUMIFS('Card Data'!$E:$E,'Card Data'!$A:$A,$A44,'Card Data'!$J:$J,"&lt;&gt;",'Card Data'!$J:$J,"&lt;&gt;Burden",'Card Data'!$I:$I,"&lt;&gt;Hero")</f>
        <v>39</v>
      </c>
      <c r="J44" s="84">
        <f>SUMIFS('Card Data'!$E:$E,'Card Data'!$A:$A,$A44,'Card Data'!$J:$J,"",'Card Data'!$I:$I,"&lt;&gt;Campaign")+SUMIFS('Card Data'!$E:$E,'Card Data'!$A:$A,$A44,'Card Data'!$J:$J,"Burden")-K44</f>
        <v>110</v>
      </c>
      <c r="K44" s="84">
        <f>SUMIFS('Card Data'!$E:$E,'Card Data'!$I:$I,K$2,'Card Data'!$A:$A,$A44,'Card Data'!$K:$K,"&lt;&gt;*Side Quest.*")</f>
        <v>8</v>
      </c>
      <c r="L44" s="84">
        <f>COUNTIFS('Card Data'!$I:$I,L$2,'Card Data'!$A:$A,$A44,'Card Data'!$K:$K,"&lt;&gt;*Side Quest.*")</f>
        <v>3</v>
      </c>
      <c r="M44" s="129"/>
      <c r="N44" s="84">
        <f>COUNTIFS('Card Data'!$I:$I,N$2,'Card Data'!$A:$A,$A44)</f>
        <v>5</v>
      </c>
      <c r="O44" s="84">
        <f>COUNTIFS('Card Data'!$I:$I,O$2,'Card Data'!$A:$A,$A44)</f>
        <v>3</v>
      </c>
      <c r="P44" s="84">
        <f>COUNTIFS('Card Data'!$I:$I,P$2,'Card Data'!$A:$A,$A44)</f>
        <v>9</v>
      </c>
      <c r="Q44" s="84">
        <f>COUNTIFS('Card Data'!$I:$I,Q$2,'Card Data'!$A:$A,$A44)</f>
        <v>4</v>
      </c>
      <c r="R44" s="84">
        <f>COUNTIFS('Card Data'!$I:$I,R$2,'Card Data'!$A:$A,$A44)</f>
        <v>9</v>
      </c>
      <c r="S44" s="84">
        <f>COUNTIFS('Card Data'!$I:$I,S$2,'Card Data'!$A:$A,$A44)</f>
        <v>19</v>
      </c>
      <c r="T44" s="84">
        <f>COUNTIFS('Card Data'!$I:$I,T$2,'Card Data'!$A:$A,$A44)</f>
        <v>21</v>
      </c>
      <c r="U44" s="129"/>
      <c r="V44" s="84">
        <f>COUNTIFS('Card Data'!$J:$J,V$2,'Card Data'!$A:$A,$A44)</f>
        <v>3</v>
      </c>
      <c r="W44" s="84">
        <f>COUNTIFS('Card Data'!$J:$J,W$2,'Card Data'!$A:$A,$A44)</f>
        <v>4</v>
      </c>
      <c r="X44" s="84">
        <f>COUNTIFS('Card Data'!$J:$J,X$2,'Card Data'!$A:$A,$A44)</f>
        <v>3</v>
      </c>
      <c r="Y44" s="84">
        <f>COUNTIFS('Card Data'!$J:$J,Y$2,'Card Data'!$A:$A,$A44)</f>
        <v>4</v>
      </c>
      <c r="Z44" s="84">
        <f>COUNTIFS('Card Data'!$J:$J,Z$2,'Card Data'!$A:$A,$A44)</f>
        <v>0</v>
      </c>
      <c r="AA44" s="129"/>
      <c r="AB44" s="84" t="str">
        <f>IF(COUNTIFS('Card Data'!$K:$K,"*"&amp;AB$2&amp;".*",'Card Data'!$A:$A,$A44)=0,"",IF(COUNTIFS('Card Data'!$K:$K,"*"&amp;AB$2&amp;".*",'Card Data'!$A:$A,$A44,'Card Data'!$I:$I,"Hero")=0,COUNTIFS('Card Data'!$K:$K,"*"&amp;AB$2&amp;".*",'Card Data'!$A:$A,$A44),COUNTIFS('Card Data'!$K:$K,"*"&amp;AB$2&amp;".*",'Card Data'!$A:$A,$A44)&amp;" ("&amp;COUNTIFS('Card Data'!$K:$K,"*"&amp;AB$2&amp;".*",'Card Data'!$A:$A,$A44,'Card Data'!$I:$I,"Hero")&amp;")"))</f>
        <v/>
      </c>
      <c r="AC44" s="84" t="str">
        <f>IF(COUNTIFS('Card Data'!$K:$K,"*"&amp;AC$2&amp;".*",'Card Data'!$A:$A,$A44)=0,"",IF(COUNTIFS('Card Data'!$K:$K,"*"&amp;AC$2&amp;".*",'Card Data'!$A:$A,$A44,'Card Data'!$I:$I,"Hero")=0,COUNTIFS('Card Data'!$K:$K,"*"&amp;AC$2&amp;".*",'Card Data'!$A:$A,$A44),COUNTIFS('Card Data'!$K:$K,"*"&amp;AC$2&amp;".*",'Card Data'!$A:$A,$A44)&amp;" ("&amp;COUNTIFS('Card Data'!$K:$K,"*"&amp;AC$2&amp;".*",'Card Data'!$A:$A,$A44,'Card Data'!$I:$I,"Hero")&amp;")"))</f>
        <v/>
      </c>
      <c r="AD44" s="84" t="str">
        <f>IF(COUNTIFS('Card Data'!$K:$K,"*"&amp;AD$2&amp;".*",'Card Data'!$A:$A,$A44)=0,"",IF(COUNTIFS('Card Data'!$K:$K,"*"&amp;AD$2&amp;".*",'Card Data'!$A:$A,$A44,'Card Data'!$I:$I,"Hero")=0,COUNTIFS('Card Data'!$K:$K,"*"&amp;AD$2&amp;".*",'Card Data'!$A:$A,$A44),COUNTIFS('Card Data'!$K:$K,"*"&amp;AD$2&amp;".*",'Card Data'!$A:$A,$A44)&amp;" ("&amp;COUNTIFS('Card Data'!$K:$K,"*"&amp;AD$2&amp;".*",'Card Data'!$A:$A,$A44,'Card Data'!$I:$I,"Hero")&amp;")"))</f>
        <v/>
      </c>
      <c r="AE44" s="84" t="str">
        <f>IF(COUNTIFS('Card Data'!$K:$K,"*"&amp;AE$2&amp;".*",'Card Data'!$A:$A,$A44)=0,"",IF(COUNTIFS('Card Data'!$K:$K,"*"&amp;AE$2&amp;".*",'Card Data'!$A:$A,$A44,'Card Data'!$I:$I,"Hero")=0,COUNTIFS('Card Data'!$K:$K,"*"&amp;AE$2&amp;".*",'Card Data'!$A:$A,$A44),COUNTIFS('Card Data'!$K:$K,"*"&amp;AE$2&amp;".*",'Card Data'!$A:$A,$A44)&amp;" ("&amp;COUNTIFS('Card Data'!$K:$K,"*"&amp;AE$2&amp;".*",'Card Data'!$A:$A,$A44,'Card Data'!$I:$I,"Hero")&amp;")"))</f>
        <v/>
      </c>
      <c r="AF44" s="84" t="str">
        <f>IF(COUNTIFS('Card Data'!$K:$K,"*"&amp;AF$2&amp;".*",'Card Data'!$A:$A,$A44)=0,"",IF(COUNTIFS('Card Data'!$K:$K,"*"&amp;AF$2&amp;".*",'Card Data'!$A:$A,$A44,'Card Data'!$I:$I,"Hero")=0,COUNTIFS('Card Data'!$K:$K,"*"&amp;AF$2&amp;".*",'Card Data'!$A:$A,$A44),COUNTIFS('Card Data'!$K:$K,"*"&amp;AF$2&amp;".*",'Card Data'!$A:$A,$A44)&amp;" ("&amp;COUNTIFS('Card Data'!$K:$K,"*"&amp;AF$2&amp;".*",'Card Data'!$A:$A,$A44,'Card Data'!$I:$I,"Hero")&amp;")"))</f>
        <v>6 (5)</v>
      </c>
      <c r="AG44" s="84" t="str">
        <f>IF(COUNTIFS('Card Data'!$K:$K,"*"&amp;AG$2&amp;".*",'Card Data'!$A:$A,$A44)=0,"",IF(COUNTIFS('Card Data'!$K:$K,"*"&amp;AG$2&amp;".*",'Card Data'!$A:$A,$A44,'Card Data'!$I:$I,"Hero")=0,COUNTIFS('Card Data'!$K:$K,"*"&amp;AG$2&amp;".*",'Card Data'!$A:$A,$A44),COUNTIFS('Card Data'!$K:$K,"*"&amp;AG$2&amp;".*",'Card Data'!$A:$A,$A44)&amp;" ("&amp;COUNTIFS('Card Data'!$K:$K,"*"&amp;AG$2&amp;".*",'Card Data'!$A:$A,$A44,'Card Data'!$I:$I,"Hero")&amp;")"))</f>
        <v/>
      </c>
      <c r="AH44" s="84">
        <f>IF(COUNTIFS('Card Data'!$K:$K,"*"&amp;AH$2&amp;".*",'Card Data'!$A:$A,$A44)=0,"",IF(COUNTIFS('Card Data'!$K:$K,"*"&amp;AH$2&amp;".*",'Card Data'!$A:$A,$A44,'Card Data'!$I:$I,"Hero")=0,COUNTIFS('Card Data'!$K:$K,"*"&amp;AH$2&amp;".*",'Card Data'!$A:$A,$A44),COUNTIFS('Card Data'!$K:$K,"*"&amp;AH$2&amp;".*",'Card Data'!$A:$A,$A44)&amp;" ("&amp;COUNTIFS('Card Data'!$K:$K,"*"&amp;AH$2&amp;".*",'Card Data'!$A:$A,$A44,'Card Data'!$I:$I,"Hero")&amp;")"))</f>
        <v>1</v>
      </c>
      <c r="AI44" s="84" t="str">
        <f>IF(COUNTIFS('Card Data'!$K:$K,"*"&amp;AI$2&amp;".*",'Card Data'!$A:$A,$A44)=0,"",IF(COUNTIFS('Card Data'!$K:$K,"*"&amp;AI$2&amp;".*",'Card Data'!$A:$A,$A44,'Card Data'!$I:$I,"Hero")=0,COUNTIFS('Card Data'!$K:$K,"*"&amp;AI$2&amp;".*",'Card Data'!$A:$A,$A44),COUNTIFS('Card Data'!$K:$K,"*"&amp;AI$2&amp;".*",'Card Data'!$A:$A,$A44)&amp;" ("&amp;COUNTIFS('Card Data'!$K:$K,"*"&amp;AI$2&amp;".*",'Card Data'!$A:$A,$A44,'Card Data'!$I:$I,"Hero")&amp;")"))</f>
        <v/>
      </c>
      <c r="AJ44" s="84" t="str">
        <f>IF(COUNTIFS('Card Data'!$K:$K,"*"&amp;AJ$2&amp;".*",'Card Data'!$A:$A,$A44)=0,"",IF(COUNTIFS('Card Data'!$K:$K,"*"&amp;AJ$2&amp;".*",'Card Data'!$A:$A,$A44,'Card Data'!$I:$I,"Hero")=0,COUNTIFS('Card Data'!$K:$K,"*"&amp;AJ$2&amp;".*",'Card Data'!$A:$A,$A44),COUNTIFS('Card Data'!$K:$K,"*"&amp;AJ$2&amp;".*",'Card Data'!$A:$A,$A44)&amp;" ("&amp;COUNTIFS('Card Data'!$K:$K,"*"&amp;AJ$2&amp;".*",'Card Data'!$A:$A,$A44,'Card Data'!$I:$I,"Hero")&amp;")"))</f>
        <v/>
      </c>
      <c r="AK44" s="84" t="str">
        <f>IF(COUNTIFS('Card Data'!$K:$K,"*"&amp;AK$2&amp;".*",'Card Data'!$A:$A,$A44)=0,"",IF(COUNTIFS('Card Data'!$K:$K,"*"&amp;AK$2&amp;".*",'Card Data'!$A:$A,$A44,'Card Data'!$I:$I,"Hero")=0,COUNTIFS('Card Data'!$K:$K,"*"&amp;AK$2&amp;".*",'Card Data'!$A:$A,$A44),COUNTIFS('Card Data'!$K:$K,"*"&amp;AK$2&amp;".*",'Card Data'!$A:$A,$A44)&amp;" ("&amp;COUNTIFS('Card Data'!$K:$K,"*"&amp;AK$2&amp;".*",'Card Data'!$A:$A,$A44,'Card Data'!$I:$I,"Hero")&amp;")"))</f>
        <v/>
      </c>
      <c r="AL44" s="8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3" customFormat="1" x14ac:dyDescent="0.2">
      <c r="A45" s="80" t="s">
        <v>10683</v>
      </c>
      <c r="B45" s="80" t="s">
        <v>11010</v>
      </c>
      <c r="C45" s="81" t="s">
        <v>8065</v>
      </c>
      <c r="D45" s="80"/>
      <c r="E45" s="82" t="s">
        <v>11011</v>
      </c>
      <c r="F45" s="126"/>
      <c r="G45" s="84">
        <f>SUMIF('Card Data'!$A:$A,$A45,'Card Data'!$E:$E)</f>
        <v>165</v>
      </c>
      <c r="H45" s="84">
        <f>COUNTIFS('Card Data'!$I:$I,N$2,'Card Data'!$A:$A,$A45)</f>
        <v>2</v>
      </c>
      <c r="I45" s="84">
        <f>SUMIFS('Card Data'!$E:$E,'Card Data'!$A:$A,$A45,'Card Data'!$J:$J,"&lt;&gt;",'Card Data'!$J:$J,"&lt;&gt;Burden",'Card Data'!$I:$I,"&lt;&gt;Hero")</f>
        <v>32</v>
      </c>
      <c r="J45" s="84">
        <f>SUMIFS('Card Data'!$E:$E,'Card Data'!$A:$A,$A45,'Card Data'!$J:$J,"",'Card Data'!$I:$I,"&lt;&gt;Campaign")+SUMIFS('Card Data'!$E:$E,'Card Data'!$A:$A,$A45,'Card Data'!$J:$J,"Burden")-K45</f>
        <v>114</v>
      </c>
      <c r="K45" s="84">
        <f>SUMIFS('Card Data'!$E:$E,'Card Data'!$I:$I,K$2,'Card Data'!$A:$A,$A45,'Card Data'!$K:$K,"&lt;&gt;*Side Quest.*")</f>
        <v>14</v>
      </c>
      <c r="L45" s="84">
        <f>COUNTIFS('Card Data'!$I:$I,L$2,'Card Data'!$A:$A,$A45,'Card Data'!$K:$K,"&lt;&gt;*Side Quest.*")</f>
        <v>3</v>
      </c>
      <c r="M45" s="129"/>
      <c r="N45" s="84">
        <f>COUNTIFS('Card Data'!$I:$I,N$2,'Card Data'!$A:$A,$A45)</f>
        <v>2</v>
      </c>
      <c r="O45" s="84">
        <f>COUNTIFS('Card Data'!$I:$I,O$2,'Card Data'!$A:$A,$A45)</f>
        <v>4</v>
      </c>
      <c r="P45" s="84">
        <f>COUNTIFS('Card Data'!$I:$I,P$2,'Card Data'!$A:$A,$A45)</f>
        <v>11</v>
      </c>
      <c r="Q45" s="84">
        <f>COUNTIFS('Card Data'!$I:$I,Q$2,'Card Data'!$A:$A,$A45)</f>
        <v>1</v>
      </c>
      <c r="R45" s="84">
        <f>COUNTIFS('Card Data'!$I:$I,R$2,'Card Data'!$A:$A,$A45)</f>
        <v>15</v>
      </c>
      <c r="S45" s="84">
        <f>COUNTIFS('Card Data'!$I:$I,S$2,'Card Data'!$A:$A,$A45)</f>
        <v>19</v>
      </c>
      <c r="T45" s="84">
        <f>COUNTIFS('Card Data'!$I:$I,T$2,'Card Data'!$A:$A,$A45)</f>
        <v>17</v>
      </c>
      <c r="U45" s="129"/>
      <c r="V45" s="84">
        <f>COUNTIFS('Card Data'!$J:$J,V$2,'Card Data'!$A:$A,$A45)</f>
        <v>1</v>
      </c>
      <c r="W45" s="84">
        <f>COUNTIFS('Card Data'!$J:$J,W$2,'Card Data'!$A:$A,$A45)</f>
        <v>1</v>
      </c>
      <c r="X45" s="84">
        <f>COUNTIFS('Card Data'!$J:$J,X$2,'Card Data'!$A:$A,$A45)</f>
        <v>1</v>
      </c>
      <c r="Y45" s="84">
        <f>COUNTIFS('Card Data'!$J:$J,Y$2,'Card Data'!$A:$A,$A45)</f>
        <v>1</v>
      </c>
      <c r="Z45" s="84">
        <f>COUNTIFS('Card Data'!$J:$J,Z$2,'Card Data'!$A:$A,$A45)</f>
        <v>4</v>
      </c>
      <c r="AA45" s="129"/>
      <c r="AB45" s="84" t="str">
        <f>IF(COUNTIFS('Card Data'!$K:$K,"*"&amp;AB$2&amp;".*",'Card Data'!$A:$A,$A45)=0,"",IF(COUNTIFS('Card Data'!$K:$K,"*"&amp;AB$2&amp;".*",'Card Data'!$A:$A,$A45,'Card Data'!$I:$I,"Hero")=0,COUNTIFS('Card Data'!$K:$K,"*"&amp;AB$2&amp;".*",'Card Data'!$A:$A,$A45),COUNTIFS('Card Data'!$K:$K,"*"&amp;AB$2&amp;".*",'Card Data'!$A:$A,$A45)&amp;" ("&amp;COUNTIFS('Card Data'!$K:$K,"*"&amp;AB$2&amp;".*",'Card Data'!$A:$A,$A45,'Card Data'!$I:$I,"Hero")&amp;")"))</f>
        <v/>
      </c>
      <c r="AC45" s="84">
        <f>IF(COUNTIFS('Card Data'!$K:$K,"*"&amp;AC$2&amp;".*",'Card Data'!$A:$A,$A45)=0,"",IF(COUNTIFS('Card Data'!$K:$K,"*"&amp;AC$2&amp;".*",'Card Data'!$A:$A,$A45,'Card Data'!$I:$I,"Hero")=0,COUNTIFS('Card Data'!$K:$K,"*"&amp;AC$2&amp;".*",'Card Data'!$A:$A,$A45),COUNTIFS('Card Data'!$K:$K,"*"&amp;AC$2&amp;".*",'Card Data'!$A:$A,$A45)&amp;" ("&amp;COUNTIFS('Card Data'!$K:$K,"*"&amp;AC$2&amp;".*",'Card Data'!$A:$A,$A45,'Card Data'!$I:$I,"Hero")&amp;")"))</f>
        <v>1</v>
      </c>
      <c r="AD45" s="84" t="str">
        <f>IF(COUNTIFS('Card Data'!$K:$K,"*"&amp;AD$2&amp;".*",'Card Data'!$A:$A,$A45)=0,"",IF(COUNTIFS('Card Data'!$K:$K,"*"&amp;AD$2&amp;".*",'Card Data'!$A:$A,$A45,'Card Data'!$I:$I,"Hero")=0,COUNTIFS('Card Data'!$K:$K,"*"&amp;AD$2&amp;".*",'Card Data'!$A:$A,$A45),COUNTIFS('Card Data'!$K:$K,"*"&amp;AD$2&amp;".*",'Card Data'!$A:$A,$A45)&amp;" ("&amp;COUNTIFS('Card Data'!$K:$K,"*"&amp;AD$2&amp;".*",'Card Data'!$A:$A,$A45,'Card Data'!$I:$I,"Hero")&amp;")"))</f>
        <v/>
      </c>
      <c r="AE45" s="84" t="str">
        <f>IF(COUNTIFS('Card Data'!$K:$K,"*"&amp;AE$2&amp;".*",'Card Data'!$A:$A,$A45)=0,"",IF(COUNTIFS('Card Data'!$K:$K,"*"&amp;AE$2&amp;".*",'Card Data'!$A:$A,$A45,'Card Data'!$I:$I,"Hero")=0,COUNTIFS('Card Data'!$K:$K,"*"&amp;AE$2&amp;".*",'Card Data'!$A:$A,$A45),COUNTIFS('Card Data'!$K:$K,"*"&amp;AE$2&amp;".*",'Card Data'!$A:$A,$A45)&amp;" ("&amp;COUNTIFS('Card Data'!$K:$K,"*"&amp;AE$2&amp;".*",'Card Data'!$A:$A,$A45,'Card Data'!$I:$I,"Hero")&amp;")"))</f>
        <v/>
      </c>
      <c r="AF45" s="84" t="str">
        <f>IF(COUNTIFS('Card Data'!$K:$K,"*"&amp;AF$2&amp;".*",'Card Data'!$A:$A,$A45)=0,"",IF(COUNTIFS('Card Data'!$K:$K,"*"&amp;AF$2&amp;".*",'Card Data'!$A:$A,$A45,'Card Data'!$I:$I,"Hero")=0,COUNTIFS('Card Data'!$K:$K,"*"&amp;AF$2&amp;".*",'Card Data'!$A:$A,$A45),COUNTIFS('Card Data'!$K:$K,"*"&amp;AF$2&amp;".*",'Card Data'!$A:$A,$A45)&amp;" ("&amp;COUNTIFS('Card Data'!$K:$K,"*"&amp;AF$2&amp;".*",'Card Data'!$A:$A,$A45,'Card Data'!$I:$I,"Hero")&amp;")"))</f>
        <v>2 (1)</v>
      </c>
      <c r="AG45" s="84" t="str">
        <f>IF(COUNTIFS('Card Data'!$K:$K,"*"&amp;AG$2&amp;".*",'Card Data'!$A:$A,$A45)=0,"",IF(COUNTIFS('Card Data'!$K:$K,"*"&amp;AG$2&amp;".*",'Card Data'!$A:$A,$A45,'Card Data'!$I:$I,"Hero")=0,COUNTIFS('Card Data'!$K:$K,"*"&amp;AG$2&amp;".*",'Card Data'!$A:$A,$A45),COUNTIFS('Card Data'!$K:$K,"*"&amp;AG$2&amp;".*",'Card Data'!$A:$A,$A45)&amp;" ("&amp;COUNTIFS('Card Data'!$K:$K,"*"&amp;AG$2&amp;".*",'Card Data'!$A:$A,$A45,'Card Data'!$I:$I,"Hero")&amp;")"))</f>
        <v/>
      </c>
      <c r="AH45" s="84">
        <f>IF(COUNTIFS('Card Data'!$K:$K,"*"&amp;AH$2&amp;".*",'Card Data'!$A:$A,$A45)=0,"",IF(COUNTIFS('Card Data'!$K:$K,"*"&amp;AH$2&amp;".*",'Card Data'!$A:$A,$A45,'Card Data'!$I:$I,"Hero")=0,COUNTIFS('Card Data'!$K:$K,"*"&amp;AH$2&amp;".*",'Card Data'!$A:$A,$A45),COUNTIFS('Card Data'!$K:$K,"*"&amp;AH$2&amp;".*",'Card Data'!$A:$A,$A45)&amp;" ("&amp;COUNTIFS('Card Data'!$K:$K,"*"&amp;AH$2&amp;".*",'Card Data'!$A:$A,$A45,'Card Data'!$I:$I,"Hero")&amp;")"))</f>
        <v>2</v>
      </c>
      <c r="AI45" s="84" t="str">
        <f>IF(COUNTIFS('Card Data'!$K:$K,"*"&amp;AI$2&amp;".*",'Card Data'!$A:$A,$A45)=0,"",IF(COUNTIFS('Card Data'!$K:$K,"*"&amp;AI$2&amp;".*",'Card Data'!$A:$A,$A45,'Card Data'!$I:$I,"Hero")=0,COUNTIFS('Card Data'!$K:$K,"*"&amp;AI$2&amp;".*",'Card Data'!$A:$A,$A45),COUNTIFS('Card Data'!$K:$K,"*"&amp;AI$2&amp;".*",'Card Data'!$A:$A,$A45)&amp;" ("&amp;COUNTIFS('Card Data'!$K:$K,"*"&amp;AI$2&amp;".*",'Card Data'!$A:$A,$A45,'Card Data'!$I:$I,"Hero")&amp;")"))</f>
        <v/>
      </c>
      <c r="AJ45" s="84" t="str">
        <f>IF(COUNTIFS('Card Data'!$K:$K,"*"&amp;AJ$2&amp;".*",'Card Data'!$A:$A,$A45)=0,"",IF(COUNTIFS('Card Data'!$K:$K,"*"&amp;AJ$2&amp;".*",'Card Data'!$A:$A,$A45,'Card Data'!$I:$I,"Hero")=0,COUNTIFS('Card Data'!$K:$K,"*"&amp;AJ$2&amp;".*",'Card Data'!$A:$A,$A45),COUNTIFS('Card Data'!$K:$K,"*"&amp;AJ$2&amp;".*",'Card Data'!$A:$A,$A45)&amp;" ("&amp;COUNTIFS('Card Data'!$K:$K,"*"&amp;AJ$2&amp;".*",'Card Data'!$A:$A,$A45,'Card Data'!$I:$I,"Hero")&amp;")"))</f>
        <v/>
      </c>
      <c r="AK45" s="84">
        <f>IF(COUNTIFS('Card Data'!$K:$K,"*"&amp;AK$2&amp;".*",'Card Data'!$A:$A,$A45)=0,"",IF(COUNTIFS('Card Data'!$K:$K,"*"&amp;AK$2&amp;".*",'Card Data'!$A:$A,$A45,'Card Data'!$I:$I,"Hero")=0,COUNTIFS('Card Data'!$K:$K,"*"&amp;AK$2&amp;".*",'Card Data'!$A:$A,$A45),COUNTIFS('Card Data'!$K:$K,"*"&amp;AK$2&amp;".*",'Card Data'!$A:$A,$A45)&amp;" ("&amp;COUNTIFS('Card Data'!$K:$K,"*"&amp;AK$2&amp;".*",'Card Data'!$A:$A,$A45,'Card Data'!$I:$I,"Hero")&amp;")"))</f>
        <v>2</v>
      </c>
      <c r="AL45" s="84"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8" customFormat="1" x14ac:dyDescent="0.2">
      <c r="A46" s="85" t="s">
        <v>2100</v>
      </c>
      <c r="B46" s="85" t="s">
        <v>5322</v>
      </c>
      <c r="C46" s="86" t="s">
        <v>5745</v>
      </c>
      <c r="D46" s="85"/>
      <c r="E46" s="87" t="s">
        <v>5875</v>
      </c>
      <c r="F46" s="126"/>
      <c r="G46" s="124">
        <f>SUMIF('Card Data'!$A:$A,$A46,'Card Data'!$E:$E)</f>
        <v>37</v>
      </c>
      <c r="H46" s="124">
        <f>COUNTIFS('Card Data'!$I:$I,N$2,'Card Data'!$A:$A,$A46)</f>
        <v>2</v>
      </c>
      <c r="I46" s="124">
        <f>SUMIFS('Card Data'!$E:$E,'Card Data'!$A:$A,$A46,'Card Data'!$J:$J,"&lt;&gt;",'Card Data'!$J:$J,"&lt;&gt;Burden",'Card Data'!$I:$I,"&lt;&gt;Hero")</f>
        <v>0</v>
      </c>
      <c r="J46" s="124">
        <f>SUMIFS('Card Data'!$E:$E,'Card Data'!$A:$A,$A46,'Card Data'!$J:$J,"",'Card Data'!$I:$I,"&lt;&gt;Campaign")+SUMIFS('Card Data'!$E:$E,'Card Data'!$A:$A,$A46,'Card Data'!$J:$J,"Burden")-K46</f>
        <v>34</v>
      </c>
      <c r="K46" s="124">
        <f>SUMIFS('Card Data'!$E:$E,'Card Data'!$I:$I,K$2,'Card Data'!$A:$A,$A46,'Card Data'!$K:$K,"&lt;&gt;*Side Quest.*")</f>
        <v>3</v>
      </c>
      <c r="L46" s="124">
        <f>COUNTIFS('Card Data'!$I:$I,L$2,'Card Data'!$A:$A,$A46,'Card Data'!$K:$K,"&lt;&gt;*Side Quest.*")</f>
        <v>0</v>
      </c>
      <c r="M46" s="129"/>
      <c r="N46" s="124">
        <f>COUNTIFS('Card Data'!$I:$I,N$2,'Card Data'!$A:$A,$A46)</f>
        <v>2</v>
      </c>
      <c r="O46" s="124">
        <f>COUNTIFS('Card Data'!$I:$I,O$2,'Card Data'!$A:$A,$A46)</f>
        <v>0</v>
      </c>
      <c r="P46" s="124">
        <f>COUNTIFS('Card Data'!$I:$I,P$2,'Card Data'!$A:$A,$A46)</f>
        <v>0</v>
      </c>
      <c r="Q46" s="124">
        <f>COUNTIFS('Card Data'!$I:$I,Q$2,'Card Data'!$A:$A,$A46)</f>
        <v>0</v>
      </c>
      <c r="R46" s="124">
        <f>COUNTIFS('Card Data'!$I:$I,R$2,'Card Data'!$A:$A,$A46)</f>
        <v>7</v>
      </c>
      <c r="S46" s="124">
        <f>COUNTIFS('Card Data'!$I:$I,S$2,'Card Data'!$A:$A,$A46)</f>
        <v>4</v>
      </c>
      <c r="T46" s="124">
        <f>COUNTIFS('Card Data'!$I:$I,T$2,'Card Data'!$A:$A,$A46)</f>
        <v>3</v>
      </c>
      <c r="U46" s="129"/>
      <c r="V46" s="124">
        <f>COUNTIFS('Card Data'!$J:$J,V$2,'Card Data'!$A:$A,$A46)</f>
        <v>0</v>
      </c>
      <c r="W46" s="124">
        <f>COUNTIFS('Card Data'!$J:$J,W$2,'Card Data'!$A:$A,$A46)</f>
        <v>0</v>
      </c>
      <c r="X46" s="124">
        <f>COUNTIFS('Card Data'!$J:$J,X$2,'Card Data'!$A:$A,$A46)</f>
        <v>1</v>
      </c>
      <c r="Y46" s="124">
        <f>COUNTIFS('Card Data'!$J:$J,Y$2,'Card Data'!$A:$A,$A46)</f>
        <v>1</v>
      </c>
      <c r="Z46" s="124">
        <f>COUNTIFS('Card Data'!$J:$J,Z$2,'Card Data'!$A:$A,$A46)</f>
        <v>0</v>
      </c>
      <c r="AA46" s="129"/>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1 (1)</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1 (1)</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1 (1)</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4">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88" customFormat="1" x14ac:dyDescent="0.2">
      <c r="A47" s="85" t="s">
        <v>1869</v>
      </c>
      <c r="B47" s="85" t="s">
        <v>5333</v>
      </c>
      <c r="C47" s="86" t="s">
        <v>5745</v>
      </c>
      <c r="D47" s="85"/>
      <c r="E47" s="87" t="s">
        <v>5876</v>
      </c>
      <c r="F47" s="126"/>
      <c r="G47" s="124">
        <f>SUMIF('Card Data'!$A:$A,$A47,'Card Data'!$E:$E)</f>
        <v>29</v>
      </c>
      <c r="H47" s="124">
        <f>COUNTIFS('Card Data'!$I:$I,N$2,'Card Data'!$A:$A,$A47)</f>
        <v>1</v>
      </c>
      <c r="I47" s="124">
        <f>SUMIFS('Card Data'!$E:$E,'Card Data'!$A:$A,$A47,'Card Data'!$J:$J,"&lt;&gt;",'Card Data'!$J:$J,"&lt;&gt;Burden",'Card Data'!$I:$I,"&lt;&gt;Hero")</f>
        <v>0</v>
      </c>
      <c r="J47" s="124">
        <f>SUMIFS('Card Data'!$E:$E,'Card Data'!$A:$A,$A47,'Card Data'!$J:$J,"",'Card Data'!$I:$I,"&lt;&gt;Campaign")+SUMIFS('Card Data'!$E:$E,'Card Data'!$A:$A,$A47,'Card Data'!$J:$J,"Burden")-K47</f>
        <v>26</v>
      </c>
      <c r="K47" s="124">
        <f>SUMIFS('Card Data'!$E:$E,'Card Data'!$I:$I,K$2,'Card Data'!$A:$A,$A47,'Card Data'!$K:$K,"&lt;&gt;*Side Quest.*")</f>
        <v>3</v>
      </c>
      <c r="L47" s="124">
        <f>COUNTIFS('Card Data'!$I:$I,L$2,'Card Data'!$A:$A,$A47,'Card Data'!$K:$K,"&lt;&gt;*Side Quest.*")</f>
        <v>0</v>
      </c>
      <c r="M47" s="129"/>
      <c r="N47" s="124">
        <f>COUNTIFS('Card Data'!$I:$I,N$2,'Card Data'!$A:$A,$A47)</f>
        <v>1</v>
      </c>
      <c r="O47" s="124">
        <f>COUNTIFS('Card Data'!$I:$I,O$2,'Card Data'!$A:$A,$A47)</f>
        <v>0</v>
      </c>
      <c r="P47" s="124">
        <f>COUNTIFS('Card Data'!$I:$I,P$2,'Card Data'!$A:$A,$A47)</f>
        <v>0</v>
      </c>
      <c r="Q47" s="124">
        <f>COUNTIFS('Card Data'!$I:$I,Q$2,'Card Data'!$A:$A,$A47)</f>
        <v>0</v>
      </c>
      <c r="R47" s="124">
        <f>COUNTIFS('Card Data'!$I:$I,R$2,'Card Data'!$A:$A,$A47)</f>
        <v>5</v>
      </c>
      <c r="S47" s="124">
        <f>COUNTIFS('Card Data'!$I:$I,S$2,'Card Data'!$A:$A,$A47)</f>
        <v>2</v>
      </c>
      <c r="T47" s="124">
        <f>COUNTIFS('Card Data'!$I:$I,T$2,'Card Data'!$A:$A,$A47)</f>
        <v>2</v>
      </c>
      <c r="U47" s="129"/>
      <c r="V47" s="124">
        <f>COUNTIFS('Card Data'!$J:$J,V$2,'Card Data'!$A:$A,$A47)</f>
        <v>0</v>
      </c>
      <c r="W47" s="124">
        <f>COUNTIFS('Card Data'!$J:$J,W$2,'Card Data'!$A:$A,$A47)</f>
        <v>1</v>
      </c>
      <c r="X47" s="124">
        <f>COUNTIFS('Card Data'!$J:$J,X$2,'Card Data'!$A:$A,$A47)</f>
        <v>0</v>
      </c>
      <c r="Y47" s="124">
        <f>COUNTIFS('Card Data'!$J:$J,Y$2,'Card Data'!$A:$A,$A47)</f>
        <v>0</v>
      </c>
      <c r="Z47" s="124">
        <f>COUNTIFS('Card Data'!$J:$J,Z$2,'Card Data'!$A:$A,$A47)</f>
        <v>0</v>
      </c>
      <c r="AA47" s="129"/>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1 (1)</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1620</v>
      </c>
      <c r="B48" s="85" t="s">
        <v>5328</v>
      </c>
      <c r="C48" s="86" t="s">
        <v>5745</v>
      </c>
      <c r="D48" s="85"/>
      <c r="E48" s="87" t="s">
        <v>5877</v>
      </c>
      <c r="F48" s="126"/>
      <c r="G48" s="124">
        <f>SUMIF('Card Data'!$A:$A,$A48,'Card Data'!$E:$E)</f>
        <v>52</v>
      </c>
      <c r="H48" s="124">
        <f>COUNTIFS('Card Data'!$I:$I,N$2,'Card Data'!$A:$A,$A48)</f>
        <v>0</v>
      </c>
      <c r="I48" s="124">
        <f>SUMIFS('Card Data'!$E:$E,'Card Data'!$A:$A,$A48,'Card Data'!$J:$J,"&lt;&gt;",'Card Data'!$J:$J,"&lt;&gt;Burden",'Card Data'!$I:$I,"&lt;&gt;Hero")</f>
        <v>0</v>
      </c>
      <c r="J48" s="124">
        <f>SUMIFS('Card Data'!$E:$E,'Card Data'!$A:$A,$A48,'Card Data'!$J:$J,"",'Card Data'!$I:$I,"&lt;&gt;Campaign")+SUMIFS('Card Data'!$E:$E,'Card Data'!$A:$A,$A48,'Card Data'!$J:$J,"Burden")-K48</f>
        <v>47</v>
      </c>
      <c r="K48" s="124">
        <f>SUMIFS('Card Data'!$E:$E,'Card Data'!$I:$I,K$2,'Card Data'!$A:$A,$A48,'Card Data'!$K:$K,"&lt;&gt;*Side Quest.*")</f>
        <v>5</v>
      </c>
      <c r="L48" s="124">
        <f>COUNTIFS('Card Data'!$I:$I,L$2,'Card Data'!$A:$A,$A48,'Card Data'!$K:$K,"&lt;&gt;*Side Quest.*")</f>
        <v>0</v>
      </c>
      <c r="M48" s="129"/>
      <c r="N48" s="124">
        <f>COUNTIFS('Card Data'!$I:$I,N$2,'Card Data'!$A:$A,$A48)</f>
        <v>0</v>
      </c>
      <c r="O48" s="124">
        <f>COUNTIFS('Card Data'!$I:$I,O$2,'Card Data'!$A:$A,$A48)</f>
        <v>0</v>
      </c>
      <c r="P48" s="124">
        <f>COUNTIFS('Card Data'!$I:$I,P$2,'Card Data'!$A:$A,$A48)</f>
        <v>0</v>
      </c>
      <c r="Q48" s="124">
        <f>COUNTIFS('Card Data'!$I:$I,Q$2,'Card Data'!$A:$A,$A48)</f>
        <v>0</v>
      </c>
      <c r="R48" s="124">
        <f>COUNTIFS('Card Data'!$I:$I,R$2,'Card Data'!$A:$A,$A48)</f>
        <v>6</v>
      </c>
      <c r="S48" s="124">
        <f>COUNTIFS('Card Data'!$I:$I,S$2,'Card Data'!$A:$A,$A48)</f>
        <v>5</v>
      </c>
      <c r="T48" s="124">
        <f>COUNTIFS('Card Data'!$I:$I,T$2,'Card Data'!$A:$A,$A48)</f>
        <v>5</v>
      </c>
      <c r="U48" s="129"/>
      <c r="V48" s="124">
        <f>COUNTIFS('Card Data'!$J:$J,V$2,'Card Data'!$A:$A,$A48)</f>
        <v>0</v>
      </c>
      <c r="W48" s="124">
        <f>COUNTIFS('Card Data'!$J:$J,W$2,'Card Data'!$A:$A,$A48)</f>
        <v>0</v>
      </c>
      <c r="X48" s="124">
        <f>COUNTIFS('Card Data'!$J:$J,X$2,'Card Data'!$A:$A,$A48)</f>
        <v>0</v>
      </c>
      <c r="Y48" s="124">
        <f>COUNTIFS('Card Data'!$J:$J,Y$2,'Card Data'!$A:$A,$A48)</f>
        <v>0</v>
      </c>
      <c r="Z48" s="124">
        <f>COUNTIFS('Card Data'!$J:$J,Z$2,'Card Data'!$A:$A,$A48)</f>
        <v>0</v>
      </c>
      <c r="AA48" s="129"/>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874</v>
      </c>
      <c r="B49" s="85" t="s">
        <v>5336</v>
      </c>
      <c r="C49" s="86" t="s">
        <v>5745</v>
      </c>
      <c r="D49" s="85"/>
      <c r="E49" s="87" t="s">
        <v>5698</v>
      </c>
      <c r="F49" s="126"/>
      <c r="G49" s="124">
        <f>SUMIF('Card Data'!$A:$A,$A49,'Card Data'!$E:$E)</f>
        <v>0</v>
      </c>
      <c r="H49" s="124">
        <f>COUNTIFS('Card Data'!$I:$I,N$2,'Card Data'!$A:$A,$A49)</f>
        <v>1</v>
      </c>
      <c r="I49" s="124">
        <f>SUMIFS('Card Data'!$E:$E,'Card Data'!$A:$A,$A49,'Card Data'!$J:$J,"&lt;&gt;",'Card Data'!$J:$J,"&lt;&gt;Burden",'Card Data'!$I:$I,"&lt;&gt;Hero")</f>
        <v>0</v>
      </c>
      <c r="J49" s="124">
        <f>SUMIFS('Card Data'!$E:$E,'Card Data'!$A:$A,$A49,'Card Data'!$J:$J,"",'Card Data'!$I:$I,"&lt;&gt;Campaign")+SUMIFS('Card Data'!$E:$E,'Card Data'!$A:$A,$A49,'Card Data'!$J:$J,"Burden")-K49</f>
        <v>0</v>
      </c>
      <c r="K49" s="124">
        <f>SUMIFS('Card Data'!$E:$E,'Card Data'!$I:$I,K$2,'Card Data'!$A:$A,$A49,'Card Data'!$K:$K,"&lt;&gt;*Side Quest.*")</f>
        <v>0</v>
      </c>
      <c r="L49" s="124">
        <f>COUNTIFS('Card Data'!$I:$I,L$2,'Card Data'!$A:$A,$A49,'Card Data'!$K:$K,"&lt;&gt;*Side Quest.*")</f>
        <v>0</v>
      </c>
      <c r="M49" s="129"/>
      <c r="N49" s="124">
        <f>COUNTIFS('Card Data'!$I:$I,N$2,'Card Data'!$A:$A,$A49)</f>
        <v>1</v>
      </c>
      <c r="O49" s="124">
        <f>COUNTIFS('Card Data'!$I:$I,O$2,'Card Data'!$A:$A,$A49)</f>
        <v>0</v>
      </c>
      <c r="P49" s="124">
        <f>COUNTIFS('Card Data'!$I:$I,P$2,'Card Data'!$A:$A,$A49)</f>
        <v>0</v>
      </c>
      <c r="Q49" s="124">
        <f>COUNTIFS('Card Data'!$I:$I,Q$2,'Card Data'!$A:$A,$A49)</f>
        <v>0</v>
      </c>
      <c r="R49" s="124">
        <f>COUNTIFS('Card Data'!$I:$I,R$2,'Card Data'!$A:$A,$A49)</f>
        <v>0</v>
      </c>
      <c r="S49" s="124">
        <f>COUNTIFS('Card Data'!$I:$I,S$2,'Card Data'!$A:$A,$A49)</f>
        <v>1</v>
      </c>
      <c r="T49" s="124">
        <f>COUNTIFS('Card Data'!$I:$I,T$2,'Card Data'!$A:$A,$A49)</f>
        <v>0</v>
      </c>
      <c r="U49" s="129"/>
      <c r="V49" s="124">
        <f>COUNTIFS('Card Data'!$J:$J,V$2,'Card Data'!$A:$A,$A49)</f>
        <v>1</v>
      </c>
      <c r="W49" s="124">
        <f>COUNTIFS('Card Data'!$J:$J,W$2,'Card Data'!$A:$A,$A49)</f>
        <v>0</v>
      </c>
      <c r="X49" s="124">
        <f>COUNTIFS('Card Data'!$J:$J,X$2,'Card Data'!$A:$A,$A49)</f>
        <v>0</v>
      </c>
      <c r="Y49" s="124">
        <f>COUNTIFS('Card Data'!$J:$J,Y$2,'Card Data'!$A:$A,$A49)</f>
        <v>0</v>
      </c>
      <c r="Z49" s="124">
        <f>COUNTIFS('Card Data'!$J:$J,Z$2,'Card Data'!$A:$A,$A49)</f>
        <v>0</v>
      </c>
      <c r="AA49" s="129"/>
      <c r="AB49" s="124" t="str">
        <f>IF(COUNTIFS('Card Data'!$K:$K,"*"&amp;AB$2&amp;".*",'Card Data'!$A:$A,$A49)=0,"",IF(COUNTIFS('Card Data'!$K:$K,"*"&amp;AB$2&amp;".*",'Card Data'!$A:$A,$A49,'Card Data'!$I:$I,"Hero")=0,COUNTIFS('Card Data'!$K:$K,"*"&amp;AB$2&amp;".*",'Card Data'!$A:$A,$A49),COUNTIFS('Card Data'!$K:$K,"*"&amp;AB$2&amp;".*",'Card Data'!$A:$A,$A49)&amp;" ("&amp;COUNTIFS('Card Data'!$K:$K,"*"&amp;AB$2&amp;".*",'Card Data'!$A:$A,$A49,'Card Data'!$I:$I,"Hero")&amp;")"))</f>
        <v>1 (1)</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1597</v>
      </c>
      <c r="B50" s="85" t="s">
        <v>5327</v>
      </c>
      <c r="C50" s="86" t="s">
        <v>5745</v>
      </c>
      <c r="D50" s="85"/>
      <c r="E50" s="87" t="s">
        <v>5878</v>
      </c>
      <c r="F50" s="126"/>
      <c r="G50" s="124">
        <f>SUMIF('Card Data'!$A:$A,$A50,'Card Data'!$E:$E)</f>
        <v>6</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5</v>
      </c>
      <c r="K50" s="124">
        <f>SUMIFS('Card Data'!$E:$E,'Card Data'!$I:$I,K$2,'Card Data'!$A:$A,$A50,'Card Data'!$K:$K,"&lt;&gt;*Side Quest.*")</f>
        <v>1</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1</v>
      </c>
      <c r="S50" s="124">
        <f>COUNTIFS('Card Data'!$I:$I,S$2,'Card Data'!$A:$A,$A50)</f>
        <v>4</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2148</v>
      </c>
      <c r="B51" s="85" t="s">
        <v>5324</v>
      </c>
      <c r="C51" s="86" t="s">
        <v>5745</v>
      </c>
      <c r="D51" s="85"/>
      <c r="E51" s="87" t="s">
        <v>5879</v>
      </c>
      <c r="F51" s="126"/>
      <c r="G51" s="124">
        <f>SUMIF('Card Data'!$A:$A,$A51,'Card Data'!$E:$E)</f>
        <v>0</v>
      </c>
      <c r="H51" s="124">
        <f>COUNTIFS('Card Data'!$I:$I,N$2,'Card Data'!$A:$A,$A51)</f>
        <v>0</v>
      </c>
      <c r="I51" s="124">
        <f>SUMIFS('Card Data'!$E:$E,'Card Data'!$A:$A,$A51,'Card Data'!$J:$J,"&lt;&gt;",'Card Data'!$J:$J,"&lt;&gt;Burden",'Card Data'!$I:$I,"&lt;&gt;Hero")</f>
        <v>0</v>
      </c>
      <c r="J51" s="124">
        <f>SUMIFS('Card Data'!$E:$E,'Card Data'!$A:$A,$A51,'Card Data'!$J:$J,"",'Card Data'!$I:$I,"&lt;&gt;Campaign")+SUMIFS('Card Data'!$E:$E,'Card Data'!$A:$A,$A51,'Card Data'!$J:$J,"Burden")-K51</f>
        <v>0</v>
      </c>
      <c r="K51" s="124">
        <f>SUMIFS('Card Data'!$E:$E,'Card Data'!$I:$I,K$2,'Card Data'!$A:$A,$A51,'Card Data'!$K:$K,"&lt;&gt;*Side Quest.*")</f>
        <v>0</v>
      </c>
      <c r="L51" s="124">
        <f>COUNTIFS('Card Data'!$I:$I,L$2,'Card Data'!$A:$A,$A51,'Card Data'!$K:$K,"&lt;&gt;*Side Quest.*")</f>
        <v>0</v>
      </c>
      <c r="M51" s="129"/>
      <c r="N51" s="124">
        <f>COUNTIFS('Card Data'!$I:$I,N$2,'Card Data'!$A:$A,$A51)</f>
        <v>0</v>
      </c>
      <c r="O51" s="124">
        <f>COUNTIFS('Card Data'!$I:$I,O$2,'Card Data'!$A:$A,$A51)</f>
        <v>0</v>
      </c>
      <c r="P51" s="124">
        <f>COUNTIFS('Card Data'!$I:$I,P$2,'Card Data'!$A:$A,$A51)</f>
        <v>0</v>
      </c>
      <c r="Q51" s="124">
        <f>COUNTIFS('Card Data'!$I:$I,Q$2,'Card Data'!$A:$A,$A51)</f>
        <v>0</v>
      </c>
      <c r="R51" s="124">
        <f>COUNTIFS('Card Data'!$I:$I,R$2,'Card Data'!$A:$A,$A51)</f>
        <v>2</v>
      </c>
      <c r="S51" s="124">
        <f>COUNTIFS('Card Data'!$I:$I,S$2,'Card Data'!$A:$A,$A51)</f>
        <v>0</v>
      </c>
      <c r="T51" s="124">
        <f>COUNTIFS('Card Data'!$I:$I,T$2,'Card Data'!$A:$A,$A51)</f>
        <v>0</v>
      </c>
      <c r="U51" s="129"/>
      <c r="V51" s="124">
        <f>COUNTIFS('Card Data'!$J:$J,V$2,'Card Data'!$A:$A,$A51)</f>
        <v>0</v>
      </c>
      <c r="W51" s="124">
        <f>COUNTIFS('Card Data'!$J:$J,W$2,'Card Data'!$A:$A,$A51)</f>
        <v>0</v>
      </c>
      <c r="X51" s="124">
        <f>COUNTIFS('Card Data'!$J:$J,X$2,'Card Data'!$A:$A,$A51)</f>
        <v>0</v>
      </c>
      <c r="Y51" s="124">
        <f>COUNTIFS('Card Data'!$J:$J,Y$2,'Card Data'!$A:$A,$A51)</f>
        <v>0</v>
      </c>
      <c r="Z51" s="124">
        <f>COUNTIFS('Card Data'!$J:$J,Z$2,'Card Data'!$A:$A,$A51)</f>
        <v>0</v>
      </c>
      <c r="AA51" s="129"/>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1899</v>
      </c>
      <c r="B52" s="85" t="s">
        <v>5323</v>
      </c>
      <c r="C52" s="86" t="s">
        <v>5745</v>
      </c>
      <c r="D52" s="85"/>
      <c r="E52" s="87" t="s">
        <v>5880</v>
      </c>
      <c r="F52" s="126"/>
      <c r="G52" s="124">
        <f>SUMIF('Card Data'!$A:$A,$A52,'Card Data'!$E:$E)</f>
        <v>144</v>
      </c>
      <c r="H52" s="124">
        <f>COUNTIFS('Card Data'!$I:$I,N$2,'Card Data'!$A:$A,$A52)</f>
        <v>6</v>
      </c>
      <c r="I52" s="124">
        <f>SUMIFS('Card Data'!$E:$E,'Card Data'!$A:$A,$A52,'Card Data'!$J:$J,"&lt;&gt;",'Card Data'!$J:$J,"&lt;&gt;Burden",'Card Data'!$I:$I,"&lt;&gt;Hero")</f>
        <v>0</v>
      </c>
      <c r="J52" s="124">
        <f>SUMIFS('Card Data'!$E:$E,'Card Data'!$A:$A,$A52,'Card Data'!$J:$J,"",'Card Data'!$I:$I,"&lt;&gt;Campaign")+SUMIFS('Card Data'!$E:$E,'Card Data'!$A:$A,$A52,'Card Data'!$J:$J,"Burden")-K52</f>
        <v>121</v>
      </c>
      <c r="K52" s="124">
        <f>SUMIFS('Card Data'!$E:$E,'Card Data'!$I:$I,K$2,'Card Data'!$A:$A,$A52,'Card Data'!$K:$K,"&lt;&gt;*Side Quest.*")</f>
        <v>15</v>
      </c>
      <c r="L52" s="124">
        <f>COUNTIFS('Card Data'!$I:$I,L$2,'Card Data'!$A:$A,$A52,'Card Data'!$K:$K,"&lt;&gt;*Side Quest.*")</f>
        <v>2</v>
      </c>
      <c r="M52" s="129"/>
      <c r="N52" s="124">
        <f>COUNTIFS('Card Data'!$I:$I,N$2,'Card Data'!$A:$A,$A52)</f>
        <v>6</v>
      </c>
      <c r="O52" s="124">
        <f>COUNTIFS('Card Data'!$I:$I,O$2,'Card Data'!$A:$A,$A52)</f>
        <v>0</v>
      </c>
      <c r="P52" s="124">
        <f>COUNTIFS('Card Data'!$I:$I,P$2,'Card Data'!$A:$A,$A52)</f>
        <v>0</v>
      </c>
      <c r="Q52" s="124">
        <f>COUNTIFS('Card Data'!$I:$I,Q$2,'Card Data'!$A:$A,$A52)</f>
        <v>0</v>
      </c>
      <c r="R52" s="124">
        <f>COUNTIFS('Card Data'!$I:$I,R$2,'Card Data'!$A:$A,$A52)</f>
        <v>24</v>
      </c>
      <c r="S52" s="124">
        <f>COUNTIFS('Card Data'!$I:$I,S$2,'Card Data'!$A:$A,$A52)</f>
        <v>15</v>
      </c>
      <c r="T52" s="124">
        <f>COUNTIFS('Card Data'!$I:$I,T$2,'Card Data'!$A:$A,$A52)</f>
        <v>14</v>
      </c>
      <c r="U52" s="129"/>
      <c r="V52" s="124">
        <f>COUNTIFS('Card Data'!$J:$J,V$2,'Card Data'!$A:$A,$A52)</f>
        <v>1</v>
      </c>
      <c r="W52" s="124">
        <f>COUNTIFS('Card Data'!$J:$J,W$2,'Card Data'!$A:$A,$A52)</f>
        <v>2</v>
      </c>
      <c r="X52" s="124">
        <f>COUNTIFS('Card Data'!$J:$J,X$2,'Card Data'!$A:$A,$A52)</f>
        <v>1</v>
      </c>
      <c r="Y52" s="124">
        <f>COUNTIFS('Card Data'!$J:$J,Y$2,'Card Data'!$A:$A,$A52)</f>
        <v>2</v>
      </c>
      <c r="Z52" s="124">
        <f>COUNTIFS('Card Data'!$J:$J,Z$2,'Card Data'!$A:$A,$A52)</f>
        <v>0</v>
      </c>
      <c r="AA52" s="129"/>
      <c r="AB52" s="124">
        <f>IF(COUNTIFS('Card Data'!$K:$K,"*"&amp;AB$2&amp;".*",'Card Data'!$A:$A,$A52)=0,"",IF(COUNTIFS('Card Data'!$K:$K,"*"&amp;AB$2&amp;".*",'Card Data'!$A:$A,$A52,'Card Data'!$I:$I,"Hero")=0,COUNTIFS('Card Data'!$K:$K,"*"&amp;AB$2&amp;".*",'Card Data'!$A:$A,$A52),COUNTIFS('Card Data'!$K:$K,"*"&amp;AB$2&amp;".*",'Card Data'!$A:$A,$A52)&amp;" ("&amp;COUNTIFS('Card Data'!$K:$K,"*"&amp;AB$2&amp;".*",'Card Data'!$A:$A,$A52,'Card Data'!$I:$I,"Hero")&amp;")"))</f>
        <v>1</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6 (5)</v>
      </c>
      <c r="AJ52" s="124">
        <f>IF(COUNTIFS('Card Data'!$K:$K,"*"&amp;AJ$2&amp;".*",'Card Data'!$A:$A,$A52)=0,"",IF(COUNTIFS('Card Data'!$K:$K,"*"&amp;AJ$2&amp;".*",'Card Data'!$A:$A,$A52,'Card Data'!$I:$I,"Hero")=0,COUNTIFS('Card Data'!$K:$K,"*"&amp;AJ$2&amp;".*",'Card Data'!$A:$A,$A52),COUNTIFS('Card Data'!$K:$K,"*"&amp;AJ$2&amp;".*",'Card Data'!$A:$A,$A52)&amp;" ("&amp;COUNTIFS('Card Data'!$K:$K,"*"&amp;AJ$2&amp;".*",'Card Data'!$A:$A,$A52,'Card Data'!$I:$I,"Hero")&amp;")"))</f>
        <v>1</v>
      </c>
      <c r="AK52" s="124">
        <f>IF(COUNTIFS('Card Data'!$K:$K,"*"&amp;AK$2&amp;".*",'Card Data'!$A:$A,$A52)=0,"",IF(COUNTIFS('Card Data'!$K:$K,"*"&amp;AK$2&amp;".*",'Card Data'!$A:$A,$A52,'Card Data'!$I:$I,"Hero")=0,COUNTIFS('Card Data'!$K:$K,"*"&amp;AK$2&amp;".*",'Card Data'!$A:$A,$A52),COUNTIFS('Card Data'!$K:$K,"*"&amp;AK$2&amp;".*",'Card Data'!$A:$A,$A52)&amp;" ("&amp;COUNTIFS('Card Data'!$K:$K,"*"&amp;AK$2&amp;".*",'Card Data'!$A:$A,$A52,'Card Data'!$I:$I,"Hero")&amp;")"))</f>
        <v>2</v>
      </c>
      <c r="AL52" s="124"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8" customFormat="1" x14ac:dyDescent="0.2">
      <c r="A53" s="85" t="s">
        <v>1668</v>
      </c>
      <c r="B53" s="85" t="s">
        <v>5326</v>
      </c>
      <c r="C53" s="86" t="s">
        <v>5745</v>
      </c>
      <c r="D53" s="85"/>
      <c r="E53" s="87" t="s">
        <v>5881</v>
      </c>
      <c r="F53" s="126"/>
      <c r="G53" s="124">
        <f>SUMIF('Card Data'!$A:$A,$A53,'Card Data'!$E:$E)</f>
        <v>22</v>
      </c>
      <c r="H53" s="124">
        <f>COUNTIFS('Card Data'!$I:$I,N$2,'Card Data'!$A:$A,$A53)</f>
        <v>0</v>
      </c>
      <c r="I53" s="124">
        <f>SUMIFS('Card Data'!$E:$E,'Card Data'!$A:$A,$A53,'Card Data'!$J:$J,"&lt;&gt;",'Card Data'!$J:$J,"&lt;&gt;Burden",'Card Data'!$I:$I,"&lt;&gt;Hero")</f>
        <v>0</v>
      </c>
      <c r="J53" s="124">
        <f>SUMIFS('Card Data'!$E:$E,'Card Data'!$A:$A,$A53,'Card Data'!$J:$J,"",'Card Data'!$I:$I,"&lt;&gt;Campaign")+SUMIFS('Card Data'!$E:$E,'Card Data'!$A:$A,$A53,'Card Data'!$J:$J,"Burden")-K53</f>
        <v>0</v>
      </c>
      <c r="K53" s="124">
        <f>SUMIFS('Card Data'!$E:$E,'Card Data'!$I:$I,K$2,'Card Data'!$A:$A,$A53,'Card Data'!$K:$K,"&lt;&gt;*Side Quest.*")</f>
        <v>22</v>
      </c>
      <c r="L53" s="124">
        <f>COUNTIFS('Card Data'!$I:$I,L$2,'Card Data'!$A:$A,$A53,'Card Data'!$K:$K,"&lt;&gt;*Side Quest.*")</f>
        <v>0</v>
      </c>
      <c r="M53" s="129"/>
      <c r="N53" s="124">
        <f>COUNTIFS('Card Data'!$I:$I,N$2,'Card Data'!$A:$A,$A53)</f>
        <v>0</v>
      </c>
      <c r="O53" s="124">
        <f>COUNTIFS('Card Data'!$I:$I,O$2,'Card Data'!$A:$A,$A53)</f>
        <v>0</v>
      </c>
      <c r="P53" s="124">
        <f>COUNTIFS('Card Data'!$I:$I,P$2,'Card Data'!$A:$A,$A53)</f>
        <v>0</v>
      </c>
      <c r="Q53" s="124">
        <f>COUNTIFS('Card Data'!$I:$I,Q$2,'Card Data'!$A:$A,$A53)</f>
        <v>0</v>
      </c>
      <c r="R53" s="124">
        <f>COUNTIFS('Card Data'!$I:$I,R$2,'Card Data'!$A:$A,$A53)</f>
        <v>0</v>
      </c>
      <c r="S53" s="124">
        <f>COUNTIFS('Card Data'!$I:$I,S$2,'Card Data'!$A:$A,$A53)</f>
        <v>0</v>
      </c>
      <c r="T53" s="124">
        <f>COUNTIFS('Card Data'!$I:$I,T$2,'Card Data'!$A:$A,$A53)</f>
        <v>0</v>
      </c>
      <c r="U53" s="129"/>
      <c r="V53" s="124">
        <f>COUNTIFS('Card Data'!$J:$J,V$2,'Card Data'!$A:$A,$A53)</f>
        <v>0</v>
      </c>
      <c r="W53" s="124">
        <f>COUNTIFS('Card Data'!$J:$J,W$2,'Card Data'!$A:$A,$A53)</f>
        <v>0</v>
      </c>
      <c r="X53" s="124">
        <f>COUNTIFS('Card Data'!$J:$J,X$2,'Card Data'!$A:$A,$A53)</f>
        <v>0</v>
      </c>
      <c r="Y53" s="124">
        <f>COUNTIFS('Card Data'!$J:$J,Y$2,'Card Data'!$A:$A,$A53)</f>
        <v>0</v>
      </c>
      <c r="Z53" s="124">
        <f>COUNTIFS('Card Data'!$J:$J,Z$2,'Card Data'!$A:$A,$A53)</f>
        <v>0</v>
      </c>
      <c r="AA53" s="129"/>
      <c r="AB53" s="124"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4"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4"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4"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8" customFormat="1" x14ac:dyDescent="0.2">
      <c r="A54" s="85" t="s">
        <v>2188</v>
      </c>
      <c r="B54" s="85" t="s">
        <v>5335</v>
      </c>
      <c r="C54" s="86" t="s">
        <v>5745</v>
      </c>
      <c r="D54" s="85"/>
      <c r="E54" s="87" t="s">
        <v>5882</v>
      </c>
      <c r="F54" s="126"/>
      <c r="G54" s="124">
        <f>SUMIF('Card Data'!$A:$A,$A54,'Card Data'!$E:$E)</f>
        <v>13</v>
      </c>
      <c r="H54" s="124">
        <f>COUNTIFS('Card Data'!$I:$I,N$2,'Card Data'!$A:$A,$A54)</f>
        <v>0</v>
      </c>
      <c r="I54" s="124">
        <f>SUMIFS('Card Data'!$E:$E,'Card Data'!$A:$A,$A54,'Card Data'!$J:$J,"&lt;&gt;",'Card Data'!$J:$J,"&lt;&gt;Burden",'Card Data'!$I:$I,"&lt;&gt;Hero")</f>
        <v>0</v>
      </c>
      <c r="J54" s="124">
        <f>SUMIFS('Card Data'!$E:$E,'Card Data'!$A:$A,$A54,'Card Data'!$J:$J,"",'Card Data'!$I:$I,"&lt;&gt;Campaign")+SUMIFS('Card Data'!$E:$E,'Card Data'!$A:$A,$A54,'Card Data'!$J:$J,"Burden")-K54</f>
        <v>10</v>
      </c>
      <c r="K54" s="124">
        <f>SUMIFS('Card Data'!$E:$E,'Card Data'!$I:$I,K$2,'Card Data'!$A:$A,$A54,'Card Data'!$K:$K,"&lt;&gt;*Side Quest.*")</f>
        <v>3</v>
      </c>
      <c r="L54" s="124">
        <f>COUNTIFS('Card Data'!$I:$I,L$2,'Card Data'!$A:$A,$A54,'Card Data'!$K:$K,"&lt;&gt;*Side Quest.*")</f>
        <v>0</v>
      </c>
      <c r="M54" s="129"/>
      <c r="N54" s="124">
        <f>COUNTIFS('Card Data'!$I:$I,N$2,'Card Data'!$A:$A,$A54)</f>
        <v>0</v>
      </c>
      <c r="O54" s="124">
        <f>COUNTIFS('Card Data'!$I:$I,O$2,'Card Data'!$A:$A,$A54)</f>
        <v>0</v>
      </c>
      <c r="P54" s="124">
        <f>COUNTIFS('Card Data'!$I:$I,P$2,'Card Data'!$A:$A,$A54)</f>
        <v>0</v>
      </c>
      <c r="Q54" s="124">
        <f>COUNTIFS('Card Data'!$I:$I,Q$2,'Card Data'!$A:$A,$A54)</f>
        <v>0</v>
      </c>
      <c r="R54" s="124">
        <f>COUNTIFS('Card Data'!$I:$I,R$2,'Card Data'!$A:$A,$A54)</f>
        <v>1</v>
      </c>
      <c r="S54" s="124">
        <f>COUNTIFS('Card Data'!$I:$I,S$2,'Card Data'!$A:$A,$A54)</f>
        <v>0</v>
      </c>
      <c r="T54" s="124">
        <f>COUNTIFS('Card Data'!$I:$I,T$2,'Card Data'!$A:$A,$A54)</f>
        <v>0</v>
      </c>
      <c r="U54" s="129"/>
      <c r="V54" s="124">
        <f>COUNTIFS('Card Data'!$J:$J,V$2,'Card Data'!$A:$A,$A54)</f>
        <v>0</v>
      </c>
      <c r="W54" s="124">
        <f>COUNTIFS('Card Data'!$J:$J,W$2,'Card Data'!$A:$A,$A54)</f>
        <v>0</v>
      </c>
      <c r="X54" s="124">
        <f>COUNTIFS('Card Data'!$J:$J,X$2,'Card Data'!$A:$A,$A54)</f>
        <v>0</v>
      </c>
      <c r="Y54" s="124">
        <f>COUNTIFS('Card Data'!$J:$J,Y$2,'Card Data'!$A:$A,$A54)</f>
        <v>0</v>
      </c>
      <c r="Z54" s="124">
        <f>COUNTIFS('Card Data'!$J:$J,Z$2,'Card Data'!$A:$A,$A54)</f>
        <v>0</v>
      </c>
      <c r="AA54" s="129"/>
      <c r="AB54" s="124"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4"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4"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4"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4"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4"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4"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4"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4"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4"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4"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8" customFormat="1" x14ac:dyDescent="0.2">
      <c r="A55" s="85" t="s">
        <v>897</v>
      </c>
      <c r="B55" s="85" t="s">
        <v>5325</v>
      </c>
      <c r="C55" s="86" t="s">
        <v>5745</v>
      </c>
      <c r="D55" s="85"/>
      <c r="E55" s="87" t="s">
        <v>5883</v>
      </c>
      <c r="F55" s="126"/>
      <c r="G55" s="124">
        <f>SUMIF('Card Data'!$A:$A,$A55,'Card Data'!$E:$E)</f>
        <v>5</v>
      </c>
      <c r="H55" s="124">
        <f>COUNTIFS('Card Data'!$I:$I,N$2,'Card Data'!$A:$A,$A55)</f>
        <v>0</v>
      </c>
      <c r="I55" s="124">
        <f>SUMIFS('Card Data'!$E:$E,'Card Data'!$A:$A,$A55,'Card Data'!$J:$J,"&lt;&gt;",'Card Data'!$J:$J,"&lt;&gt;Burden",'Card Data'!$I:$I,"&lt;&gt;Hero")</f>
        <v>0</v>
      </c>
      <c r="J55" s="124">
        <f>SUMIFS('Card Data'!$E:$E,'Card Data'!$A:$A,$A55,'Card Data'!$J:$J,"",'Card Data'!$I:$I,"&lt;&gt;Campaign")+SUMIFS('Card Data'!$E:$E,'Card Data'!$A:$A,$A55,'Card Data'!$J:$J,"Burden")-K55</f>
        <v>2</v>
      </c>
      <c r="K55" s="124">
        <f>SUMIFS('Card Data'!$E:$E,'Card Data'!$I:$I,K$2,'Card Data'!$A:$A,$A55,'Card Data'!$K:$K,"&lt;&gt;*Side Quest.*")</f>
        <v>3</v>
      </c>
      <c r="L55" s="124">
        <f>COUNTIFS('Card Data'!$I:$I,L$2,'Card Data'!$A:$A,$A55,'Card Data'!$K:$K,"&lt;&gt;*Side Quest.*")</f>
        <v>0</v>
      </c>
      <c r="M55" s="129"/>
      <c r="N55" s="124">
        <f>COUNTIFS('Card Data'!$I:$I,N$2,'Card Data'!$A:$A,$A55)</f>
        <v>0</v>
      </c>
      <c r="O55" s="124">
        <f>COUNTIFS('Card Data'!$I:$I,O$2,'Card Data'!$A:$A,$A55)</f>
        <v>0</v>
      </c>
      <c r="P55" s="124">
        <f>COUNTIFS('Card Data'!$I:$I,P$2,'Card Data'!$A:$A,$A55)</f>
        <v>0</v>
      </c>
      <c r="Q55" s="124">
        <f>COUNTIFS('Card Data'!$I:$I,Q$2,'Card Data'!$A:$A,$A55)</f>
        <v>0</v>
      </c>
      <c r="R55" s="124">
        <f>COUNTIFS('Card Data'!$I:$I,R$2,'Card Data'!$A:$A,$A55)</f>
        <v>0</v>
      </c>
      <c r="S55" s="124">
        <f>COUNTIFS('Card Data'!$I:$I,S$2,'Card Data'!$A:$A,$A55)</f>
        <v>1</v>
      </c>
      <c r="T55" s="124">
        <f>COUNTIFS('Card Data'!$I:$I,T$2,'Card Data'!$A:$A,$A55)</f>
        <v>0</v>
      </c>
      <c r="U55" s="129"/>
      <c r="V55" s="124">
        <f>COUNTIFS('Card Data'!$J:$J,V$2,'Card Data'!$A:$A,$A55)</f>
        <v>0</v>
      </c>
      <c r="W55" s="124">
        <f>COUNTIFS('Card Data'!$J:$J,W$2,'Card Data'!$A:$A,$A55)</f>
        <v>0</v>
      </c>
      <c r="X55" s="124">
        <f>COUNTIFS('Card Data'!$J:$J,X$2,'Card Data'!$A:$A,$A55)</f>
        <v>0</v>
      </c>
      <c r="Y55" s="124">
        <f>COUNTIFS('Card Data'!$J:$J,Y$2,'Card Data'!$A:$A,$A55)</f>
        <v>0</v>
      </c>
      <c r="Z55" s="124">
        <f>COUNTIFS('Card Data'!$J:$J,Z$2,'Card Data'!$A:$A,$A55)</f>
        <v>0</v>
      </c>
      <c r="AA55" s="129"/>
      <c r="AB55" s="124"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4"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4"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4"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4"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4"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4"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4"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4"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4"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4"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8" customFormat="1" x14ac:dyDescent="0.2">
      <c r="A56" s="85" t="s">
        <v>2183</v>
      </c>
      <c r="B56" s="85" t="s">
        <v>5332</v>
      </c>
      <c r="C56" s="86" t="s">
        <v>5745</v>
      </c>
      <c r="D56" s="85"/>
      <c r="E56" s="87" t="s">
        <v>5884</v>
      </c>
      <c r="F56" s="126"/>
      <c r="G56" s="124">
        <f>SUMIF('Card Data'!$A:$A,$A56,'Card Data'!$E:$E)</f>
        <v>1</v>
      </c>
      <c r="H56" s="124">
        <f>COUNTIFS('Card Data'!$I:$I,N$2,'Card Data'!$A:$A,$A56)</f>
        <v>0</v>
      </c>
      <c r="I56" s="124">
        <f>SUMIFS('Card Data'!$E:$E,'Card Data'!$A:$A,$A56,'Card Data'!$J:$J,"&lt;&gt;",'Card Data'!$J:$J,"&lt;&gt;Burden",'Card Data'!$I:$I,"&lt;&gt;Hero")</f>
        <v>0</v>
      </c>
      <c r="J56" s="124">
        <f>SUMIFS('Card Data'!$E:$E,'Card Data'!$A:$A,$A56,'Card Data'!$J:$J,"",'Card Data'!$I:$I,"&lt;&gt;Campaign")+SUMIFS('Card Data'!$E:$E,'Card Data'!$A:$A,$A56,'Card Data'!$J:$J,"Burden")-K56</f>
        <v>0</v>
      </c>
      <c r="K56" s="124">
        <f>SUMIFS('Card Data'!$E:$E,'Card Data'!$I:$I,K$2,'Card Data'!$A:$A,$A56,'Card Data'!$K:$K,"&lt;&gt;*Side Quest.*")</f>
        <v>1</v>
      </c>
      <c r="L56" s="124">
        <f>COUNTIFS('Card Data'!$I:$I,L$2,'Card Data'!$A:$A,$A56,'Card Data'!$K:$K,"&lt;&gt;*Side Quest.*")</f>
        <v>0</v>
      </c>
      <c r="M56" s="129"/>
      <c r="N56" s="124">
        <f>COUNTIFS('Card Data'!$I:$I,N$2,'Card Data'!$A:$A,$A56)</f>
        <v>0</v>
      </c>
      <c r="O56" s="124">
        <f>COUNTIFS('Card Data'!$I:$I,O$2,'Card Data'!$A:$A,$A56)</f>
        <v>0</v>
      </c>
      <c r="P56" s="124">
        <f>COUNTIFS('Card Data'!$I:$I,P$2,'Card Data'!$A:$A,$A56)</f>
        <v>0</v>
      </c>
      <c r="Q56" s="124">
        <f>COUNTIFS('Card Data'!$I:$I,Q$2,'Card Data'!$A:$A,$A56)</f>
        <v>0</v>
      </c>
      <c r="R56" s="124">
        <f>COUNTIFS('Card Data'!$I:$I,R$2,'Card Data'!$A:$A,$A56)</f>
        <v>0</v>
      </c>
      <c r="S56" s="124">
        <f>COUNTIFS('Card Data'!$I:$I,S$2,'Card Data'!$A:$A,$A56)</f>
        <v>0</v>
      </c>
      <c r="T56" s="124">
        <f>COUNTIFS('Card Data'!$I:$I,T$2,'Card Data'!$A:$A,$A56)</f>
        <v>0</v>
      </c>
      <c r="U56" s="129"/>
      <c r="V56" s="124">
        <f>COUNTIFS('Card Data'!$J:$J,V$2,'Card Data'!$A:$A,$A56)</f>
        <v>0</v>
      </c>
      <c r="W56" s="124">
        <f>COUNTIFS('Card Data'!$J:$J,W$2,'Card Data'!$A:$A,$A56)</f>
        <v>0</v>
      </c>
      <c r="X56" s="124">
        <f>COUNTIFS('Card Data'!$J:$J,X$2,'Card Data'!$A:$A,$A56)</f>
        <v>0</v>
      </c>
      <c r="Y56" s="124">
        <f>COUNTIFS('Card Data'!$J:$J,Y$2,'Card Data'!$A:$A,$A56)</f>
        <v>0</v>
      </c>
      <c r="Z56" s="124">
        <f>COUNTIFS('Card Data'!$J:$J,Z$2,'Card Data'!$A:$A,$A56)</f>
        <v>0</v>
      </c>
      <c r="AA56" s="129"/>
      <c r="AB56" s="124"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4"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4"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4"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4"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4"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4"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4"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4"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4"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4"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8" customFormat="1" x14ac:dyDescent="0.2">
      <c r="A57" s="85" t="s">
        <v>1733</v>
      </c>
      <c r="B57" s="85" t="s">
        <v>5334</v>
      </c>
      <c r="C57" s="86" t="s">
        <v>5745</v>
      </c>
      <c r="D57" s="85"/>
      <c r="E57" s="87" t="s">
        <v>5885</v>
      </c>
      <c r="F57" s="126"/>
      <c r="G57" s="124">
        <f>SUMIF('Card Data'!$A:$A,$A57,'Card Data'!$E:$E)</f>
        <v>101</v>
      </c>
      <c r="H57" s="124">
        <f>COUNTIFS('Card Data'!$I:$I,N$2,'Card Data'!$A:$A,$A57)</f>
        <v>0</v>
      </c>
      <c r="I57" s="124">
        <f>SUMIFS('Card Data'!$E:$E,'Card Data'!$A:$A,$A57,'Card Data'!$J:$J,"&lt;&gt;",'Card Data'!$J:$J,"&lt;&gt;Burden",'Card Data'!$I:$I,"&lt;&gt;Hero")</f>
        <v>0</v>
      </c>
      <c r="J57" s="124">
        <f>SUMIFS('Card Data'!$E:$E,'Card Data'!$A:$A,$A57,'Card Data'!$J:$J,"",'Card Data'!$I:$I,"&lt;&gt;Campaign")+SUMIFS('Card Data'!$E:$E,'Card Data'!$A:$A,$A57,'Card Data'!$J:$J,"Burden")-K57</f>
        <v>99</v>
      </c>
      <c r="K57" s="124">
        <f>SUMIFS('Card Data'!$E:$E,'Card Data'!$I:$I,K$2,'Card Data'!$A:$A,$A57,'Card Data'!$K:$K,"&lt;&gt;*Side Quest.*")</f>
        <v>1</v>
      </c>
      <c r="L57" s="124">
        <f>COUNTIFS('Card Data'!$I:$I,L$2,'Card Data'!$A:$A,$A57,'Card Data'!$K:$K,"&lt;&gt;*Side Quest.*")</f>
        <v>1</v>
      </c>
      <c r="M57" s="129"/>
      <c r="N57" s="124">
        <f>COUNTIFS('Card Data'!$I:$I,N$2,'Card Data'!$A:$A,$A57)</f>
        <v>0</v>
      </c>
      <c r="O57" s="124">
        <f>COUNTIFS('Card Data'!$I:$I,O$2,'Card Data'!$A:$A,$A57)</f>
        <v>0</v>
      </c>
      <c r="P57" s="124">
        <f>COUNTIFS('Card Data'!$I:$I,P$2,'Card Data'!$A:$A,$A57)</f>
        <v>0</v>
      </c>
      <c r="Q57" s="124">
        <f>COUNTIFS('Card Data'!$I:$I,Q$2,'Card Data'!$A:$A,$A57)</f>
        <v>0</v>
      </c>
      <c r="R57" s="124">
        <f>COUNTIFS('Card Data'!$I:$I,R$2,'Card Data'!$A:$A,$A57)</f>
        <v>12</v>
      </c>
      <c r="S57" s="124">
        <f>COUNTIFS('Card Data'!$I:$I,S$2,'Card Data'!$A:$A,$A57)</f>
        <v>15</v>
      </c>
      <c r="T57" s="124">
        <f>COUNTIFS('Card Data'!$I:$I,T$2,'Card Data'!$A:$A,$A57)</f>
        <v>7</v>
      </c>
      <c r="U57" s="129"/>
      <c r="V57" s="124">
        <f>COUNTIFS('Card Data'!$J:$J,V$2,'Card Data'!$A:$A,$A57)</f>
        <v>0</v>
      </c>
      <c r="W57" s="124">
        <f>COUNTIFS('Card Data'!$J:$J,W$2,'Card Data'!$A:$A,$A57)</f>
        <v>0</v>
      </c>
      <c r="X57" s="124">
        <f>COUNTIFS('Card Data'!$J:$J,X$2,'Card Data'!$A:$A,$A57)</f>
        <v>0</v>
      </c>
      <c r="Y57" s="124">
        <f>COUNTIFS('Card Data'!$J:$J,Y$2,'Card Data'!$A:$A,$A57)</f>
        <v>0</v>
      </c>
      <c r="Z57" s="124">
        <f>COUNTIFS('Card Data'!$J:$J,Z$2,'Card Data'!$A:$A,$A57)</f>
        <v>0</v>
      </c>
      <c r="AA57" s="129"/>
      <c r="AB57" s="124"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4"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4"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4"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4"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4"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4"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4"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4"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4"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4"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8" customFormat="1" x14ac:dyDescent="0.2">
      <c r="A58" s="85" t="s">
        <v>916</v>
      </c>
      <c r="B58" s="85" t="s">
        <v>5329</v>
      </c>
      <c r="C58" s="86" t="s">
        <v>8213</v>
      </c>
      <c r="D58" s="85"/>
      <c r="E58" s="87" t="s">
        <v>5886</v>
      </c>
      <c r="F58" s="126"/>
      <c r="G58" s="124">
        <f>SUMIF('Card Data'!$A:$A,$A58,'Card Data'!$E:$E)</f>
        <v>432</v>
      </c>
      <c r="H58" s="124">
        <f>COUNTIFS('Card Data'!$I:$I,N$2,'Card Data'!$A:$A,$A58)</f>
        <v>15</v>
      </c>
      <c r="I58" s="124">
        <f>SUMIFS('Card Data'!$E:$E,'Card Data'!$A:$A,$A58,'Card Data'!$J:$J,"&lt;&gt;",'Card Data'!$J:$J,"&lt;&gt;Burden",'Card Data'!$I:$I,"&lt;&gt;Hero")</f>
        <v>255</v>
      </c>
      <c r="J58" s="124">
        <f>SUMIFS('Card Data'!$E:$E,'Card Data'!$A:$A,$A58,'Card Data'!$J:$J,"",'Card Data'!$I:$I,"&lt;&gt;Campaign")+SUMIFS('Card Data'!$E:$E,'Card Data'!$A:$A,$A58,'Card Data'!$J:$J,"Burden")-K58</f>
        <v>149</v>
      </c>
      <c r="K58" s="124">
        <f>SUMIFS('Card Data'!$E:$E,'Card Data'!$I:$I,K$2,'Card Data'!$A:$A,$A58,'Card Data'!$K:$K,"&lt;&gt;*Side Quest.*")</f>
        <v>10</v>
      </c>
      <c r="L58" s="124">
        <f>COUNTIFS('Card Data'!$I:$I,L$2,'Card Data'!$A:$A,$A58,'Card Data'!$K:$K,"&lt;&gt;*Side Quest.*")</f>
        <v>3</v>
      </c>
      <c r="M58" s="129"/>
      <c r="N58" s="124">
        <f>COUNTIFS('Card Data'!$I:$I,N$2,'Card Data'!$A:$A,$A58)</f>
        <v>15</v>
      </c>
      <c r="O58" s="124">
        <f>COUNTIFS('Card Data'!$I:$I,O$2,'Card Data'!$A:$A,$A58)</f>
        <v>29</v>
      </c>
      <c r="P58" s="124">
        <f>COUNTIFS('Card Data'!$I:$I,P$2,'Card Data'!$A:$A,$A58)</f>
        <v>25</v>
      </c>
      <c r="Q58" s="124">
        <f>COUNTIFS('Card Data'!$I:$I,Q$2,'Card Data'!$A:$A,$A58)</f>
        <v>33</v>
      </c>
      <c r="R58" s="124">
        <f>COUNTIFS('Card Data'!$I:$I,R$2,'Card Data'!$A:$A,$A58)</f>
        <v>22</v>
      </c>
      <c r="S58" s="124">
        <f>COUNTIFS('Card Data'!$I:$I,S$2,'Card Data'!$A:$A,$A58)</f>
        <v>27</v>
      </c>
      <c r="T58" s="124">
        <f>COUNTIFS('Card Data'!$I:$I,T$2,'Card Data'!$A:$A,$A58)</f>
        <v>18</v>
      </c>
      <c r="U58" s="129"/>
      <c r="V58" s="124">
        <f>COUNTIFS('Card Data'!$J:$J,V$2,'Card Data'!$A:$A,$A58)</f>
        <v>18</v>
      </c>
      <c r="W58" s="124">
        <f>COUNTIFS('Card Data'!$J:$J,W$2,'Card Data'!$A:$A,$A58)</f>
        <v>19</v>
      </c>
      <c r="X58" s="124">
        <f>COUNTIFS('Card Data'!$J:$J,X$2,'Card Data'!$A:$A,$A58)</f>
        <v>19</v>
      </c>
      <c r="Y58" s="124">
        <f>COUNTIFS('Card Data'!$J:$J,Y$2,'Card Data'!$A:$A,$A58)</f>
        <v>18</v>
      </c>
      <c r="Z58" s="124">
        <f>COUNTIFS('Card Data'!$J:$J,Z$2,'Card Data'!$A:$A,$A58)</f>
        <v>3</v>
      </c>
      <c r="AA58" s="129"/>
      <c r="AB58" s="124">
        <f>IF(COUNTIFS('Card Data'!$K:$K,"*"&amp;AB$2&amp;".*",'Card Data'!$A:$A,$A58)=0,"",IF(COUNTIFS('Card Data'!$K:$K,"*"&amp;AB$2&amp;".*",'Card Data'!$A:$A,$A58,'Card Data'!$I:$I,"Hero")=0,COUNTIFS('Card Data'!$K:$K,"*"&amp;AB$2&amp;".*",'Card Data'!$A:$A,$A58),COUNTIFS('Card Data'!$K:$K,"*"&amp;AB$2&amp;".*",'Card Data'!$A:$A,$A58)&amp;" ("&amp;COUNTIFS('Card Data'!$K:$K,"*"&amp;AB$2&amp;".*",'Card Data'!$A:$A,$A58,'Card Data'!$I:$I,"Hero")&amp;")"))</f>
        <v>3</v>
      </c>
      <c r="AC58" s="124"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4"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4"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4"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4"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4" t="str">
        <f>IF(COUNTIFS('Card Data'!$K:$K,"*"&amp;AH$2&amp;".*",'Card Data'!$A:$A,$A58)=0,"",IF(COUNTIFS('Card Data'!$K:$K,"*"&amp;AH$2&amp;".*",'Card Data'!$A:$A,$A58,'Card Data'!$I:$I,"Hero")=0,COUNTIFS('Card Data'!$K:$K,"*"&amp;AH$2&amp;".*",'Card Data'!$A:$A,$A58),COUNTIFS('Card Data'!$K:$K,"*"&amp;AH$2&amp;".*",'Card Data'!$A:$A,$A58)&amp;" ("&amp;COUNTIFS('Card Data'!$K:$K,"*"&amp;AH$2&amp;".*",'Card Data'!$A:$A,$A58,'Card Data'!$I:$I,"Hero")&amp;")"))</f>
        <v>18 (7)</v>
      </c>
      <c r="AI58" s="124">
        <f>IF(COUNTIFS('Card Data'!$K:$K,"*"&amp;AI$2&amp;".*",'Card Data'!$A:$A,$A58)=0,"",IF(COUNTIFS('Card Data'!$K:$K,"*"&amp;AI$2&amp;".*",'Card Data'!$A:$A,$A58,'Card Data'!$I:$I,"Hero")=0,COUNTIFS('Card Data'!$K:$K,"*"&amp;AI$2&amp;".*",'Card Data'!$A:$A,$A58),COUNTIFS('Card Data'!$K:$K,"*"&amp;AI$2&amp;".*",'Card Data'!$A:$A,$A58)&amp;" ("&amp;COUNTIFS('Card Data'!$K:$K,"*"&amp;AI$2&amp;".*",'Card Data'!$A:$A,$A58,'Card Data'!$I:$I,"Hero")&amp;")"))</f>
        <v>1</v>
      </c>
      <c r="AJ58" s="124">
        <f>IF(COUNTIFS('Card Data'!$K:$K,"*"&amp;AJ$2&amp;".*",'Card Data'!$A:$A,$A58)=0,"",IF(COUNTIFS('Card Data'!$K:$K,"*"&amp;AJ$2&amp;".*",'Card Data'!$A:$A,$A58,'Card Data'!$I:$I,"Hero")=0,COUNTIFS('Card Data'!$K:$K,"*"&amp;AJ$2&amp;".*",'Card Data'!$A:$A,$A58),COUNTIFS('Card Data'!$K:$K,"*"&amp;AJ$2&amp;".*",'Card Data'!$A:$A,$A58)&amp;" ("&amp;COUNTIFS('Card Data'!$K:$K,"*"&amp;AJ$2&amp;".*",'Card Data'!$A:$A,$A58,'Card Data'!$I:$I,"Hero")&amp;")"))</f>
        <v>1</v>
      </c>
      <c r="AK58" s="124" t="str">
        <f>IF(COUNTIFS('Card Data'!$K:$K,"*"&amp;AK$2&amp;".*",'Card Data'!$A:$A,$A58)=0,"",IF(COUNTIFS('Card Data'!$K:$K,"*"&amp;AK$2&amp;".*",'Card Data'!$A:$A,$A58,'Card Data'!$I:$I,"Hero")=0,COUNTIFS('Card Data'!$K:$K,"*"&amp;AK$2&amp;".*",'Card Data'!$A:$A,$A58),COUNTIFS('Card Data'!$K:$K,"*"&amp;AK$2&amp;".*",'Card Data'!$A:$A,$A58)&amp;" ("&amp;COUNTIFS('Card Data'!$K:$K,"*"&amp;AK$2&amp;".*",'Card Data'!$A:$A,$A58,'Card Data'!$I:$I,"Hero")&amp;")"))</f>
        <v>14 (11)</v>
      </c>
      <c r="AL58" s="124">
        <f>IF(COUNTIFS('Card Data'!$K:$K,"*"&amp;AL$2&amp;".*",'Card Data'!$A:$A,$A58)=0,"",IF(COUNTIFS('Card Data'!$K:$K,"*"&amp;AL$2&amp;".*",'Card Data'!$A:$A,$A58,'Card Data'!$I:$I,"Hero")=0,COUNTIFS('Card Data'!$K:$K,"*"&amp;AL$2&amp;".*",'Card Data'!$A:$A,$A58),COUNTIFS('Card Data'!$K:$K,"*"&amp;AL$2&amp;".*",'Card Data'!$A:$A,$A58)&amp;" ("&amp;COUNTIFS('Card Data'!$K:$K,"*"&amp;AL$2&amp;".*",'Card Data'!$A:$A,$A58,'Card Data'!$I:$I,"Hero")&amp;")"))</f>
        <v>4</v>
      </c>
    </row>
    <row r="59" spans="1:38" s="88" customFormat="1" x14ac:dyDescent="0.2">
      <c r="A59" s="85" t="s">
        <v>7985</v>
      </c>
      <c r="B59" s="85" t="s">
        <v>7987</v>
      </c>
      <c r="C59" s="86" t="s">
        <v>8065</v>
      </c>
      <c r="D59" s="85"/>
      <c r="E59" s="87" t="s">
        <v>8066</v>
      </c>
      <c r="F59" s="126"/>
      <c r="G59" s="124">
        <f>SUMIF('Card Data'!$A:$A,$A59,'Card Data'!$E:$E)</f>
        <v>44</v>
      </c>
      <c r="H59" s="124">
        <f>COUNTIFS('Card Data'!$I:$I,N$2,'Card Data'!$A:$A,$A59)</f>
        <v>0</v>
      </c>
      <c r="I59" s="124">
        <f>SUMIFS('Card Data'!$E:$E,'Card Data'!$A:$A,$A59,'Card Data'!$J:$J,"&lt;&gt;",'Card Data'!$J:$J,"&lt;&gt;Burden",'Card Data'!$I:$I,"&lt;&gt;Hero")</f>
        <v>0</v>
      </c>
      <c r="J59" s="124">
        <f>SUMIFS('Card Data'!$E:$E,'Card Data'!$A:$A,$A59,'Card Data'!$J:$J,"",'Card Data'!$I:$I,"&lt;&gt;Campaign")+SUMIFS('Card Data'!$E:$E,'Card Data'!$A:$A,$A59,'Card Data'!$J:$J,"Burden")-K59</f>
        <v>40</v>
      </c>
      <c r="K59" s="124">
        <f>SUMIFS('Card Data'!$E:$E,'Card Data'!$I:$I,K$2,'Card Data'!$A:$A,$A59,'Card Data'!$K:$K,"&lt;&gt;*Side Quest.*")</f>
        <v>3</v>
      </c>
      <c r="L59" s="124">
        <f>COUNTIFS('Card Data'!$I:$I,L$2,'Card Data'!$A:$A,$A59,'Card Data'!$K:$K,"&lt;&gt;*Side Quest.*")</f>
        <v>1</v>
      </c>
      <c r="M59" s="131"/>
      <c r="N59" s="124">
        <f>COUNTIFS('Card Data'!$I:$I,N$2,'Card Data'!$A:$A,$A59)</f>
        <v>0</v>
      </c>
      <c r="O59" s="124">
        <f>COUNTIFS('Card Data'!$I:$I,O$2,'Card Data'!$A:$A,$A59)</f>
        <v>0</v>
      </c>
      <c r="P59" s="124">
        <f>COUNTIFS('Card Data'!$I:$I,P$2,'Card Data'!$A:$A,$A59)</f>
        <v>0</v>
      </c>
      <c r="Q59" s="124">
        <f>COUNTIFS('Card Data'!$I:$I,Q$2,'Card Data'!$A:$A,$A59)</f>
        <v>0</v>
      </c>
      <c r="R59" s="124">
        <f>COUNTIFS('Card Data'!$I:$I,R$2,'Card Data'!$A:$A,$A59)</f>
        <v>7</v>
      </c>
      <c r="S59" s="124">
        <f>COUNTIFS('Card Data'!$I:$I,S$2,'Card Data'!$A:$A,$A59)</f>
        <v>7</v>
      </c>
      <c r="T59" s="124">
        <f>COUNTIFS('Card Data'!$I:$I,T$2,'Card Data'!$A:$A,$A59)</f>
        <v>3</v>
      </c>
      <c r="U59" s="131"/>
      <c r="V59" s="124">
        <f>COUNTIFS('Card Data'!$J:$J,V$2,'Card Data'!$A:$A,$A59)</f>
        <v>0</v>
      </c>
      <c r="W59" s="124">
        <f>COUNTIFS('Card Data'!$J:$J,W$2,'Card Data'!$A:$A,$A59)</f>
        <v>0</v>
      </c>
      <c r="X59" s="124">
        <f>COUNTIFS('Card Data'!$J:$J,X$2,'Card Data'!$A:$A,$A59)</f>
        <v>0</v>
      </c>
      <c r="Y59" s="124">
        <f>COUNTIFS('Card Data'!$J:$J,Y$2,'Card Data'!$A:$A,$A59)</f>
        <v>0</v>
      </c>
      <c r="Z59" s="124">
        <f>COUNTIFS('Card Data'!$J:$J,Z$2,'Card Data'!$A:$A,$A59)</f>
        <v>0</v>
      </c>
      <c r="AA59" s="131"/>
      <c r="AB59" s="124"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4"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4"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4"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4"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4"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4"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4"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4"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4"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4"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30" customFormat="1" x14ac:dyDescent="0.2">
      <c r="C60" s="31"/>
    </row>
    <row r="61" spans="1:38" s="30" customFormat="1" x14ac:dyDescent="0.2">
      <c r="C61" s="31"/>
    </row>
    <row r="62" spans="1:38" s="30" customFormat="1" x14ac:dyDescent="0.2">
      <c r="C62" s="31"/>
    </row>
    <row r="63" spans="1:38" s="30" customFormat="1" x14ac:dyDescent="0.2">
      <c r="C63" s="31"/>
    </row>
    <row r="64" spans="1:38" s="30" customFormat="1" x14ac:dyDescent="0.2">
      <c r="C64" s="31"/>
    </row>
    <row r="65" spans="3:3" s="30" customFormat="1" x14ac:dyDescent="0.2">
      <c r="C65" s="31"/>
    </row>
  </sheetData>
  <mergeCells count="4">
    <mergeCell ref="G1:K1"/>
    <mergeCell ref="N1:T1"/>
    <mergeCell ref="V1:Z1"/>
    <mergeCell ref="AB1:AL1"/>
  </mergeCells>
  <conditionalFormatting sqref="V2">
    <cfRule type="cellIs" dxfId="168" priority="29" operator="equal">
      <formula>"Fellowship"</formula>
    </cfRule>
    <cfRule type="cellIs" dxfId="167" priority="30" operator="equal">
      <formula>"Neutral"</formula>
    </cfRule>
    <cfRule type="cellIs" dxfId="166" priority="31" operator="equal">
      <formula>"Baggins"</formula>
    </cfRule>
    <cfRule type="cellIs" dxfId="165" priority="32" operator="equal">
      <formula>"Lore"</formula>
    </cfRule>
    <cfRule type="cellIs" dxfId="164" priority="33" operator="equal">
      <formula>"Spirit"</formula>
    </cfRule>
    <cfRule type="cellIs" dxfId="163" priority="34" operator="equal">
      <formula>"Tactics"</formula>
    </cfRule>
    <cfRule type="cellIs" dxfId="162" priority="35" operator="equal">
      <formula>"Leadership"</formula>
    </cfRule>
  </conditionalFormatting>
  <conditionalFormatting sqref="W2">
    <cfRule type="cellIs" dxfId="161" priority="22" operator="equal">
      <formula>"Fellowship"</formula>
    </cfRule>
    <cfRule type="cellIs" dxfId="160" priority="23" operator="equal">
      <formula>"Neutral"</formula>
    </cfRule>
    <cfRule type="cellIs" dxfId="159" priority="24" operator="equal">
      <formula>"Baggins"</formula>
    </cfRule>
    <cfRule type="cellIs" dxfId="158" priority="25" operator="equal">
      <formula>"Lore"</formula>
    </cfRule>
    <cfRule type="cellIs" dxfId="157" priority="26" operator="equal">
      <formula>"Spirit"</formula>
    </cfRule>
    <cfRule type="cellIs" dxfId="156" priority="27" operator="equal">
      <formula>"Tactics"</formula>
    </cfRule>
    <cfRule type="cellIs" dxfId="155" priority="28" operator="equal">
      <formula>"Leadership"</formula>
    </cfRule>
  </conditionalFormatting>
  <conditionalFormatting sqref="X2">
    <cfRule type="cellIs" dxfId="154" priority="15" operator="equal">
      <formula>"Fellowship"</formula>
    </cfRule>
    <cfRule type="cellIs" dxfId="153" priority="16" operator="equal">
      <formula>"Neutral"</formula>
    </cfRule>
    <cfRule type="cellIs" dxfId="152" priority="17" operator="equal">
      <formula>"Baggins"</formula>
    </cfRule>
    <cfRule type="cellIs" dxfId="151" priority="18" operator="equal">
      <formula>"Lore"</formula>
    </cfRule>
    <cfRule type="cellIs" dxfId="150" priority="19" operator="equal">
      <formula>"Spirit"</formula>
    </cfRule>
    <cfRule type="cellIs" dxfId="149" priority="20" operator="equal">
      <formula>"Tactics"</formula>
    </cfRule>
    <cfRule type="cellIs" dxfId="148" priority="21" operator="equal">
      <formula>"Leadership"</formula>
    </cfRule>
  </conditionalFormatting>
  <conditionalFormatting sqref="Y2">
    <cfRule type="cellIs" dxfId="147" priority="8" operator="equal">
      <formula>"Fellowship"</formula>
    </cfRule>
    <cfRule type="cellIs" dxfId="146" priority="9" operator="equal">
      <formula>"Neutral"</formula>
    </cfRule>
    <cfRule type="cellIs" dxfId="145" priority="10" operator="equal">
      <formula>"Baggins"</formula>
    </cfRule>
    <cfRule type="cellIs" dxfId="144" priority="11" operator="equal">
      <formula>"Lore"</formula>
    </cfRule>
    <cfRule type="cellIs" dxfId="143" priority="12" operator="equal">
      <formula>"Spirit"</formula>
    </cfRule>
    <cfRule type="cellIs" dxfId="142" priority="13" operator="equal">
      <formula>"Tactics"</formula>
    </cfRule>
    <cfRule type="cellIs" dxfId="141" priority="14" operator="equal">
      <formula>"Leadership"</formula>
    </cfRule>
  </conditionalFormatting>
  <conditionalFormatting sqref="Z2">
    <cfRule type="cellIs" dxfId="140" priority="1" operator="equal">
      <formula>"Fellowship"</formula>
    </cfRule>
    <cfRule type="cellIs" dxfId="139" priority="2" operator="equal">
      <formula>"Neutral"</formula>
    </cfRule>
    <cfRule type="cellIs" dxfId="138" priority="3" operator="equal">
      <formula>"Baggins"</formula>
    </cfRule>
    <cfRule type="cellIs" dxfId="137" priority="4" operator="equal">
      <formula>"Lore"</formula>
    </cfRule>
    <cfRule type="cellIs" dxfId="136" priority="5" operator="equal">
      <formula>"Spirit"</formula>
    </cfRule>
    <cfRule type="cellIs" dxfId="135" priority="6" operator="equal">
      <formula>"Tactics"</formula>
    </cfRule>
    <cfRule type="cellIs" dxfId="13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3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71"/>
  <sheetViews>
    <sheetView workbookViewId="0">
      <pane xSplit="7" ySplit="1" topLeftCell="H1511" activePane="bottomRight" state="frozen"/>
      <selection activeCell="E1" sqref="E1"/>
      <selection pane="topRight" activeCell="F1" sqref="F1"/>
      <selection pane="bottomLeft" activeCell="E2" sqref="E2"/>
      <selection pane="bottomRight" activeCell="I1532" sqref="I1532"/>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7" t="s">
        <v>5665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5916</v>
      </c>
      <c r="AS1" s="21" t="s">
        <v>50</v>
      </c>
      <c r="AT1" s="21" t="s">
        <v>5917</v>
      </c>
      <c r="AU1" s="21" t="s">
        <v>5918</v>
      </c>
      <c r="AV1" s="21" t="s">
        <v>5919</v>
      </c>
    </row>
    <row r="2" spans="1:48" ht="24" x14ac:dyDescent="0.2">
      <c r="A2" s="132" t="s">
        <v>333</v>
      </c>
      <c r="B2" s="132" t="s">
        <v>334</v>
      </c>
      <c r="C2" s="132" t="s">
        <v>5691</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5920</v>
      </c>
    </row>
    <row r="3" spans="1:48" ht="24" x14ac:dyDescent="0.2">
      <c r="A3" s="1" t="s">
        <v>333</v>
      </c>
      <c r="B3" s="1" t="s">
        <v>339</v>
      </c>
      <c r="C3" s="1" t="s">
        <v>5691</v>
      </c>
      <c r="D3" s="48">
        <v>2</v>
      </c>
      <c r="E3" s="1">
        <v>1</v>
      </c>
      <c r="G3" s="1" t="s">
        <v>5887</v>
      </c>
      <c r="H3" s="1" t="s">
        <v>26</v>
      </c>
      <c r="I3" s="1" t="s">
        <v>27</v>
      </c>
      <c r="J3" s="1" t="s">
        <v>28</v>
      </c>
      <c r="K3" s="1" t="s">
        <v>340</v>
      </c>
      <c r="M3" s="18">
        <v>8</v>
      </c>
      <c r="P3" s="56">
        <v>1</v>
      </c>
      <c r="Q3" s="57">
        <v>2</v>
      </c>
      <c r="R3" s="58">
        <v>1</v>
      </c>
      <c r="S3" s="59">
        <v>4</v>
      </c>
      <c r="V3" s="4" t="s">
        <v>342</v>
      </c>
      <c r="AL3" s="60" t="s">
        <v>30</v>
      </c>
      <c r="AU3" s="1" t="s">
        <v>5921</v>
      </c>
    </row>
    <row r="4" spans="1:48" ht="24" x14ac:dyDescent="0.2">
      <c r="A4" s="1" t="s">
        <v>333</v>
      </c>
      <c r="B4" s="1" t="s">
        <v>343</v>
      </c>
      <c r="C4" s="1" t="s">
        <v>5691</v>
      </c>
      <c r="D4" s="48">
        <v>3</v>
      </c>
      <c r="E4" s="1">
        <v>1</v>
      </c>
      <c r="G4" s="1" t="s">
        <v>5888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5922</v>
      </c>
    </row>
    <row r="7" spans="1:48" ht="24" x14ac:dyDescent="0.2">
      <c r="A7" s="1" t="s">
        <v>333</v>
      </c>
      <c r="B7" s="1" t="s">
        <v>356</v>
      </c>
      <c r="C7" s="1" t="s">
        <v>5691</v>
      </c>
      <c r="D7" s="48">
        <v>6</v>
      </c>
      <c r="E7" s="1">
        <v>1</v>
      </c>
      <c r="G7" s="1" t="s">
        <v>357</v>
      </c>
      <c r="H7" s="1" t="s">
        <v>26</v>
      </c>
      <c r="I7" s="1" t="s">
        <v>27</v>
      </c>
      <c r="J7" s="1" t="s">
        <v>50</v>
      </c>
      <c r="K7" s="1" t="s">
        <v>358</v>
      </c>
      <c r="M7" s="18">
        <v>9</v>
      </c>
      <c r="P7" s="56">
        <v>1</v>
      </c>
      <c r="Q7" s="57">
        <v>2</v>
      </c>
      <c r="R7" s="58">
        <v>2</v>
      </c>
      <c r="S7" s="59">
        <v>4</v>
      </c>
      <c r="V7" s="4" t="s">
        <v>359</v>
      </c>
      <c r="AL7" s="60" t="s">
        <v>30</v>
      </c>
      <c r="AU7" s="1" t="s">
        <v>5923</v>
      </c>
    </row>
    <row r="8" spans="1:48" ht="36" x14ac:dyDescent="0.2">
      <c r="A8" s="1" t="s">
        <v>333</v>
      </c>
      <c r="B8" s="1" t="s">
        <v>360</v>
      </c>
      <c r="C8" s="1" t="s">
        <v>5691</v>
      </c>
      <c r="D8" s="48">
        <v>7</v>
      </c>
      <c r="E8" s="1">
        <v>1</v>
      </c>
      <c r="G8" s="1" t="s">
        <v>5889</v>
      </c>
      <c r="H8" s="1" t="s">
        <v>26</v>
      </c>
      <c r="I8" s="1" t="s">
        <v>27</v>
      </c>
      <c r="J8" s="1" t="s">
        <v>57</v>
      </c>
      <c r="K8" s="1" t="s">
        <v>361</v>
      </c>
      <c r="M8" s="18">
        <v>9</v>
      </c>
      <c r="P8" s="56">
        <v>4</v>
      </c>
      <c r="Q8" s="57">
        <v>1</v>
      </c>
      <c r="R8" s="58">
        <v>1</v>
      </c>
      <c r="S8" s="59">
        <v>3</v>
      </c>
      <c r="V8" s="4" t="s">
        <v>362</v>
      </c>
      <c r="AL8" s="60" t="s">
        <v>30</v>
      </c>
      <c r="AU8" s="1" t="s">
        <v>5924</v>
      </c>
    </row>
    <row r="9" spans="1:48" ht="36" x14ac:dyDescent="0.2">
      <c r="A9" s="1" t="s">
        <v>333</v>
      </c>
      <c r="B9" s="1" t="s">
        <v>363</v>
      </c>
      <c r="C9" s="1" t="s">
        <v>5691</v>
      </c>
      <c r="D9" s="48">
        <v>8</v>
      </c>
      <c r="E9" s="1">
        <v>1</v>
      </c>
      <c r="G9" s="1" t="s">
        <v>364</v>
      </c>
      <c r="H9" s="1" t="s">
        <v>26</v>
      </c>
      <c r="I9" s="1" t="s">
        <v>27</v>
      </c>
      <c r="J9" s="1" t="s">
        <v>57</v>
      </c>
      <c r="K9" s="1" t="s">
        <v>29</v>
      </c>
      <c r="M9" s="18">
        <v>7</v>
      </c>
      <c r="P9" s="56">
        <v>1</v>
      </c>
      <c r="Q9" s="57">
        <v>1</v>
      </c>
      <c r="R9" s="58">
        <v>2</v>
      </c>
      <c r="S9" s="59">
        <v>3</v>
      </c>
      <c r="V9" s="4" t="s">
        <v>365</v>
      </c>
      <c r="AL9" s="60" t="s">
        <v>30</v>
      </c>
      <c r="AU9" s="1" t="s">
        <v>5925</v>
      </c>
    </row>
    <row r="10" spans="1:48" ht="24" x14ac:dyDescent="0.2">
      <c r="A10" s="1" t="s">
        <v>333</v>
      </c>
      <c r="B10" s="1" t="s">
        <v>366</v>
      </c>
      <c r="C10" s="1" t="s">
        <v>5691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5926</v>
      </c>
    </row>
    <row r="11" spans="1:48" ht="24" x14ac:dyDescent="0.2">
      <c r="A11" s="1" t="s">
        <v>333</v>
      </c>
      <c r="B11" s="1" t="s">
        <v>370</v>
      </c>
      <c r="C11" s="1" t="s">
        <v>5691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5927</v>
      </c>
    </row>
    <row r="13" spans="1:48" ht="24" x14ac:dyDescent="0.2">
      <c r="A13" s="1" t="s">
        <v>333</v>
      </c>
      <c r="B13" s="1" t="s">
        <v>378</v>
      </c>
      <c r="C13" s="1" t="s">
        <v>5691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5928</v>
      </c>
    </row>
    <row r="14" spans="1:48" x14ac:dyDescent="0.2">
      <c r="A14" s="1" t="s">
        <v>333</v>
      </c>
      <c r="B14" s="1" t="s">
        <v>382</v>
      </c>
      <c r="C14" s="1" t="s">
        <v>5691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5929</v>
      </c>
      <c r="AU15" s="1" t="s">
        <v>5930</v>
      </c>
    </row>
    <row r="16" spans="1:48" ht="36" x14ac:dyDescent="0.2">
      <c r="A16" s="1" t="s">
        <v>333</v>
      </c>
      <c r="B16" s="1" t="s">
        <v>387</v>
      </c>
      <c r="C16" s="1" t="s">
        <v>5691</v>
      </c>
      <c r="D16" s="48">
        <v>15</v>
      </c>
      <c r="E16" s="1">
        <v>2</v>
      </c>
      <c r="G16" s="1" t="s">
        <v>388</v>
      </c>
      <c r="I16" s="1" t="s">
        <v>38</v>
      </c>
      <c r="J16" s="1" t="s">
        <v>28</v>
      </c>
      <c r="K16" s="1" t="s">
        <v>389</v>
      </c>
      <c r="M16" s="18">
        <v>3</v>
      </c>
      <c r="P16" s="56">
        <v>0</v>
      </c>
      <c r="Q16" s="57">
        <v>2</v>
      </c>
      <c r="R16" s="58">
        <v>0</v>
      </c>
      <c r="S16" s="59">
        <v>2</v>
      </c>
      <c r="V16" s="4" t="s">
        <v>390</v>
      </c>
      <c r="AL16" s="60" t="s">
        <v>30</v>
      </c>
      <c r="AR16" s="1" t="s">
        <v>5931</v>
      </c>
      <c r="AU16" s="1" t="s">
        <v>5932</v>
      </c>
    </row>
    <row r="17" spans="1:48" ht="24" x14ac:dyDescent="0.2">
      <c r="A17" s="1" t="s">
        <v>333</v>
      </c>
      <c r="B17" s="1" t="s">
        <v>391</v>
      </c>
      <c r="C17" s="1" t="s">
        <v>5691</v>
      </c>
      <c r="D17" s="48">
        <v>16</v>
      </c>
      <c r="E17" s="1">
        <v>3</v>
      </c>
      <c r="G17" s="1" t="s">
        <v>392</v>
      </c>
      <c r="I17" s="1" t="s">
        <v>38</v>
      </c>
      <c r="J17" s="1" t="s">
        <v>28</v>
      </c>
      <c r="K17" s="1" t="s">
        <v>393</v>
      </c>
      <c r="M17" s="18">
        <v>1</v>
      </c>
      <c r="P17" s="56">
        <v>0</v>
      </c>
      <c r="Q17" s="57">
        <v>0</v>
      </c>
      <c r="R17" s="58">
        <v>1</v>
      </c>
      <c r="S17" s="59">
        <v>1</v>
      </c>
      <c r="V17" s="4" t="s">
        <v>394</v>
      </c>
      <c r="AL17" s="60" t="s">
        <v>30</v>
      </c>
      <c r="AR17" s="1" t="s">
        <v>5933</v>
      </c>
      <c r="AU17" s="1" t="s">
        <v>5934</v>
      </c>
    </row>
    <row r="18" spans="1:48" x14ac:dyDescent="0.2">
      <c r="A18" s="1" t="s">
        <v>333</v>
      </c>
      <c r="B18" s="1" t="s">
        <v>395</v>
      </c>
      <c r="C18" s="1" t="s">
        <v>5691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5691</v>
      </c>
      <c r="D19" s="48">
        <v>18</v>
      </c>
      <c r="E19" s="1">
        <v>2</v>
      </c>
      <c r="G19" s="1" t="s">
        <v>399</v>
      </c>
      <c r="I19" s="1" t="s">
        <v>38</v>
      </c>
      <c r="J19" s="1" t="s">
        <v>28</v>
      </c>
      <c r="K19" s="1" t="s">
        <v>358</v>
      </c>
      <c r="M19" s="18">
        <v>4</v>
      </c>
      <c r="P19" s="56">
        <v>0</v>
      </c>
      <c r="Q19" s="57">
        <v>2</v>
      </c>
      <c r="R19" s="58">
        <v>1</v>
      </c>
      <c r="S19" s="59">
        <v>3</v>
      </c>
      <c r="V19" s="4" t="s">
        <v>400</v>
      </c>
      <c r="AL19" s="60" t="s">
        <v>30</v>
      </c>
      <c r="AR19" s="1" t="s">
        <v>5935</v>
      </c>
      <c r="AU19" s="1" t="s">
        <v>5936</v>
      </c>
    </row>
    <row r="20" spans="1:48" ht="24" x14ac:dyDescent="0.2">
      <c r="A20" s="1" t="s">
        <v>333</v>
      </c>
      <c r="B20" s="1" t="s">
        <v>401</v>
      </c>
      <c r="C20" s="1" t="s">
        <v>5691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5937</v>
      </c>
    </row>
    <row r="21" spans="1:48" x14ac:dyDescent="0.2">
      <c r="A21" s="1" t="s">
        <v>333</v>
      </c>
      <c r="B21" s="1" t="s">
        <v>404</v>
      </c>
      <c r="C21" s="1" t="s">
        <v>5691</v>
      </c>
      <c r="D21" s="48">
        <v>20</v>
      </c>
      <c r="E21" s="1">
        <v>2</v>
      </c>
      <c r="G21" s="1" t="s">
        <v>405</v>
      </c>
      <c r="I21" s="1" t="s">
        <v>63</v>
      </c>
      <c r="J21" s="1" t="s">
        <v>28</v>
      </c>
      <c r="M21" s="18">
        <v>1</v>
      </c>
      <c r="V21" s="4" t="s">
        <v>406</v>
      </c>
      <c r="AL21" s="60" t="s">
        <v>30</v>
      </c>
      <c r="AR21" s="1" t="s">
        <v>5938</v>
      </c>
      <c r="AU21" s="1" t="s">
        <v>5939</v>
      </c>
    </row>
    <row r="22" spans="1:48" ht="24" x14ac:dyDescent="0.2">
      <c r="A22" s="1" t="s">
        <v>333</v>
      </c>
      <c r="B22" s="1" t="s">
        <v>407</v>
      </c>
      <c r="C22" s="1" t="s">
        <v>5691</v>
      </c>
      <c r="D22" s="48">
        <v>21</v>
      </c>
      <c r="E22" s="1">
        <v>2</v>
      </c>
      <c r="G22" s="1" t="s">
        <v>408</v>
      </c>
      <c r="I22" s="1" t="s">
        <v>63</v>
      </c>
      <c r="J22" s="1" t="s">
        <v>28</v>
      </c>
      <c r="M22" s="18">
        <v>0</v>
      </c>
      <c r="V22" s="4" t="s">
        <v>409</v>
      </c>
      <c r="AL22" s="60" t="s">
        <v>30</v>
      </c>
      <c r="AR22" s="1" t="s">
        <v>5938</v>
      </c>
      <c r="AU22" s="1" t="s">
        <v>5940</v>
      </c>
    </row>
    <row r="23" spans="1:48" ht="24" x14ac:dyDescent="0.2">
      <c r="A23" s="1" t="s">
        <v>333</v>
      </c>
      <c r="B23" s="1" t="s">
        <v>410</v>
      </c>
      <c r="C23" s="1" t="s">
        <v>5691</v>
      </c>
      <c r="D23" s="48">
        <v>22</v>
      </c>
      <c r="E23" s="1">
        <v>2</v>
      </c>
      <c r="G23" s="1" t="s">
        <v>411</v>
      </c>
      <c r="I23" s="1" t="s">
        <v>63</v>
      </c>
      <c r="J23" s="1" t="s">
        <v>28</v>
      </c>
      <c r="M23" s="18">
        <v>2</v>
      </c>
      <c r="V23" s="4" t="s">
        <v>412</v>
      </c>
      <c r="AL23" s="60" t="s">
        <v>30</v>
      </c>
      <c r="AR23" s="1" t="s">
        <v>5941</v>
      </c>
      <c r="AU23" s="1" t="s">
        <v>5942</v>
      </c>
      <c r="AV23" s="1" t="s">
        <v>5943</v>
      </c>
    </row>
    <row r="24" spans="1:48" ht="24" x14ac:dyDescent="0.2">
      <c r="A24" s="1" t="s">
        <v>333</v>
      </c>
      <c r="B24" s="1" t="s">
        <v>413</v>
      </c>
      <c r="C24" s="1" t="s">
        <v>5691</v>
      </c>
      <c r="D24" s="48">
        <v>23</v>
      </c>
      <c r="E24" s="1">
        <v>2</v>
      </c>
      <c r="G24" s="1" t="s">
        <v>414</v>
      </c>
      <c r="I24" s="1" t="s">
        <v>63</v>
      </c>
      <c r="J24" s="1" t="s">
        <v>28</v>
      </c>
      <c r="M24" s="18">
        <v>1</v>
      </c>
      <c r="V24" s="4" t="s">
        <v>415</v>
      </c>
      <c r="AL24" s="60" t="s">
        <v>30</v>
      </c>
      <c r="AR24" s="1" t="s">
        <v>5944</v>
      </c>
      <c r="AU24" s="1" t="s">
        <v>5945</v>
      </c>
    </row>
    <row r="25" spans="1:48" ht="24" x14ac:dyDescent="0.2">
      <c r="A25" s="1" t="s">
        <v>333</v>
      </c>
      <c r="B25" s="1" t="s">
        <v>416</v>
      </c>
      <c r="C25" s="1" t="s">
        <v>5691</v>
      </c>
      <c r="D25" s="48">
        <v>24</v>
      </c>
      <c r="E25" s="1">
        <v>2</v>
      </c>
      <c r="G25" s="1" t="s">
        <v>417</v>
      </c>
      <c r="I25" s="1" t="s">
        <v>63</v>
      </c>
      <c r="J25" s="1" t="s">
        <v>28</v>
      </c>
      <c r="M25" s="18">
        <v>1</v>
      </c>
      <c r="V25" s="4" t="s">
        <v>418</v>
      </c>
      <c r="AL25" s="60" t="s">
        <v>30</v>
      </c>
      <c r="AR25" s="1" t="s">
        <v>5946</v>
      </c>
      <c r="AU25" s="1" t="s">
        <v>5947</v>
      </c>
      <c r="AV25" s="1" t="s">
        <v>5948</v>
      </c>
    </row>
    <row r="26" spans="1:48" x14ac:dyDescent="0.2">
      <c r="A26" s="1" t="s">
        <v>333</v>
      </c>
      <c r="B26" s="1" t="s">
        <v>419</v>
      </c>
      <c r="C26" s="1" t="s">
        <v>5691</v>
      </c>
      <c r="D26" s="48">
        <v>25</v>
      </c>
      <c r="E26" s="1">
        <v>1</v>
      </c>
      <c r="G26" s="1" t="s">
        <v>420</v>
      </c>
      <c r="I26" s="1" t="s">
        <v>63</v>
      </c>
      <c r="J26" s="1" t="s">
        <v>28</v>
      </c>
      <c r="M26" s="18">
        <v>5</v>
      </c>
      <c r="V26" s="4" t="s">
        <v>421</v>
      </c>
      <c r="AL26" s="60" t="s">
        <v>30</v>
      </c>
      <c r="AR26" s="1" t="s">
        <v>5938</v>
      </c>
      <c r="AU26" s="1" t="s">
        <v>5949</v>
      </c>
    </row>
    <row r="27" spans="1:48" ht="48" x14ac:dyDescent="0.2">
      <c r="A27" s="1" t="s">
        <v>333</v>
      </c>
      <c r="B27" s="1" t="s">
        <v>422</v>
      </c>
      <c r="C27" s="1" t="s">
        <v>5691</v>
      </c>
      <c r="D27" s="48">
        <v>26</v>
      </c>
      <c r="E27" s="1">
        <v>2</v>
      </c>
      <c r="G27" s="1" t="s">
        <v>423</v>
      </c>
      <c r="H27" s="1" t="s">
        <v>26</v>
      </c>
      <c r="I27" s="1" t="s">
        <v>56</v>
      </c>
      <c r="J27" s="1" t="s">
        <v>28</v>
      </c>
      <c r="K27" s="1" t="s">
        <v>424</v>
      </c>
      <c r="L27" s="2" t="s">
        <v>71</v>
      </c>
      <c r="M27" s="18">
        <v>2</v>
      </c>
      <c r="V27" s="4" t="s">
        <v>425</v>
      </c>
      <c r="AL27" s="60" t="s">
        <v>30</v>
      </c>
      <c r="AR27" s="1" t="s">
        <v>5950</v>
      </c>
      <c r="AU27" s="1" t="s">
        <v>5951</v>
      </c>
    </row>
    <row r="28" spans="1:48" ht="36" x14ac:dyDescent="0.2">
      <c r="A28" s="1" t="s">
        <v>333</v>
      </c>
      <c r="B28" s="1" t="s">
        <v>426</v>
      </c>
      <c r="C28" s="1" t="s">
        <v>5691</v>
      </c>
      <c r="D28" s="48">
        <v>27</v>
      </c>
      <c r="E28" s="1">
        <v>1</v>
      </c>
      <c r="G28" s="1" t="s">
        <v>5890</v>
      </c>
      <c r="H28" s="1" t="s">
        <v>26</v>
      </c>
      <c r="I28" s="1" t="s">
        <v>56</v>
      </c>
      <c r="J28" s="1" t="s">
        <v>28</v>
      </c>
      <c r="K28" s="1" t="s">
        <v>150</v>
      </c>
      <c r="L28" s="2" t="s">
        <v>427</v>
      </c>
      <c r="M28" s="18">
        <v>2</v>
      </c>
      <c r="V28" s="4" t="s">
        <v>428</v>
      </c>
      <c r="AL28" s="60" t="s">
        <v>30</v>
      </c>
      <c r="AR28" s="1" t="s">
        <v>5929</v>
      </c>
      <c r="AU28" s="1" t="s">
        <v>5952</v>
      </c>
    </row>
    <row r="29" spans="1:48" x14ac:dyDescent="0.2">
      <c r="A29" s="1" t="s">
        <v>333</v>
      </c>
      <c r="B29" s="1" t="s">
        <v>429</v>
      </c>
      <c r="C29" s="1" t="s">
        <v>5691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5953</v>
      </c>
      <c r="AT30" s="1" t="s">
        <v>5954</v>
      </c>
      <c r="AU30" s="1" t="s">
        <v>5955</v>
      </c>
    </row>
    <row r="31" spans="1:48" x14ac:dyDescent="0.2">
      <c r="A31" s="1" t="s">
        <v>333</v>
      </c>
      <c r="B31" s="1" t="s">
        <v>434</v>
      </c>
      <c r="C31" s="1" t="s">
        <v>5691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5956</v>
      </c>
      <c r="AT32" s="1" t="s">
        <v>12</v>
      </c>
      <c r="AU32" s="1" t="s">
        <v>5957</v>
      </c>
    </row>
    <row r="33" spans="1:47" ht="24" x14ac:dyDescent="0.2">
      <c r="A33" s="1" t="s">
        <v>333</v>
      </c>
      <c r="B33" s="1" t="s">
        <v>441</v>
      </c>
      <c r="C33" s="1" t="s">
        <v>5691</v>
      </c>
      <c r="D33" s="48">
        <v>32</v>
      </c>
      <c r="E33" s="1">
        <v>3</v>
      </c>
      <c r="G33" s="1" t="s">
        <v>442</v>
      </c>
      <c r="I33" s="1" t="s">
        <v>63</v>
      </c>
      <c r="J33" s="1" t="s">
        <v>50</v>
      </c>
      <c r="M33" s="18">
        <v>1</v>
      </c>
      <c r="V33" s="4" t="s">
        <v>443</v>
      </c>
      <c r="AL33" s="60" t="s">
        <v>30</v>
      </c>
      <c r="AR33" s="1" t="s">
        <v>5941</v>
      </c>
      <c r="AU33" s="1" t="s">
        <v>5958</v>
      </c>
    </row>
    <row r="34" spans="1:47" ht="36" x14ac:dyDescent="0.2">
      <c r="A34" s="1" t="s">
        <v>333</v>
      </c>
      <c r="B34" s="1" t="s">
        <v>444</v>
      </c>
      <c r="C34" s="1" t="s">
        <v>5691</v>
      </c>
      <c r="D34" s="48">
        <v>33</v>
      </c>
      <c r="E34" s="1">
        <v>2</v>
      </c>
      <c r="G34" s="1" t="s">
        <v>445</v>
      </c>
      <c r="I34" s="1" t="s">
        <v>63</v>
      </c>
      <c r="J34" s="1" t="s">
        <v>50</v>
      </c>
      <c r="M34" s="18">
        <v>1</v>
      </c>
      <c r="V34" s="4" t="s">
        <v>446</v>
      </c>
      <c r="AL34" s="60" t="s">
        <v>30</v>
      </c>
      <c r="AR34" s="1" t="s">
        <v>5953</v>
      </c>
      <c r="AU34" s="1" t="s">
        <v>5959</v>
      </c>
    </row>
    <row r="35" spans="1:47" ht="24" x14ac:dyDescent="0.2">
      <c r="A35" s="1" t="s">
        <v>333</v>
      </c>
      <c r="B35" s="1" t="s">
        <v>447</v>
      </c>
      <c r="C35" s="1" t="s">
        <v>5691</v>
      </c>
      <c r="D35" s="48">
        <v>34</v>
      </c>
      <c r="E35" s="1">
        <v>2</v>
      </c>
      <c r="G35" s="1" t="s">
        <v>448</v>
      </c>
      <c r="I35" s="1" t="s">
        <v>63</v>
      </c>
      <c r="J35" s="1" t="s">
        <v>50</v>
      </c>
      <c r="M35" s="18">
        <v>1</v>
      </c>
      <c r="V35" s="4" t="s">
        <v>449</v>
      </c>
      <c r="AL35" s="60" t="s">
        <v>30</v>
      </c>
      <c r="AR35" s="1" t="s">
        <v>5960</v>
      </c>
      <c r="AU35" s="1" t="s">
        <v>5961</v>
      </c>
    </row>
    <row r="36" spans="1:47" ht="24" x14ac:dyDescent="0.2">
      <c r="A36" s="1" t="s">
        <v>333</v>
      </c>
      <c r="B36" s="1" t="s">
        <v>450</v>
      </c>
      <c r="C36" s="1" t="s">
        <v>5691</v>
      </c>
      <c r="D36" s="48">
        <v>35</v>
      </c>
      <c r="E36" s="1">
        <v>2</v>
      </c>
      <c r="G36" s="1" t="s">
        <v>451</v>
      </c>
      <c r="I36" s="1" t="s">
        <v>63</v>
      </c>
      <c r="J36" s="1" t="s">
        <v>50</v>
      </c>
      <c r="M36" s="18">
        <v>1</v>
      </c>
      <c r="V36" s="4" t="s">
        <v>452</v>
      </c>
      <c r="AL36" s="60" t="s">
        <v>30</v>
      </c>
      <c r="AR36" s="1" t="s">
        <v>12</v>
      </c>
      <c r="AU36" s="1" t="s">
        <v>5962</v>
      </c>
    </row>
    <row r="37" spans="1:47" ht="60" x14ac:dyDescent="0.2">
      <c r="A37" s="1" t="s">
        <v>333</v>
      </c>
      <c r="B37" s="1" t="s">
        <v>453</v>
      </c>
      <c r="C37" s="1" t="s">
        <v>5691</v>
      </c>
      <c r="D37" s="48">
        <v>36</v>
      </c>
      <c r="E37" s="1">
        <v>2</v>
      </c>
      <c r="G37" s="1" t="s">
        <v>454</v>
      </c>
      <c r="I37" s="1" t="s">
        <v>63</v>
      </c>
      <c r="J37" s="1" t="s">
        <v>50</v>
      </c>
      <c r="M37" s="18">
        <v>3</v>
      </c>
      <c r="V37" s="4" t="s">
        <v>455</v>
      </c>
      <c r="AL37" s="60" t="s">
        <v>30</v>
      </c>
      <c r="AU37" s="1" t="s">
        <v>5963</v>
      </c>
    </row>
    <row r="38" spans="1:47" ht="24" x14ac:dyDescent="0.2">
      <c r="A38" s="1" t="s">
        <v>333</v>
      </c>
      <c r="B38" s="1" t="s">
        <v>456</v>
      </c>
      <c r="C38" s="1" t="s">
        <v>5691</v>
      </c>
      <c r="D38" s="48">
        <v>37</v>
      </c>
      <c r="E38" s="1">
        <v>1</v>
      </c>
      <c r="G38" s="1" t="s">
        <v>457</v>
      </c>
      <c r="I38" s="1" t="s">
        <v>63</v>
      </c>
      <c r="J38" s="1" t="s">
        <v>50</v>
      </c>
      <c r="M38" s="18">
        <v>2</v>
      </c>
      <c r="V38" s="4" t="s">
        <v>458</v>
      </c>
      <c r="AL38" s="60" t="s">
        <v>30</v>
      </c>
      <c r="AU38" s="1" t="s">
        <v>5964</v>
      </c>
    </row>
    <row r="39" spans="1:47" ht="36" x14ac:dyDescent="0.2">
      <c r="A39" s="1" t="s">
        <v>333</v>
      </c>
      <c r="B39" s="1" t="s">
        <v>459</v>
      </c>
      <c r="C39" s="1" t="s">
        <v>5691</v>
      </c>
      <c r="D39" s="48">
        <v>38</v>
      </c>
      <c r="E39" s="1">
        <v>1</v>
      </c>
      <c r="G39" s="1" t="s">
        <v>460</v>
      </c>
      <c r="I39" s="1" t="s">
        <v>63</v>
      </c>
      <c r="J39" s="1" t="s">
        <v>50</v>
      </c>
      <c r="M39" s="18">
        <v>0</v>
      </c>
      <c r="V39" s="4" t="s">
        <v>461</v>
      </c>
      <c r="AL39" s="60" t="s">
        <v>30</v>
      </c>
      <c r="AU39" s="1" t="s">
        <v>5965</v>
      </c>
    </row>
    <row r="40" spans="1:47" ht="48" x14ac:dyDescent="0.2">
      <c r="A40" s="1" t="s">
        <v>333</v>
      </c>
      <c r="B40" s="1" t="s">
        <v>462</v>
      </c>
      <c r="C40" s="1" t="s">
        <v>5691</v>
      </c>
      <c r="D40" s="48">
        <v>39</v>
      </c>
      <c r="E40" s="1">
        <v>2</v>
      </c>
      <c r="G40" s="1" t="s">
        <v>463</v>
      </c>
      <c r="I40" s="1" t="s">
        <v>56</v>
      </c>
      <c r="J40" s="1" t="s">
        <v>50</v>
      </c>
      <c r="K40" s="1" t="s">
        <v>196</v>
      </c>
      <c r="L40" s="2" t="s">
        <v>427</v>
      </c>
      <c r="M40" s="18">
        <v>1</v>
      </c>
      <c r="V40" s="4" t="s">
        <v>464</v>
      </c>
      <c r="AL40" s="60" t="s">
        <v>30</v>
      </c>
      <c r="AU40" s="1" t="s">
        <v>5966</v>
      </c>
    </row>
    <row r="41" spans="1:47" x14ac:dyDescent="0.2">
      <c r="A41" s="1" t="s">
        <v>333</v>
      </c>
      <c r="B41" s="1" t="s">
        <v>465</v>
      </c>
      <c r="C41" s="1" t="s">
        <v>5691</v>
      </c>
      <c r="D41" s="48">
        <v>40</v>
      </c>
      <c r="E41" s="1">
        <v>2</v>
      </c>
      <c r="G41" s="1" t="s">
        <v>466</v>
      </c>
      <c r="I41" s="1" t="s">
        <v>56</v>
      </c>
      <c r="J41" s="1" t="s">
        <v>50</v>
      </c>
      <c r="K41" s="1" t="s">
        <v>467</v>
      </c>
      <c r="L41" s="2" t="s">
        <v>427</v>
      </c>
      <c r="M41" s="18">
        <v>4</v>
      </c>
      <c r="V41" s="4" t="s">
        <v>468</v>
      </c>
      <c r="AL41" s="60" t="s">
        <v>30</v>
      </c>
      <c r="AU41" s="1" t="s">
        <v>5967</v>
      </c>
    </row>
    <row r="42" spans="1:47" ht="24" x14ac:dyDescent="0.2">
      <c r="A42" s="1" t="s">
        <v>333</v>
      </c>
      <c r="B42" s="1" t="s">
        <v>469</v>
      </c>
      <c r="C42" s="1" t="s">
        <v>5691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5691</v>
      </c>
      <c r="D43" s="48">
        <v>42</v>
      </c>
      <c r="E43" s="1">
        <v>1</v>
      </c>
      <c r="G43" s="1" t="s">
        <v>473</v>
      </c>
      <c r="H43" s="1" t="s">
        <v>26</v>
      </c>
      <c r="I43" s="1" t="s">
        <v>56</v>
      </c>
      <c r="J43" s="1" t="s">
        <v>50</v>
      </c>
      <c r="K43" s="1" t="s">
        <v>474</v>
      </c>
      <c r="L43" s="2" t="s">
        <v>427</v>
      </c>
      <c r="M43" s="18">
        <v>1</v>
      </c>
      <c r="V43" s="4" t="s">
        <v>475</v>
      </c>
      <c r="AL43" s="60" t="s">
        <v>30</v>
      </c>
      <c r="AU43" s="1" t="s">
        <v>5968</v>
      </c>
    </row>
    <row r="44" spans="1:47" ht="24" x14ac:dyDescent="0.2">
      <c r="A44" s="1" t="s">
        <v>333</v>
      </c>
      <c r="B44" s="1" t="s">
        <v>476</v>
      </c>
      <c r="C44" s="1" t="s">
        <v>5691</v>
      </c>
      <c r="D44" s="48">
        <v>43</v>
      </c>
      <c r="E44" s="1">
        <v>2</v>
      </c>
      <c r="G44" s="1" t="s">
        <v>477</v>
      </c>
      <c r="I44" s="1" t="s">
        <v>38</v>
      </c>
      <c r="J44" s="1" t="s">
        <v>57</v>
      </c>
      <c r="K44" s="1" t="s">
        <v>242</v>
      </c>
      <c r="M44" s="18">
        <v>2</v>
      </c>
      <c r="P44" s="56">
        <v>1</v>
      </c>
      <c r="Q44" s="57">
        <v>1</v>
      </c>
      <c r="R44" s="58">
        <v>1</v>
      </c>
      <c r="S44" s="59">
        <v>2</v>
      </c>
      <c r="V44" s="4" t="s">
        <v>478</v>
      </c>
      <c r="AL44" s="60" t="s">
        <v>30</v>
      </c>
      <c r="AU44" s="1" t="s">
        <v>5969</v>
      </c>
    </row>
    <row r="45" spans="1:47" ht="24" x14ac:dyDescent="0.2">
      <c r="A45" s="1" t="s">
        <v>333</v>
      </c>
      <c r="B45" s="1" t="s">
        <v>479</v>
      </c>
      <c r="C45" s="1" t="s">
        <v>5691</v>
      </c>
      <c r="D45" s="48">
        <v>44</v>
      </c>
      <c r="E45" s="1">
        <v>3</v>
      </c>
      <c r="G45" s="1" t="s">
        <v>480</v>
      </c>
      <c r="I45" s="1" t="s">
        <v>38</v>
      </c>
      <c r="J45" s="1" t="s">
        <v>57</v>
      </c>
      <c r="K45" s="1" t="s">
        <v>481</v>
      </c>
      <c r="M45" s="18">
        <v>3</v>
      </c>
      <c r="P45" s="56">
        <v>1</v>
      </c>
      <c r="Q45" s="57">
        <v>1</v>
      </c>
      <c r="R45" s="58">
        <v>0</v>
      </c>
      <c r="S45" s="59">
        <v>2</v>
      </c>
      <c r="V45" s="4" t="s">
        <v>482</v>
      </c>
      <c r="AL45" s="60" t="s">
        <v>30</v>
      </c>
      <c r="AT45" s="1" t="s">
        <v>5933</v>
      </c>
      <c r="AU45" s="1" t="s">
        <v>5970</v>
      </c>
    </row>
    <row r="46" spans="1:47" ht="24" x14ac:dyDescent="0.2">
      <c r="A46" s="1" t="s">
        <v>333</v>
      </c>
      <c r="B46" s="1" t="s">
        <v>483</v>
      </c>
      <c r="C46" s="1" t="s">
        <v>5691</v>
      </c>
      <c r="D46" s="48">
        <v>45</v>
      </c>
      <c r="E46" s="1">
        <v>2</v>
      </c>
      <c r="G46" s="1" t="s">
        <v>484</v>
      </c>
      <c r="I46" s="1" t="s">
        <v>38</v>
      </c>
      <c r="J46" s="1" t="s">
        <v>57</v>
      </c>
      <c r="K46" s="1" t="s">
        <v>380</v>
      </c>
      <c r="M46" s="18">
        <v>4</v>
      </c>
      <c r="P46" s="56">
        <v>1</v>
      </c>
      <c r="Q46" s="57">
        <v>2</v>
      </c>
      <c r="R46" s="58">
        <v>2</v>
      </c>
      <c r="S46" s="59">
        <v>3</v>
      </c>
      <c r="V46" s="4" t="s">
        <v>485</v>
      </c>
      <c r="AL46" s="60" t="s">
        <v>30</v>
      </c>
      <c r="AT46" s="1" t="s">
        <v>5933</v>
      </c>
      <c r="AU46" s="1" t="s">
        <v>5971</v>
      </c>
    </row>
    <row r="47" spans="1:47" ht="24" x14ac:dyDescent="0.2">
      <c r="A47" s="1" t="s">
        <v>333</v>
      </c>
      <c r="B47" s="1" t="s">
        <v>486</v>
      </c>
      <c r="C47" s="1" t="s">
        <v>5691</v>
      </c>
      <c r="D47" s="48">
        <v>46</v>
      </c>
      <c r="E47" s="1">
        <v>2</v>
      </c>
      <c r="G47" s="1" t="s">
        <v>487</v>
      </c>
      <c r="I47" s="1" t="s">
        <v>63</v>
      </c>
      <c r="J47" s="1" t="s">
        <v>57</v>
      </c>
      <c r="M47" s="18">
        <v>3</v>
      </c>
      <c r="V47" s="4" t="s">
        <v>488</v>
      </c>
      <c r="AL47" s="60" t="s">
        <v>30</v>
      </c>
    </row>
    <row r="48" spans="1:47" ht="24" x14ac:dyDescent="0.2">
      <c r="A48" s="1" t="s">
        <v>333</v>
      </c>
      <c r="B48" s="1" t="s">
        <v>489</v>
      </c>
      <c r="C48" s="1" t="s">
        <v>5691</v>
      </c>
      <c r="D48" s="48">
        <v>47</v>
      </c>
      <c r="E48" s="1">
        <v>2</v>
      </c>
      <c r="G48" s="1" t="s">
        <v>490</v>
      </c>
      <c r="I48" s="1" t="s">
        <v>63</v>
      </c>
      <c r="J48" s="1" t="s">
        <v>57</v>
      </c>
      <c r="M48" s="18">
        <v>0</v>
      </c>
      <c r="V48" s="4" t="s">
        <v>491</v>
      </c>
      <c r="AL48" s="60" t="s">
        <v>30</v>
      </c>
      <c r="AU48" s="1" t="s">
        <v>5972</v>
      </c>
    </row>
    <row r="49" spans="1:48" x14ac:dyDescent="0.2">
      <c r="A49" s="1" t="s">
        <v>333</v>
      </c>
      <c r="B49" s="1" t="s">
        <v>492</v>
      </c>
      <c r="C49" s="1" t="s">
        <v>5691</v>
      </c>
      <c r="D49" s="48">
        <v>48</v>
      </c>
      <c r="E49" s="1">
        <v>2</v>
      </c>
      <c r="G49" s="1" t="s">
        <v>493</v>
      </c>
      <c r="I49" s="1" t="s">
        <v>63</v>
      </c>
      <c r="J49" s="1" t="s">
        <v>57</v>
      </c>
      <c r="M49" s="18">
        <v>1</v>
      </c>
      <c r="V49" s="4" t="s">
        <v>494</v>
      </c>
      <c r="AL49" s="60" t="s">
        <v>30</v>
      </c>
    </row>
    <row r="50" spans="1:48" ht="24" x14ac:dyDescent="0.2">
      <c r="A50" s="1" t="s">
        <v>333</v>
      </c>
      <c r="B50" s="1" t="s">
        <v>495</v>
      </c>
      <c r="C50" s="1" t="s">
        <v>5691</v>
      </c>
      <c r="D50" s="48">
        <v>49</v>
      </c>
      <c r="E50" s="1">
        <v>2</v>
      </c>
      <c r="G50" s="1" t="s">
        <v>496</v>
      </c>
      <c r="I50" s="1" t="s">
        <v>63</v>
      </c>
      <c r="J50" s="1" t="s">
        <v>57</v>
      </c>
      <c r="M50" s="18">
        <v>1</v>
      </c>
      <c r="V50" s="4" t="s">
        <v>497</v>
      </c>
      <c r="AL50" s="60" t="s">
        <v>30</v>
      </c>
      <c r="AU50" s="1" t="s">
        <v>5973</v>
      </c>
    </row>
    <row r="51" spans="1:48" ht="24" x14ac:dyDescent="0.2">
      <c r="A51" s="1" t="s">
        <v>333</v>
      </c>
      <c r="B51" s="1" t="s">
        <v>498</v>
      </c>
      <c r="C51" s="1" t="s">
        <v>5691</v>
      </c>
      <c r="D51" s="48">
        <v>50</v>
      </c>
      <c r="E51" s="1">
        <v>2</v>
      </c>
      <c r="G51" s="1" t="s">
        <v>499</v>
      </c>
      <c r="I51" s="1" t="s">
        <v>63</v>
      </c>
      <c r="J51" s="1" t="s">
        <v>57</v>
      </c>
      <c r="M51" s="18">
        <v>1</v>
      </c>
      <c r="V51" s="4" t="s">
        <v>500</v>
      </c>
      <c r="AL51" s="60" t="s">
        <v>30</v>
      </c>
      <c r="AU51" s="1" t="s">
        <v>5974</v>
      </c>
    </row>
    <row r="52" spans="1:48" ht="36" x14ac:dyDescent="0.2">
      <c r="A52" s="1" t="s">
        <v>333</v>
      </c>
      <c r="B52" s="1" t="s">
        <v>501</v>
      </c>
      <c r="C52" s="1" t="s">
        <v>5691</v>
      </c>
      <c r="D52" s="48">
        <v>51</v>
      </c>
      <c r="E52" s="1">
        <v>3</v>
      </c>
      <c r="G52" s="1" t="s">
        <v>502</v>
      </c>
      <c r="I52" s="1" t="s">
        <v>63</v>
      </c>
      <c r="J52" s="1" t="s">
        <v>57</v>
      </c>
      <c r="M52" s="18" t="s">
        <v>113</v>
      </c>
      <c r="V52" s="4" t="s">
        <v>503</v>
      </c>
      <c r="AL52" s="60" t="s">
        <v>30</v>
      </c>
      <c r="AU52" s="1" t="s">
        <v>5975</v>
      </c>
      <c r="AV52" s="1" t="s">
        <v>5976</v>
      </c>
    </row>
    <row r="53" spans="1:48" ht="24" x14ac:dyDescent="0.2">
      <c r="A53" s="1" t="s">
        <v>333</v>
      </c>
      <c r="B53" s="1" t="s">
        <v>504</v>
      </c>
      <c r="C53" s="1" t="s">
        <v>5691</v>
      </c>
      <c r="D53" s="48">
        <v>52</v>
      </c>
      <c r="E53" s="1">
        <v>2</v>
      </c>
      <c r="G53" s="1" t="s">
        <v>505</v>
      </c>
      <c r="I53" s="1" t="s">
        <v>63</v>
      </c>
      <c r="J53" s="1" t="s">
        <v>57</v>
      </c>
      <c r="M53" s="18">
        <v>2</v>
      </c>
      <c r="V53" s="4" t="s">
        <v>506</v>
      </c>
      <c r="AL53" s="60" t="s">
        <v>30</v>
      </c>
      <c r="AU53" s="1" t="s">
        <v>5977</v>
      </c>
    </row>
    <row r="54" spans="1:48" x14ac:dyDescent="0.2">
      <c r="A54" s="1" t="s">
        <v>333</v>
      </c>
      <c r="B54" s="1" t="s">
        <v>507</v>
      </c>
      <c r="C54" s="1" t="s">
        <v>5691</v>
      </c>
      <c r="D54" s="48">
        <v>53</v>
      </c>
      <c r="E54" s="1">
        <v>1</v>
      </c>
      <c r="G54" s="1" t="s">
        <v>508</v>
      </c>
      <c r="I54" s="1" t="s">
        <v>63</v>
      </c>
      <c r="J54" s="1" t="s">
        <v>57</v>
      </c>
      <c r="M54" s="18">
        <v>1</v>
      </c>
      <c r="V54" s="4" t="s">
        <v>509</v>
      </c>
      <c r="AL54" s="60" t="s">
        <v>30</v>
      </c>
      <c r="AU54" s="1" t="s">
        <v>5978</v>
      </c>
    </row>
    <row r="55" spans="1:48" ht="24" x14ac:dyDescent="0.2">
      <c r="A55" s="1" t="s">
        <v>333</v>
      </c>
      <c r="B55" s="1" t="s">
        <v>510</v>
      </c>
      <c r="C55" s="1" t="s">
        <v>5691</v>
      </c>
      <c r="D55" s="48">
        <v>54</v>
      </c>
      <c r="E55" s="1">
        <v>1</v>
      </c>
      <c r="G55" s="1" t="s">
        <v>511</v>
      </c>
      <c r="I55" s="1" t="s">
        <v>63</v>
      </c>
      <c r="J55" s="1" t="s">
        <v>57</v>
      </c>
      <c r="M55" s="18">
        <v>5</v>
      </c>
      <c r="V55" s="4" t="s">
        <v>512</v>
      </c>
      <c r="AL55" s="60" t="s">
        <v>30</v>
      </c>
      <c r="AU55" s="1" t="s">
        <v>5979</v>
      </c>
      <c r="AV55" s="1" t="s">
        <v>5980</v>
      </c>
    </row>
    <row r="56" spans="1:48" x14ac:dyDescent="0.2">
      <c r="A56" s="1" t="s">
        <v>333</v>
      </c>
      <c r="B56" s="1" t="s">
        <v>513</v>
      </c>
      <c r="C56" s="1" t="s">
        <v>5691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5691</v>
      </c>
      <c r="D57" s="48">
        <v>56</v>
      </c>
      <c r="E57" s="1">
        <v>2</v>
      </c>
      <c r="G57" s="1" t="s">
        <v>517</v>
      </c>
      <c r="I57" s="1" t="s">
        <v>56</v>
      </c>
      <c r="J57" s="1" t="s">
        <v>57</v>
      </c>
      <c r="K57" s="1" t="s">
        <v>261</v>
      </c>
      <c r="L57" s="2" t="s">
        <v>59</v>
      </c>
      <c r="M57" s="18">
        <v>1</v>
      </c>
      <c r="V57" s="4" t="s">
        <v>518</v>
      </c>
      <c r="AL57" s="60" t="s">
        <v>30</v>
      </c>
      <c r="AU57" s="1" t="s">
        <v>5981</v>
      </c>
    </row>
    <row r="58" spans="1:48" x14ac:dyDescent="0.2">
      <c r="A58" s="1" t="s">
        <v>333</v>
      </c>
      <c r="B58" s="1" t="s">
        <v>519</v>
      </c>
      <c r="C58" s="1" t="s">
        <v>5691</v>
      </c>
      <c r="D58" s="48">
        <v>57</v>
      </c>
      <c r="E58" s="1">
        <v>1</v>
      </c>
      <c r="G58" s="1" t="s">
        <v>520</v>
      </c>
      <c r="I58" s="1" t="s">
        <v>56</v>
      </c>
      <c r="J58" s="1" t="s">
        <v>57</v>
      </c>
      <c r="K58" s="1" t="s">
        <v>261</v>
      </c>
      <c r="L58" s="2" t="s">
        <v>71</v>
      </c>
      <c r="M58" s="18">
        <v>2</v>
      </c>
      <c r="V58" s="4" t="s">
        <v>521</v>
      </c>
      <c r="AL58" s="60" t="s">
        <v>30</v>
      </c>
      <c r="AU58" s="1" t="s">
        <v>5982</v>
      </c>
    </row>
    <row r="59" spans="1:48" ht="24" x14ac:dyDescent="0.2">
      <c r="A59" s="1" t="s">
        <v>333</v>
      </c>
      <c r="B59" s="1" t="s">
        <v>522</v>
      </c>
      <c r="C59" s="1" t="s">
        <v>5691</v>
      </c>
      <c r="D59" s="48">
        <v>58</v>
      </c>
      <c r="E59" s="1">
        <v>3</v>
      </c>
      <c r="G59" s="1" t="s">
        <v>523</v>
      </c>
      <c r="I59" s="1" t="s">
        <v>38</v>
      </c>
      <c r="J59" s="1" t="s">
        <v>39</v>
      </c>
      <c r="K59" s="1" t="s">
        <v>40</v>
      </c>
      <c r="M59" s="18">
        <v>3</v>
      </c>
      <c r="P59" s="56">
        <v>1</v>
      </c>
      <c r="Q59" s="57">
        <v>0</v>
      </c>
      <c r="R59" s="58">
        <v>0</v>
      </c>
      <c r="S59" s="59">
        <v>1</v>
      </c>
      <c r="V59" s="4" t="s">
        <v>524</v>
      </c>
      <c r="AL59" s="60" t="s">
        <v>30</v>
      </c>
      <c r="AT59" s="1" t="s">
        <v>5983</v>
      </c>
      <c r="AU59" s="1" t="s">
        <v>5984</v>
      </c>
    </row>
    <row r="60" spans="1:48" ht="24" x14ac:dyDescent="0.2">
      <c r="A60" s="1" t="s">
        <v>333</v>
      </c>
      <c r="B60" s="1" t="s">
        <v>525</v>
      </c>
      <c r="C60" s="1" t="s">
        <v>5691</v>
      </c>
      <c r="D60" s="48">
        <v>59</v>
      </c>
      <c r="E60" s="1">
        <v>2</v>
      </c>
      <c r="G60" s="1" t="s">
        <v>526</v>
      </c>
      <c r="I60" s="1" t="s">
        <v>38</v>
      </c>
      <c r="J60" s="1" t="s">
        <v>39</v>
      </c>
      <c r="K60" s="1" t="s">
        <v>527</v>
      </c>
      <c r="M60" s="18">
        <v>2</v>
      </c>
      <c r="P60" s="56">
        <v>1</v>
      </c>
      <c r="Q60" s="57">
        <v>1</v>
      </c>
      <c r="R60" s="58">
        <v>1</v>
      </c>
      <c r="S60" s="59">
        <v>3</v>
      </c>
      <c r="V60" s="4" t="s">
        <v>528</v>
      </c>
      <c r="AL60" s="60" t="s">
        <v>30</v>
      </c>
      <c r="AT60" s="1" t="s">
        <v>5985</v>
      </c>
      <c r="AU60" s="1" t="s">
        <v>5986</v>
      </c>
    </row>
    <row r="61" spans="1:48" ht="24" x14ac:dyDescent="0.2">
      <c r="A61" s="1" t="s">
        <v>333</v>
      </c>
      <c r="B61" s="1" t="s">
        <v>529</v>
      </c>
      <c r="C61" s="1" t="s">
        <v>5691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5987</v>
      </c>
    </row>
    <row r="62" spans="1:48" ht="24" x14ac:dyDescent="0.2">
      <c r="A62" s="1" t="s">
        <v>333</v>
      </c>
      <c r="B62" s="1" t="s">
        <v>532</v>
      </c>
      <c r="C62" s="1" t="s">
        <v>5691</v>
      </c>
      <c r="D62" s="48">
        <v>61</v>
      </c>
      <c r="E62" s="1">
        <v>2</v>
      </c>
      <c r="G62" s="1" t="s">
        <v>533</v>
      </c>
      <c r="I62" s="1" t="s">
        <v>38</v>
      </c>
      <c r="J62" s="1" t="s">
        <v>39</v>
      </c>
      <c r="K62" s="1" t="s">
        <v>283</v>
      </c>
      <c r="M62" s="18">
        <v>2</v>
      </c>
      <c r="P62" s="56">
        <v>0</v>
      </c>
      <c r="Q62" s="57">
        <v>1</v>
      </c>
      <c r="R62" s="58">
        <v>1</v>
      </c>
      <c r="S62" s="59">
        <v>2</v>
      </c>
      <c r="V62" s="4" t="s">
        <v>534</v>
      </c>
      <c r="AL62" s="60" t="s">
        <v>30</v>
      </c>
      <c r="AT62" s="1" t="s">
        <v>5988</v>
      </c>
      <c r="AU62" s="1" t="s">
        <v>5989</v>
      </c>
    </row>
    <row r="63" spans="1:48" ht="24" x14ac:dyDescent="0.2">
      <c r="A63" s="1" t="s">
        <v>333</v>
      </c>
      <c r="B63" s="1" t="s">
        <v>535</v>
      </c>
      <c r="C63" s="1" t="s">
        <v>5691</v>
      </c>
      <c r="D63" s="48">
        <v>62</v>
      </c>
      <c r="E63" s="1">
        <v>2</v>
      </c>
      <c r="G63" s="1" t="s">
        <v>5891</v>
      </c>
      <c r="H63" s="1" t="s">
        <v>26</v>
      </c>
      <c r="I63" s="1" t="s">
        <v>38</v>
      </c>
      <c r="J63" s="1" t="s">
        <v>39</v>
      </c>
      <c r="K63" s="1" t="s">
        <v>536</v>
      </c>
      <c r="M63" s="18">
        <v>2</v>
      </c>
      <c r="P63" s="56">
        <v>1</v>
      </c>
      <c r="Q63" s="57">
        <v>0</v>
      </c>
      <c r="R63" s="58">
        <v>0</v>
      </c>
      <c r="S63" s="59">
        <v>2</v>
      </c>
      <c r="V63" s="4" t="s">
        <v>537</v>
      </c>
      <c r="AL63" s="60" t="s">
        <v>30</v>
      </c>
      <c r="AT63" s="1" t="s">
        <v>5946</v>
      </c>
    </row>
    <row r="64" spans="1:48" x14ac:dyDescent="0.2">
      <c r="A64" s="1" t="s">
        <v>333</v>
      </c>
      <c r="B64" s="1" t="s">
        <v>538</v>
      </c>
      <c r="C64" s="1" t="s">
        <v>5691</v>
      </c>
      <c r="D64" s="48">
        <v>63</v>
      </c>
      <c r="E64" s="1">
        <v>3</v>
      </c>
      <c r="G64" s="1" t="s">
        <v>539</v>
      </c>
      <c r="I64" s="1" t="s">
        <v>63</v>
      </c>
      <c r="J64" s="1" t="s">
        <v>39</v>
      </c>
      <c r="M64" s="18">
        <v>2</v>
      </c>
      <c r="V64" s="4" t="s">
        <v>540</v>
      </c>
      <c r="AL64" s="60" t="s">
        <v>30</v>
      </c>
      <c r="AU64" s="1" t="s">
        <v>5984</v>
      </c>
    </row>
    <row r="65" spans="1:47" x14ac:dyDescent="0.2">
      <c r="A65" s="1" t="s">
        <v>333</v>
      </c>
      <c r="B65" s="1" t="s">
        <v>541</v>
      </c>
      <c r="C65" s="1" t="s">
        <v>5691</v>
      </c>
      <c r="D65" s="48">
        <v>64</v>
      </c>
      <c r="E65" s="1">
        <v>2</v>
      </c>
      <c r="G65" s="1" t="s">
        <v>5892</v>
      </c>
      <c r="I65" s="1" t="s">
        <v>63</v>
      </c>
      <c r="J65" s="1" t="s">
        <v>39</v>
      </c>
      <c r="M65" s="18">
        <v>3</v>
      </c>
      <c r="V65" s="4" t="s">
        <v>542</v>
      </c>
      <c r="AL65" s="60" t="s">
        <v>30</v>
      </c>
    </row>
    <row r="66" spans="1:47" ht="24" x14ac:dyDescent="0.2">
      <c r="A66" s="1" t="s">
        <v>333</v>
      </c>
      <c r="B66" s="1" t="s">
        <v>543</v>
      </c>
      <c r="C66" s="1" t="s">
        <v>5691</v>
      </c>
      <c r="D66" s="48">
        <v>65</v>
      </c>
      <c r="E66" s="1">
        <v>2</v>
      </c>
      <c r="G66" s="1" t="s">
        <v>544</v>
      </c>
      <c r="I66" s="1" t="s">
        <v>63</v>
      </c>
      <c r="J66" s="1" t="s">
        <v>39</v>
      </c>
      <c r="M66" s="18">
        <v>1</v>
      </c>
      <c r="V66" s="4" t="s">
        <v>545</v>
      </c>
      <c r="AL66" s="60" t="s">
        <v>30</v>
      </c>
    </row>
    <row r="67" spans="1:47" ht="24" x14ac:dyDescent="0.2">
      <c r="A67" s="1" t="s">
        <v>333</v>
      </c>
      <c r="B67" s="1" t="s">
        <v>546</v>
      </c>
      <c r="C67" s="1" t="s">
        <v>5691</v>
      </c>
      <c r="D67" s="48">
        <v>66</v>
      </c>
      <c r="E67" s="1">
        <v>2</v>
      </c>
      <c r="G67" s="1" t="s">
        <v>547</v>
      </c>
      <c r="I67" s="1" t="s">
        <v>63</v>
      </c>
      <c r="J67" s="1" t="s">
        <v>39</v>
      </c>
      <c r="M67" s="18">
        <v>1</v>
      </c>
      <c r="V67" s="4" t="s">
        <v>548</v>
      </c>
      <c r="AL67" s="60" t="s">
        <v>30</v>
      </c>
    </row>
    <row r="68" spans="1:47" ht="36" x14ac:dyDescent="0.2">
      <c r="A68" s="1" t="s">
        <v>333</v>
      </c>
      <c r="B68" s="1" t="s">
        <v>549</v>
      </c>
      <c r="C68" s="1" t="s">
        <v>5691</v>
      </c>
      <c r="D68" s="48">
        <v>67</v>
      </c>
      <c r="E68" s="1">
        <v>2</v>
      </c>
      <c r="G68" s="1" t="s">
        <v>550</v>
      </c>
      <c r="I68" s="1" t="s">
        <v>63</v>
      </c>
      <c r="J68" s="1" t="s">
        <v>39</v>
      </c>
      <c r="M68" s="18" t="s">
        <v>113</v>
      </c>
      <c r="V68" s="4" t="s">
        <v>551</v>
      </c>
      <c r="AL68" s="60" t="s">
        <v>30</v>
      </c>
      <c r="AU68" s="1" t="s">
        <v>5990</v>
      </c>
    </row>
    <row r="69" spans="1:47" ht="24" x14ac:dyDescent="0.2">
      <c r="A69" s="1" t="s">
        <v>333</v>
      </c>
      <c r="B69" s="1" t="s">
        <v>552</v>
      </c>
      <c r="C69" s="1" t="s">
        <v>5691</v>
      </c>
      <c r="D69" s="48">
        <v>68</v>
      </c>
      <c r="E69" s="1">
        <v>1</v>
      </c>
      <c r="G69" s="1" t="s">
        <v>553</v>
      </c>
      <c r="I69" s="1" t="s">
        <v>63</v>
      </c>
      <c r="J69" s="1" t="s">
        <v>39</v>
      </c>
      <c r="M69" s="18">
        <v>5</v>
      </c>
      <c r="V69" s="4" t="s">
        <v>554</v>
      </c>
      <c r="AL69" s="60" t="s">
        <v>30</v>
      </c>
      <c r="AU69" s="1" t="s">
        <v>5991</v>
      </c>
    </row>
    <row r="70" spans="1:47" x14ac:dyDescent="0.2">
      <c r="A70" s="1" t="s">
        <v>333</v>
      </c>
      <c r="B70" s="1" t="s">
        <v>555</v>
      </c>
      <c r="C70" s="1" t="s">
        <v>5691</v>
      </c>
      <c r="D70" s="48">
        <v>69</v>
      </c>
      <c r="E70" s="1">
        <v>2</v>
      </c>
      <c r="G70" s="1" t="s">
        <v>556</v>
      </c>
      <c r="I70" s="1" t="s">
        <v>56</v>
      </c>
      <c r="J70" s="1" t="s">
        <v>39</v>
      </c>
      <c r="K70" s="1" t="s">
        <v>557</v>
      </c>
      <c r="L70" s="2" t="s">
        <v>558</v>
      </c>
      <c r="M70" s="18">
        <v>3</v>
      </c>
      <c r="V70" s="4" t="s">
        <v>559</v>
      </c>
      <c r="AL70" s="60" t="s">
        <v>30</v>
      </c>
      <c r="AU70" s="1" t="s">
        <v>5992</v>
      </c>
    </row>
    <row r="71" spans="1:47" ht="24" x14ac:dyDescent="0.2">
      <c r="A71" s="1" t="s">
        <v>333</v>
      </c>
      <c r="B71" s="1" t="s">
        <v>560</v>
      </c>
      <c r="C71" s="1" t="s">
        <v>5691</v>
      </c>
      <c r="D71" s="48">
        <v>70</v>
      </c>
      <c r="E71" s="1">
        <v>2</v>
      </c>
      <c r="G71" s="1" t="s">
        <v>5893</v>
      </c>
      <c r="I71" s="1" t="s">
        <v>56</v>
      </c>
      <c r="J71" s="1" t="s">
        <v>39</v>
      </c>
      <c r="K71" s="1" t="s">
        <v>298</v>
      </c>
      <c r="L71" s="2" t="s">
        <v>71</v>
      </c>
      <c r="M71" s="18">
        <v>1</v>
      </c>
      <c r="V71" s="4" t="s">
        <v>561</v>
      </c>
      <c r="AL71" s="60" t="s">
        <v>30</v>
      </c>
      <c r="AU71" s="1" t="s">
        <v>5993</v>
      </c>
    </row>
    <row r="72" spans="1:47" ht="24" x14ac:dyDescent="0.2">
      <c r="A72" s="1" t="s">
        <v>333</v>
      </c>
      <c r="B72" s="1" t="s">
        <v>562</v>
      </c>
      <c r="C72" s="1" t="s">
        <v>5691</v>
      </c>
      <c r="D72" s="48">
        <v>71</v>
      </c>
      <c r="E72" s="1">
        <v>1</v>
      </c>
      <c r="G72" s="1" t="s">
        <v>563</v>
      </c>
      <c r="I72" s="1" t="s">
        <v>56</v>
      </c>
      <c r="J72" s="1" t="s">
        <v>39</v>
      </c>
      <c r="K72" s="1" t="s">
        <v>261</v>
      </c>
      <c r="L72" s="2" t="s">
        <v>564</v>
      </c>
      <c r="M72" s="18">
        <v>1</v>
      </c>
      <c r="V72" s="4" t="s">
        <v>565</v>
      </c>
      <c r="AL72" s="60" t="s">
        <v>30</v>
      </c>
      <c r="AU72" s="1" t="s">
        <v>5994</v>
      </c>
    </row>
    <row r="73" spans="1:47" ht="24" x14ac:dyDescent="0.2">
      <c r="A73" s="1" t="s">
        <v>333</v>
      </c>
      <c r="B73" s="1" t="s">
        <v>566</v>
      </c>
      <c r="C73" s="1" t="s">
        <v>5691</v>
      </c>
      <c r="D73" s="48">
        <v>72</v>
      </c>
      <c r="E73" s="1">
        <v>2</v>
      </c>
      <c r="G73" s="1" t="s">
        <v>567</v>
      </c>
      <c r="I73" s="1" t="s">
        <v>56</v>
      </c>
      <c r="J73" s="1" t="s">
        <v>39</v>
      </c>
      <c r="K73" s="1" t="s">
        <v>568</v>
      </c>
      <c r="L73" s="2" t="s">
        <v>299</v>
      </c>
      <c r="M73" s="18">
        <v>3</v>
      </c>
      <c r="V73" s="4" t="s">
        <v>569</v>
      </c>
      <c r="AL73" s="60" t="s">
        <v>30</v>
      </c>
      <c r="AU73" s="1" t="s">
        <v>5984</v>
      </c>
    </row>
    <row r="74" spans="1:47" ht="24" x14ac:dyDescent="0.2">
      <c r="A74" s="1" t="s">
        <v>333</v>
      </c>
      <c r="B74" s="1" t="s">
        <v>570</v>
      </c>
      <c r="C74" s="1" t="s">
        <v>5691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5995</v>
      </c>
    </row>
    <row r="75" spans="1:47" ht="36" x14ac:dyDescent="0.2">
      <c r="A75" s="111" t="s">
        <v>333</v>
      </c>
      <c r="B75" s="111" t="s">
        <v>574</v>
      </c>
      <c r="C75" s="111" t="s">
        <v>5691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5996</v>
      </c>
    </row>
    <row r="76" spans="1:47" ht="24" x14ac:dyDescent="0.2">
      <c r="A76" s="1" t="s">
        <v>333</v>
      </c>
      <c r="B76" s="1" t="s">
        <v>580</v>
      </c>
      <c r="C76" s="1" t="s">
        <v>5691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5997</v>
      </c>
      <c r="AU76" s="1" t="s">
        <v>5998</v>
      </c>
    </row>
    <row r="77" spans="1:47" ht="36" x14ac:dyDescent="0.2">
      <c r="A77" s="1" t="s">
        <v>333</v>
      </c>
      <c r="B77" s="1" t="s">
        <v>585</v>
      </c>
      <c r="C77" s="1" t="s">
        <v>5691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5691</v>
      </c>
      <c r="D79" s="48">
        <v>78</v>
      </c>
      <c r="E79" s="1">
        <v>3</v>
      </c>
      <c r="F79" s="1" t="s">
        <v>579</v>
      </c>
      <c r="G79" s="1" t="s">
        <v>593</v>
      </c>
      <c r="I79" s="1" t="s">
        <v>104</v>
      </c>
      <c r="K79" s="1" t="s">
        <v>594</v>
      </c>
      <c r="O79" s="55">
        <v>2</v>
      </c>
      <c r="T79" s="60">
        <v>3</v>
      </c>
      <c r="V79" s="4" t="s">
        <v>595</v>
      </c>
      <c r="AL79" s="60" t="s">
        <v>30</v>
      </c>
      <c r="AS79" s="1" t="s">
        <v>5999</v>
      </c>
      <c r="AU79" s="1" t="s">
        <v>6000</v>
      </c>
    </row>
    <row r="80" spans="1:47" x14ac:dyDescent="0.2">
      <c r="A80" s="1" t="s">
        <v>333</v>
      </c>
      <c r="B80" s="1" t="s">
        <v>596</v>
      </c>
      <c r="C80" s="1" t="s">
        <v>5691</v>
      </c>
      <c r="D80" s="48">
        <v>79</v>
      </c>
      <c r="E80" s="1">
        <v>1</v>
      </c>
      <c r="F80" s="1" t="s">
        <v>579</v>
      </c>
      <c r="G80" s="1" t="s">
        <v>597</v>
      </c>
      <c r="I80" s="1" t="s">
        <v>82</v>
      </c>
      <c r="V80" s="4" t="s">
        <v>598</v>
      </c>
      <c r="AL80" s="60" t="s">
        <v>30</v>
      </c>
    </row>
    <row r="81" spans="1:47" ht="48" x14ac:dyDescent="0.2">
      <c r="A81" s="1" t="s">
        <v>333</v>
      </c>
      <c r="B81" s="1" t="s">
        <v>599</v>
      </c>
      <c r="C81" s="1" t="s">
        <v>5691</v>
      </c>
      <c r="D81" s="48">
        <v>80</v>
      </c>
      <c r="E81" s="1">
        <v>2</v>
      </c>
      <c r="F81" s="1" t="s">
        <v>579</v>
      </c>
      <c r="G81" s="1" t="s">
        <v>600</v>
      </c>
      <c r="I81" s="1" t="s">
        <v>82</v>
      </c>
      <c r="V81" s="4" t="s">
        <v>601</v>
      </c>
      <c r="AL81" s="60" t="s">
        <v>30</v>
      </c>
      <c r="AS81" s="1" t="s">
        <v>6001</v>
      </c>
      <c r="AU81" s="1" t="s">
        <v>6002</v>
      </c>
    </row>
    <row r="82" spans="1:47" ht="48" x14ac:dyDescent="0.2">
      <c r="A82" s="111" t="s">
        <v>333</v>
      </c>
      <c r="B82" s="111" t="s">
        <v>602</v>
      </c>
      <c r="C82" s="111" t="s">
        <v>5691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6003</v>
      </c>
    </row>
    <row r="83" spans="1:47" ht="36" x14ac:dyDescent="0.2">
      <c r="A83" s="1" t="s">
        <v>333</v>
      </c>
      <c r="B83" s="1" t="s">
        <v>607</v>
      </c>
      <c r="C83" s="1" t="s">
        <v>5691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6004</v>
      </c>
    </row>
    <row r="84" spans="1:47" ht="72" x14ac:dyDescent="0.2">
      <c r="A84" s="1" t="s">
        <v>333</v>
      </c>
      <c r="B84" s="1" t="s">
        <v>610</v>
      </c>
      <c r="C84" s="1" t="s">
        <v>5691</v>
      </c>
      <c r="D84" s="48">
        <v>83</v>
      </c>
      <c r="E84" s="1">
        <v>2</v>
      </c>
      <c r="F84" s="1" t="s">
        <v>606</v>
      </c>
      <c r="G84" s="1" t="s">
        <v>611</v>
      </c>
      <c r="I84" s="1" t="s">
        <v>94</v>
      </c>
      <c r="K84" s="1" t="s">
        <v>604</v>
      </c>
      <c r="N84" s="54">
        <v>48</v>
      </c>
      <c r="O84" s="55">
        <v>2</v>
      </c>
      <c r="Q84" s="57">
        <v>2</v>
      </c>
      <c r="R84" s="58">
        <v>0</v>
      </c>
      <c r="S84" s="59">
        <v>2</v>
      </c>
      <c r="V84" s="4" t="s">
        <v>612</v>
      </c>
      <c r="AL84" s="60" t="s">
        <v>30</v>
      </c>
      <c r="AU84" s="1" t="s">
        <v>6005</v>
      </c>
    </row>
    <row r="85" spans="1:47" x14ac:dyDescent="0.2">
      <c r="A85" s="1" t="s">
        <v>333</v>
      </c>
      <c r="B85" s="1" t="s">
        <v>613</v>
      </c>
      <c r="C85" s="1" t="s">
        <v>5691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6006</v>
      </c>
    </row>
    <row r="86" spans="1:47" ht="24" x14ac:dyDescent="0.2">
      <c r="A86" s="1" t="s">
        <v>333</v>
      </c>
      <c r="B86" s="1" t="s">
        <v>616</v>
      </c>
      <c r="C86" s="1" t="s">
        <v>5691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5691</v>
      </c>
      <c r="D87" s="48">
        <v>86</v>
      </c>
      <c r="E87" s="1">
        <v>2</v>
      </c>
      <c r="F87" s="1" t="s">
        <v>606</v>
      </c>
      <c r="G87" s="1" t="s">
        <v>621</v>
      </c>
      <c r="I87" s="1" t="s">
        <v>82</v>
      </c>
      <c r="V87" s="4" t="s">
        <v>622</v>
      </c>
      <c r="W87" s="4" t="s">
        <v>623</v>
      </c>
      <c r="AL87" s="60" t="s">
        <v>30</v>
      </c>
      <c r="AU87" s="1" t="s">
        <v>6007</v>
      </c>
    </row>
    <row r="88" spans="1:47" ht="24" x14ac:dyDescent="0.2">
      <c r="A88" s="1" t="s">
        <v>333</v>
      </c>
      <c r="B88" s="1" t="s">
        <v>624</v>
      </c>
      <c r="C88" s="1" t="s">
        <v>5691</v>
      </c>
      <c r="D88" s="48">
        <v>87</v>
      </c>
      <c r="E88" s="1">
        <v>2</v>
      </c>
      <c r="F88" s="1" t="s">
        <v>606</v>
      </c>
      <c r="G88" s="1" t="s">
        <v>625</v>
      </c>
      <c r="I88" s="1" t="s">
        <v>104</v>
      </c>
      <c r="K88" s="1" t="s">
        <v>626</v>
      </c>
      <c r="O88" s="55">
        <v>5</v>
      </c>
      <c r="T88" s="60">
        <v>1</v>
      </c>
      <c r="V88" s="4" t="s">
        <v>627</v>
      </c>
      <c r="AL88" s="60" t="s">
        <v>30</v>
      </c>
      <c r="AU88" s="1" t="s">
        <v>6008</v>
      </c>
    </row>
    <row r="89" spans="1:47" ht="24" x14ac:dyDescent="0.2">
      <c r="A89" s="1" t="s">
        <v>333</v>
      </c>
      <c r="B89" s="1" t="s">
        <v>628</v>
      </c>
      <c r="C89" s="1" t="s">
        <v>5691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6009</v>
      </c>
    </row>
    <row r="91" spans="1:47" ht="24" x14ac:dyDescent="0.2">
      <c r="A91" s="1" t="s">
        <v>333</v>
      </c>
      <c r="B91" s="1" t="s">
        <v>636</v>
      </c>
      <c r="C91" s="1" t="s">
        <v>5691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6010</v>
      </c>
      <c r="AU91" s="1" t="s">
        <v>6011</v>
      </c>
    </row>
    <row r="92" spans="1:47" ht="24" x14ac:dyDescent="0.2">
      <c r="A92" s="1" t="s">
        <v>333</v>
      </c>
      <c r="B92" s="1" t="s">
        <v>640</v>
      </c>
      <c r="C92" s="1" t="s">
        <v>5691</v>
      </c>
      <c r="D92" s="48">
        <v>91</v>
      </c>
      <c r="E92" s="1">
        <v>2</v>
      </c>
      <c r="F92" s="1" t="s">
        <v>632</v>
      </c>
      <c r="G92" s="1" t="s">
        <v>641</v>
      </c>
      <c r="I92" s="1" t="s">
        <v>94</v>
      </c>
      <c r="K92" s="1" t="s">
        <v>633</v>
      </c>
      <c r="N92" s="54">
        <v>35</v>
      </c>
      <c r="O92" s="55">
        <v>2</v>
      </c>
      <c r="Q92" s="57">
        <v>3</v>
      </c>
      <c r="R92" s="58">
        <v>1</v>
      </c>
      <c r="S92" s="59">
        <v>5</v>
      </c>
      <c r="V92" s="4" t="s">
        <v>642</v>
      </c>
      <c r="AL92" s="60" t="s">
        <v>30</v>
      </c>
      <c r="AS92" s="1" t="s">
        <v>6012</v>
      </c>
      <c r="AU92" s="1" t="s">
        <v>6013</v>
      </c>
    </row>
    <row r="93" spans="1:47" ht="36" x14ac:dyDescent="0.2">
      <c r="A93" s="1" t="s">
        <v>333</v>
      </c>
      <c r="B93" s="1" t="s">
        <v>643</v>
      </c>
      <c r="C93" s="1" t="s">
        <v>5691</v>
      </c>
      <c r="D93" s="48">
        <v>92</v>
      </c>
      <c r="E93" s="1">
        <v>1</v>
      </c>
      <c r="F93" s="1" t="s">
        <v>632</v>
      </c>
      <c r="G93" s="1" t="s">
        <v>644</v>
      </c>
      <c r="I93" s="1" t="s">
        <v>82</v>
      </c>
      <c r="V93" s="4" t="s">
        <v>645</v>
      </c>
      <c r="W93" s="4" t="s">
        <v>646</v>
      </c>
      <c r="AL93" s="60" t="s">
        <v>30</v>
      </c>
      <c r="AS93" s="1" t="s">
        <v>6014</v>
      </c>
      <c r="AU93" s="1" t="s">
        <v>6015</v>
      </c>
    </row>
    <row r="94" spans="1:47" x14ac:dyDescent="0.2">
      <c r="A94" s="1" t="s">
        <v>333</v>
      </c>
      <c r="B94" s="1" t="s">
        <v>647</v>
      </c>
      <c r="C94" s="1" t="s">
        <v>5691</v>
      </c>
      <c r="D94" s="48">
        <v>93</v>
      </c>
      <c r="E94" s="1">
        <v>3</v>
      </c>
      <c r="F94" s="1" t="s">
        <v>632</v>
      </c>
      <c r="G94" s="1" t="s">
        <v>648</v>
      </c>
      <c r="I94" s="1" t="s">
        <v>82</v>
      </c>
      <c r="V94" s="4" t="s">
        <v>649</v>
      </c>
      <c r="AL94" s="60" t="s">
        <v>30</v>
      </c>
      <c r="AS94" s="1" t="s">
        <v>6014</v>
      </c>
      <c r="AU94" s="1" t="s">
        <v>6016</v>
      </c>
    </row>
    <row r="95" spans="1:47" ht="24" x14ac:dyDescent="0.2">
      <c r="A95" s="1" t="s">
        <v>333</v>
      </c>
      <c r="B95" s="1" t="s">
        <v>650</v>
      </c>
      <c r="C95" s="1" t="s">
        <v>5691</v>
      </c>
      <c r="D95" s="48">
        <v>94</v>
      </c>
      <c r="E95" s="1">
        <v>2</v>
      </c>
      <c r="F95" s="1" t="s">
        <v>632</v>
      </c>
      <c r="G95" s="1" t="s">
        <v>651</v>
      </c>
      <c r="I95" s="1" t="s">
        <v>104</v>
      </c>
      <c r="K95" s="1" t="s">
        <v>652</v>
      </c>
      <c r="O95" s="55">
        <v>3</v>
      </c>
      <c r="T95" s="60">
        <v>2</v>
      </c>
      <c r="V95" s="4" t="s">
        <v>653</v>
      </c>
      <c r="AL95" s="60" t="s">
        <v>30</v>
      </c>
      <c r="AS95" s="1" t="s">
        <v>6017</v>
      </c>
      <c r="AU95" s="1" t="s">
        <v>6018</v>
      </c>
    </row>
    <row r="96" spans="1:47" ht="24" x14ac:dyDescent="0.2">
      <c r="A96" s="1" t="s">
        <v>333</v>
      </c>
      <c r="B96" s="1" t="s">
        <v>654</v>
      </c>
      <c r="C96" s="1" t="s">
        <v>5691</v>
      </c>
      <c r="D96" s="48">
        <v>95</v>
      </c>
      <c r="E96" s="1">
        <v>2</v>
      </c>
      <c r="F96" s="1" t="s">
        <v>632</v>
      </c>
      <c r="G96" s="1" t="s">
        <v>655</v>
      </c>
      <c r="I96" s="1" t="s">
        <v>104</v>
      </c>
      <c r="K96" s="1" t="s">
        <v>105</v>
      </c>
      <c r="O96" s="55">
        <v>2</v>
      </c>
      <c r="T96" s="60">
        <v>2</v>
      </c>
      <c r="V96" s="4" t="s">
        <v>656</v>
      </c>
      <c r="AL96" s="60" t="s">
        <v>30</v>
      </c>
      <c r="AS96" s="1" t="s">
        <v>6019</v>
      </c>
      <c r="AU96" s="1" t="s">
        <v>6020</v>
      </c>
    </row>
    <row r="97" spans="1:47" ht="24" x14ac:dyDescent="0.2">
      <c r="A97" s="111" t="s">
        <v>333</v>
      </c>
      <c r="B97" s="111" t="s">
        <v>657</v>
      </c>
      <c r="C97" s="111" t="s">
        <v>5691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6021</v>
      </c>
      <c r="AU97" s="1" t="s">
        <v>6022</v>
      </c>
    </row>
    <row r="98" spans="1:47" ht="24" x14ac:dyDescent="0.2">
      <c r="A98" s="1" t="s">
        <v>333</v>
      </c>
      <c r="B98" s="1" t="s">
        <v>662</v>
      </c>
      <c r="C98" s="1" t="s">
        <v>5691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6023</v>
      </c>
    </row>
    <row r="100" spans="1:47" ht="24" x14ac:dyDescent="0.2">
      <c r="A100" s="1" t="s">
        <v>333</v>
      </c>
      <c r="B100" s="1" t="s">
        <v>668</v>
      </c>
      <c r="C100" s="1" t="s">
        <v>5691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6024</v>
      </c>
    </row>
    <row r="103" spans="1:47" ht="72" x14ac:dyDescent="0.2">
      <c r="A103" s="1" t="s">
        <v>333</v>
      </c>
      <c r="B103" s="1" t="s">
        <v>678</v>
      </c>
      <c r="C103" s="1" t="s">
        <v>5691</v>
      </c>
      <c r="D103" s="48">
        <v>102</v>
      </c>
      <c r="E103" s="1">
        <v>1</v>
      </c>
      <c r="F103" s="1" t="s">
        <v>677</v>
      </c>
      <c r="G103" s="1" t="s">
        <v>5894</v>
      </c>
      <c r="I103" s="1" t="s">
        <v>94</v>
      </c>
      <c r="K103" s="1" t="s">
        <v>679</v>
      </c>
      <c r="L103" s="2" t="s">
        <v>680</v>
      </c>
      <c r="N103" s="54">
        <v>40</v>
      </c>
      <c r="O103" s="55">
        <v>5</v>
      </c>
      <c r="Q103" s="57">
        <v>4</v>
      </c>
      <c r="R103" s="58">
        <v>3</v>
      </c>
      <c r="S103" s="59">
        <v>9</v>
      </c>
      <c r="V103" s="4" t="s">
        <v>681</v>
      </c>
      <c r="AL103" s="60" t="s">
        <v>30</v>
      </c>
      <c r="AU103" s="1" t="s">
        <v>6025</v>
      </c>
    </row>
    <row r="104" spans="1:47" ht="36" x14ac:dyDescent="0.2">
      <c r="A104" s="1" t="s">
        <v>333</v>
      </c>
      <c r="B104" s="1" t="s">
        <v>682</v>
      </c>
      <c r="C104" s="1" t="s">
        <v>5691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5691</v>
      </c>
      <c r="D105" s="48">
        <v>104</v>
      </c>
      <c r="E105" s="1">
        <v>2</v>
      </c>
      <c r="F105" s="1" t="s">
        <v>677</v>
      </c>
      <c r="G105" s="1" t="s">
        <v>688</v>
      </c>
      <c r="I105" s="1" t="s">
        <v>82</v>
      </c>
      <c r="V105" s="4" t="s">
        <v>689</v>
      </c>
      <c r="W105" s="4" t="s">
        <v>690</v>
      </c>
      <c r="AL105" s="60" t="s">
        <v>30</v>
      </c>
    </row>
    <row r="106" spans="1:47" ht="48" x14ac:dyDescent="0.2">
      <c r="A106" s="1" t="s">
        <v>333</v>
      </c>
      <c r="B106" s="1" t="s">
        <v>691</v>
      </c>
      <c r="C106" s="1" t="s">
        <v>5691</v>
      </c>
      <c r="D106" s="48">
        <v>105</v>
      </c>
      <c r="E106" s="1">
        <v>1</v>
      </c>
      <c r="F106" s="1" t="s">
        <v>677</v>
      </c>
      <c r="G106" s="1" t="s">
        <v>692</v>
      </c>
      <c r="I106" s="1" t="s">
        <v>82</v>
      </c>
      <c r="V106" s="4" t="s">
        <v>693</v>
      </c>
      <c r="W106" s="4" t="s">
        <v>694</v>
      </c>
      <c r="AL106" s="60" t="s">
        <v>30</v>
      </c>
      <c r="AU106" s="1" t="s">
        <v>6026</v>
      </c>
    </row>
    <row r="107" spans="1:47" x14ac:dyDescent="0.2">
      <c r="A107" s="1" t="s">
        <v>333</v>
      </c>
      <c r="B107" s="1" t="s">
        <v>695</v>
      </c>
      <c r="C107" s="1" t="s">
        <v>5691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5691</v>
      </c>
      <c r="D108" s="48">
        <v>107</v>
      </c>
      <c r="E108" s="1">
        <v>2</v>
      </c>
      <c r="F108" s="1" t="s">
        <v>677</v>
      </c>
      <c r="G108" s="1" t="s">
        <v>700</v>
      </c>
      <c r="I108" s="1" t="s">
        <v>104</v>
      </c>
      <c r="K108" s="1" t="s">
        <v>697</v>
      </c>
      <c r="O108" s="55">
        <v>2</v>
      </c>
      <c r="T108" s="60">
        <v>1</v>
      </c>
      <c r="V108" s="4" t="s">
        <v>701</v>
      </c>
      <c r="AL108" s="60" t="s">
        <v>30</v>
      </c>
      <c r="AU108" s="1" t="s">
        <v>6027</v>
      </c>
    </row>
    <row r="109" spans="1:47" ht="72" x14ac:dyDescent="0.2">
      <c r="A109" s="1" t="s">
        <v>333</v>
      </c>
      <c r="B109" s="1" t="s">
        <v>702</v>
      </c>
      <c r="C109" s="1" t="s">
        <v>5691</v>
      </c>
      <c r="D109" s="48">
        <v>108</v>
      </c>
      <c r="E109" s="1">
        <v>1</v>
      </c>
      <c r="F109" s="1" t="s">
        <v>677</v>
      </c>
      <c r="G109" s="1" t="s">
        <v>703</v>
      </c>
      <c r="I109" s="1" t="s">
        <v>88</v>
      </c>
      <c r="K109" s="1" t="s">
        <v>89</v>
      </c>
      <c r="L109" s="2" t="s">
        <v>704</v>
      </c>
      <c r="V109" s="4" t="s">
        <v>705</v>
      </c>
      <c r="AL109" s="60" t="s">
        <v>30</v>
      </c>
      <c r="AU109" s="1" t="s">
        <v>6028</v>
      </c>
    </row>
    <row r="110" spans="1:47" ht="84" x14ac:dyDescent="0.2">
      <c r="A110" s="1" t="s">
        <v>333</v>
      </c>
      <c r="B110" s="1" t="s">
        <v>706</v>
      </c>
      <c r="C110" s="1" t="s">
        <v>5691</v>
      </c>
      <c r="D110" s="48">
        <v>109</v>
      </c>
      <c r="E110" s="1">
        <v>1</v>
      </c>
      <c r="F110" s="1" t="s">
        <v>677</v>
      </c>
      <c r="G110" s="1" t="s">
        <v>707</v>
      </c>
      <c r="I110" s="1" t="s">
        <v>88</v>
      </c>
      <c r="K110" s="1" t="s">
        <v>89</v>
      </c>
      <c r="L110" s="2" t="s">
        <v>704</v>
      </c>
      <c r="V110" s="4" t="s">
        <v>708</v>
      </c>
      <c r="AL110" s="60" t="s">
        <v>30</v>
      </c>
      <c r="AU110" s="1" t="s">
        <v>6029</v>
      </c>
    </row>
    <row r="111" spans="1:47" ht="72" x14ac:dyDescent="0.2">
      <c r="A111" s="1" t="s">
        <v>333</v>
      </c>
      <c r="B111" s="1" t="s">
        <v>709</v>
      </c>
      <c r="C111" s="1" t="s">
        <v>5691</v>
      </c>
      <c r="D111" s="48">
        <v>110</v>
      </c>
      <c r="E111" s="1">
        <v>1</v>
      </c>
      <c r="F111" s="1" t="s">
        <v>677</v>
      </c>
      <c r="G111" s="1" t="s">
        <v>710</v>
      </c>
      <c r="I111" s="1" t="s">
        <v>88</v>
      </c>
      <c r="K111" s="1" t="s">
        <v>89</v>
      </c>
      <c r="L111" s="2" t="s">
        <v>704</v>
      </c>
      <c r="V111" s="4" t="s">
        <v>711</v>
      </c>
      <c r="AL111" s="60" t="s">
        <v>30</v>
      </c>
      <c r="AU111" s="1" t="s">
        <v>6030</v>
      </c>
    </row>
    <row r="112" spans="1:47" ht="24" x14ac:dyDescent="0.2">
      <c r="A112" s="111" t="s">
        <v>333</v>
      </c>
      <c r="B112" s="111" t="s">
        <v>712</v>
      </c>
      <c r="C112" s="111" t="s">
        <v>5691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6031</v>
      </c>
    </row>
    <row r="113" spans="1:47" ht="24" x14ac:dyDescent="0.2">
      <c r="A113" s="1" t="s">
        <v>333</v>
      </c>
      <c r="B113" s="1" t="s">
        <v>717</v>
      </c>
      <c r="C113" s="1" t="s">
        <v>5691</v>
      </c>
      <c r="D113" s="48">
        <v>112</v>
      </c>
      <c r="E113" s="1">
        <v>1</v>
      </c>
      <c r="F113" s="1" t="s">
        <v>716</v>
      </c>
      <c r="G113" s="1" t="s">
        <v>718</v>
      </c>
      <c r="I113" s="1" t="s">
        <v>82</v>
      </c>
      <c r="V113" s="4" t="s">
        <v>719</v>
      </c>
      <c r="W113" s="4" t="s">
        <v>720</v>
      </c>
      <c r="AL113" s="60" t="s">
        <v>30</v>
      </c>
      <c r="AS113" s="1" t="s">
        <v>6014</v>
      </c>
    </row>
    <row r="114" spans="1:47" ht="24" x14ac:dyDescent="0.2">
      <c r="A114" s="1" t="s">
        <v>333</v>
      </c>
      <c r="B114" s="1" t="s">
        <v>721</v>
      </c>
      <c r="C114" s="1" t="s">
        <v>5691</v>
      </c>
      <c r="D114" s="48">
        <v>113</v>
      </c>
      <c r="E114" s="1">
        <v>2</v>
      </c>
      <c r="F114" s="1" t="s">
        <v>716</v>
      </c>
      <c r="G114" s="1" t="s">
        <v>722</v>
      </c>
      <c r="I114" s="1" t="s">
        <v>104</v>
      </c>
      <c r="K114" s="1" t="s">
        <v>306</v>
      </c>
      <c r="O114" s="55">
        <v>1</v>
      </c>
      <c r="T114" s="60">
        <v>3</v>
      </c>
      <c r="V114" s="4" t="s">
        <v>723</v>
      </c>
      <c r="AL114" s="60" t="s">
        <v>30</v>
      </c>
      <c r="AS114" s="1" t="s">
        <v>6032</v>
      </c>
      <c r="AU114" s="1" t="s">
        <v>6033</v>
      </c>
    </row>
    <row r="115" spans="1:47" ht="24" x14ac:dyDescent="0.2">
      <c r="A115" s="1" t="s">
        <v>333</v>
      </c>
      <c r="B115" s="1" t="s">
        <v>724</v>
      </c>
      <c r="C115" s="1" t="s">
        <v>5691</v>
      </c>
      <c r="D115" s="48">
        <v>114</v>
      </c>
      <c r="E115" s="1">
        <v>3</v>
      </c>
      <c r="F115" s="1" t="s">
        <v>716</v>
      </c>
      <c r="G115" s="1" t="s">
        <v>725</v>
      </c>
      <c r="I115" s="1" t="s">
        <v>104</v>
      </c>
      <c r="K115" s="1" t="s">
        <v>726</v>
      </c>
      <c r="O115" s="55">
        <v>3</v>
      </c>
      <c r="T115" s="60">
        <v>3</v>
      </c>
      <c r="U115" s="1">
        <v>3</v>
      </c>
      <c r="V115" s="4" t="s">
        <v>727</v>
      </c>
      <c r="AL115" s="60" t="s">
        <v>30</v>
      </c>
      <c r="AS115" s="1" t="s">
        <v>6034</v>
      </c>
    </row>
    <row r="116" spans="1:47" ht="24" x14ac:dyDescent="0.2">
      <c r="A116" s="111" t="s">
        <v>333</v>
      </c>
      <c r="B116" s="111" t="s">
        <v>728</v>
      </c>
      <c r="C116" s="111" t="s">
        <v>5691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6035</v>
      </c>
    </row>
    <row r="117" spans="1:47" ht="24" x14ac:dyDescent="0.2">
      <c r="A117" s="1" t="s">
        <v>333</v>
      </c>
      <c r="B117" s="1" t="s">
        <v>733</v>
      </c>
      <c r="C117" s="1" t="s">
        <v>5691</v>
      </c>
      <c r="D117" s="48">
        <v>116</v>
      </c>
      <c r="E117" s="1">
        <v>3</v>
      </c>
      <c r="F117" s="1" t="s">
        <v>732</v>
      </c>
      <c r="G117" s="1" t="s">
        <v>734</v>
      </c>
      <c r="I117" s="1" t="s">
        <v>82</v>
      </c>
      <c r="V117" s="4" t="s">
        <v>735</v>
      </c>
      <c r="AL117" s="60" t="s">
        <v>30</v>
      </c>
    </row>
    <row r="118" spans="1:47" ht="36" x14ac:dyDescent="0.2">
      <c r="A118" s="1" t="s">
        <v>333</v>
      </c>
      <c r="B118" s="1" t="s">
        <v>736</v>
      </c>
      <c r="C118" s="1" t="s">
        <v>5691</v>
      </c>
      <c r="D118" s="48">
        <v>117</v>
      </c>
      <c r="E118" s="1">
        <v>2</v>
      </c>
      <c r="F118" s="1" t="s">
        <v>732</v>
      </c>
      <c r="G118" s="1" t="s">
        <v>737</v>
      </c>
      <c r="I118" s="1" t="s">
        <v>82</v>
      </c>
      <c r="V118" s="4" t="s">
        <v>738</v>
      </c>
      <c r="W118" s="4" t="s">
        <v>739</v>
      </c>
      <c r="AL118" s="60" t="s">
        <v>30</v>
      </c>
    </row>
    <row r="119" spans="1:47" ht="36" x14ac:dyDescent="0.2">
      <c r="A119" s="1" t="s">
        <v>333</v>
      </c>
      <c r="B119" s="1" t="s">
        <v>740</v>
      </c>
      <c r="C119" s="1" t="s">
        <v>5691</v>
      </c>
      <c r="D119" s="48">
        <v>118</v>
      </c>
      <c r="E119" s="1">
        <v>2</v>
      </c>
      <c r="F119" s="1" t="s">
        <v>732</v>
      </c>
      <c r="G119" s="1" t="s">
        <v>741</v>
      </c>
      <c r="I119" s="1" t="s">
        <v>82</v>
      </c>
      <c r="V119" s="4" t="s">
        <v>742</v>
      </c>
      <c r="AL119" s="60" t="s">
        <v>30</v>
      </c>
      <c r="AU119" s="1" t="s">
        <v>6036</v>
      </c>
    </row>
    <row r="120" spans="1:47" ht="36" x14ac:dyDescent="0.2">
      <c r="A120" s="1" t="s">
        <v>333</v>
      </c>
      <c r="B120" s="1" t="s">
        <v>743</v>
      </c>
      <c r="C120" s="1" t="s">
        <v>5691</v>
      </c>
      <c r="D120" s="48">
        <v>119</v>
      </c>
      <c r="E120" s="1">
        <v>1</v>
      </c>
      <c r="F120" s="1" t="s">
        <v>661</v>
      </c>
      <c r="G120" s="1" t="s">
        <v>4059</v>
      </c>
      <c r="I120" s="1" t="s">
        <v>125</v>
      </c>
      <c r="M120" s="18">
        <v>1</v>
      </c>
      <c r="N120" s="54" t="s">
        <v>9529</v>
      </c>
      <c r="V120" s="4" t="s">
        <v>744</v>
      </c>
      <c r="X120" s="1" t="s">
        <v>127</v>
      </c>
      <c r="Y120" s="1" t="s">
        <v>4059</v>
      </c>
      <c r="AA120" s="1" t="s">
        <v>125</v>
      </c>
      <c r="AE120" s="1">
        <v>1</v>
      </c>
      <c r="AF120" s="54" t="s">
        <v>9530</v>
      </c>
      <c r="AL120" s="60" t="s">
        <v>341</v>
      </c>
    </row>
    <row r="121" spans="1:47" ht="24" x14ac:dyDescent="0.2">
      <c r="A121" s="1" t="s">
        <v>333</v>
      </c>
      <c r="B121" s="1" t="s">
        <v>745</v>
      </c>
      <c r="C121" s="1" t="s">
        <v>5691</v>
      </c>
      <c r="D121" s="48">
        <v>120</v>
      </c>
      <c r="E121" s="1">
        <v>1</v>
      </c>
      <c r="F121" s="1" t="s">
        <v>661</v>
      </c>
      <c r="G121" s="1" t="s">
        <v>9589</v>
      </c>
      <c r="I121" s="1" t="s">
        <v>125</v>
      </c>
      <c r="M121" s="18">
        <v>2</v>
      </c>
      <c r="N121" s="54" t="s">
        <v>9529</v>
      </c>
      <c r="Y121" s="1" t="s">
        <v>9589</v>
      </c>
      <c r="AA121" s="1" t="s">
        <v>125</v>
      </c>
      <c r="AE121" s="1">
        <v>2</v>
      </c>
      <c r="AF121" s="54" t="s">
        <v>9530</v>
      </c>
      <c r="AL121" s="60" t="s">
        <v>32</v>
      </c>
      <c r="AN121" s="4" t="s">
        <v>746</v>
      </c>
    </row>
    <row r="122" spans="1:47" ht="48" x14ac:dyDescent="0.2">
      <c r="A122" s="1" t="s">
        <v>333</v>
      </c>
      <c r="B122" s="1" t="s">
        <v>747</v>
      </c>
      <c r="C122" s="1" t="s">
        <v>5691</v>
      </c>
      <c r="D122" s="48">
        <v>121</v>
      </c>
      <c r="E122" s="1">
        <v>1</v>
      </c>
      <c r="F122" s="1" t="s">
        <v>661</v>
      </c>
      <c r="G122" s="1" t="s">
        <v>9660</v>
      </c>
      <c r="I122" s="1" t="s">
        <v>125</v>
      </c>
      <c r="M122" s="18">
        <v>3</v>
      </c>
      <c r="N122" s="54" t="s">
        <v>9529</v>
      </c>
      <c r="Y122" s="1" t="s">
        <v>9705</v>
      </c>
      <c r="AA122" s="1" t="s">
        <v>125</v>
      </c>
      <c r="AE122" s="1">
        <v>3</v>
      </c>
      <c r="AF122" s="54" t="s">
        <v>9530</v>
      </c>
      <c r="AL122" s="60" t="s">
        <v>67</v>
      </c>
      <c r="AN122" s="4" t="s">
        <v>748</v>
      </c>
      <c r="AU122" s="1" t="s">
        <v>6037</v>
      </c>
    </row>
    <row r="123" spans="1:47" ht="24" x14ac:dyDescent="0.2">
      <c r="A123" s="1" t="s">
        <v>333</v>
      </c>
      <c r="B123" s="1" t="s">
        <v>749</v>
      </c>
      <c r="C123" s="1" t="s">
        <v>5691</v>
      </c>
      <c r="D123" s="48">
        <v>122</v>
      </c>
      <c r="E123" s="1">
        <v>1</v>
      </c>
      <c r="F123" s="1" t="s">
        <v>661</v>
      </c>
      <c r="G123" s="1" t="s">
        <v>9660</v>
      </c>
      <c r="I123" s="1" t="s">
        <v>125</v>
      </c>
      <c r="M123" s="18">
        <v>3</v>
      </c>
      <c r="N123" s="54" t="s">
        <v>9529</v>
      </c>
      <c r="Y123" s="1" t="s">
        <v>9706</v>
      </c>
      <c r="AA123" s="1" t="s">
        <v>125</v>
      </c>
      <c r="AE123" s="1">
        <v>3</v>
      </c>
      <c r="AF123" s="54" t="s">
        <v>9530</v>
      </c>
      <c r="AL123" s="60" t="s">
        <v>275</v>
      </c>
      <c r="AN123" s="4" t="s">
        <v>750</v>
      </c>
      <c r="AU123" s="1" t="s">
        <v>6038</v>
      </c>
    </row>
    <row r="124" spans="1:47" ht="108" x14ac:dyDescent="0.2">
      <c r="A124" s="1" t="s">
        <v>333</v>
      </c>
      <c r="B124" s="1" t="s">
        <v>751</v>
      </c>
      <c r="C124" s="1" t="s">
        <v>5691</v>
      </c>
      <c r="D124" s="48">
        <v>123</v>
      </c>
      <c r="E124" s="1">
        <v>1</v>
      </c>
      <c r="F124" s="1" t="s">
        <v>677</v>
      </c>
      <c r="G124" s="1" t="s">
        <v>9531</v>
      </c>
      <c r="I124" s="1" t="s">
        <v>125</v>
      </c>
      <c r="M124" s="18">
        <v>1</v>
      </c>
      <c r="N124" s="54" t="s">
        <v>9529</v>
      </c>
      <c r="V124" s="4" t="s">
        <v>752</v>
      </c>
      <c r="X124" s="1" t="s">
        <v>753</v>
      </c>
      <c r="Y124" s="1" t="s">
        <v>9531</v>
      </c>
      <c r="AA124" s="1" t="s">
        <v>125</v>
      </c>
      <c r="AE124" s="1">
        <v>1</v>
      </c>
      <c r="AF124" s="54" t="s">
        <v>9530</v>
      </c>
      <c r="AL124" s="60" t="s">
        <v>346</v>
      </c>
      <c r="AN124" s="4" t="s">
        <v>754</v>
      </c>
      <c r="AU124" s="1" t="s">
        <v>6039</v>
      </c>
    </row>
    <row r="125" spans="1:47" ht="96" x14ac:dyDescent="0.2">
      <c r="A125" s="1" t="s">
        <v>333</v>
      </c>
      <c r="B125" s="1" t="s">
        <v>755</v>
      </c>
      <c r="C125" s="1" t="s">
        <v>5691</v>
      </c>
      <c r="D125" s="48">
        <v>124</v>
      </c>
      <c r="E125" s="1">
        <v>1</v>
      </c>
      <c r="F125" s="1" t="s">
        <v>677</v>
      </c>
      <c r="G125" s="1" t="s">
        <v>9590</v>
      </c>
      <c r="I125" s="1" t="s">
        <v>125</v>
      </c>
      <c r="M125" s="18">
        <v>2</v>
      </c>
      <c r="N125" s="54" t="s">
        <v>9529</v>
      </c>
      <c r="Y125" s="1" t="s">
        <v>9590</v>
      </c>
      <c r="AA125" s="1" t="s">
        <v>125</v>
      </c>
      <c r="AE125" s="1">
        <v>2</v>
      </c>
      <c r="AF125" s="54" t="s">
        <v>9530</v>
      </c>
      <c r="AL125" s="60" t="s">
        <v>666</v>
      </c>
      <c r="AN125" s="4" t="s">
        <v>756</v>
      </c>
      <c r="AU125" s="1" t="s">
        <v>6040</v>
      </c>
    </row>
    <row r="126" spans="1:47" ht="96" x14ac:dyDescent="0.2">
      <c r="A126" s="1" t="s">
        <v>333</v>
      </c>
      <c r="B126" s="1" t="s">
        <v>757</v>
      </c>
      <c r="C126" s="1" t="s">
        <v>5691</v>
      </c>
      <c r="D126" s="48">
        <v>125</v>
      </c>
      <c r="E126" s="1">
        <v>1</v>
      </c>
      <c r="F126" s="1" t="s">
        <v>677</v>
      </c>
      <c r="G126" s="1" t="s">
        <v>9661</v>
      </c>
      <c r="I126" s="1" t="s">
        <v>125</v>
      </c>
      <c r="M126" s="18">
        <v>3</v>
      </c>
      <c r="N126" s="54" t="s">
        <v>9529</v>
      </c>
      <c r="Y126" s="1" t="s">
        <v>9661</v>
      </c>
      <c r="AA126" s="1" t="s">
        <v>125</v>
      </c>
      <c r="AE126" s="1">
        <v>3</v>
      </c>
      <c r="AF126" s="54" t="s">
        <v>9530</v>
      </c>
      <c r="AL126" s="60" t="s">
        <v>243</v>
      </c>
      <c r="AN126" s="4" t="s">
        <v>758</v>
      </c>
      <c r="AU126" s="1" t="s">
        <v>6041</v>
      </c>
    </row>
    <row r="127" spans="1:47" ht="48" x14ac:dyDescent="0.2">
      <c r="A127" s="1" t="s">
        <v>333</v>
      </c>
      <c r="B127" s="1" t="s">
        <v>759</v>
      </c>
      <c r="C127" s="1" t="s">
        <v>5691</v>
      </c>
      <c r="D127" s="48">
        <v>126</v>
      </c>
      <c r="E127" s="1">
        <v>1</v>
      </c>
      <c r="F127" s="1" t="s">
        <v>716</v>
      </c>
      <c r="G127" s="1" t="s">
        <v>9532</v>
      </c>
      <c r="I127" s="1" t="s">
        <v>125</v>
      </c>
      <c r="M127" s="18">
        <v>1</v>
      </c>
      <c r="N127" s="54" t="s">
        <v>9529</v>
      </c>
      <c r="V127" s="4" t="s">
        <v>760</v>
      </c>
      <c r="Y127" s="1" t="s">
        <v>9532</v>
      </c>
      <c r="AA127" s="1" t="s">
        <v>125</v>
      </c>
      <c r="AE127" s="1">
        <v>1</v>
      </c>
      <c r="AF127" s="54" t="s">
        <v>9530</v>
      </c>
      <c r="AL127" s="60" t="s">
        <v>341</v>
      </c>
      <c r="AN127" s="4" t="s">
        <v>761</v>
      </c>
      <c r="AU127" s="1" t="s">
        <v>6042</v>
      </c>
    </row>
    <row r="128" spans="1:47" ht="36" x14ac:dyDescent="0.2">
      <c r="A128" s="1" t="s">
        <v>333</v>
      </c>
      <c r="B128" s="1" t="s">
        <v>762</v>
      </c>
      <c r="C128" s="1" t="s">
        <v>5691</v>
      </c>
      <c r="D128" s="48">
        <v>127</v>
      </c>
      <c r="E128" s="1">
        <v>1</v>
      </c>
      <c r="F128" s="1" t="s">
        <v>716</v>
      </c>
      <c r="G128" s="1" t="s">
        <v>9591</v>
      </c>
      <c r="I128" s="1" t="s">
        <v>125</v>
      </c>
      <c r="M128" s="18">
        <v>2</v>
      </c>
      <c r="N128" s="54" t="s">
        <v>9529</v>
      </c>
      <c r="Y128" s="1" t="s">
        <v>9591</v>
      </c>
      <c r="AA128" s="1" t="s">
        <v>125</v>
      </c>
      <c r="AE128" s="1">
        <v>2</v>
      </c>
      <c r="AF128" s="54" t="s">
        <v>9530</v>
      </c>
      <c r="AL128" s="60" t="s">
        <v>1982</v>
      </c>
      <c r="AN128" s="4" t="s">
        <v>763</v>
      </c>
      <c r="AU128" s="1" t="s">
        <v>6043</v>
      </c>
    </row>
    <row r="129" spans="1:48" ht="72" x14ac:dyDescent="0.2">
      <c r="A129" s="1" t="s">
        <v>333</v>
      </c>
      <c r="B129" s="1" t="s">
        <v>764</v>
      </c>
      <c r="C129" s="1" t="s">
        <v>5691</v>
      </c>
      <c r="D129" s="48">
        <v>128</v>
      </c>
      <c r="E129" s="1">
        <v>1</v>
      </c>
      <c r="F129" s="1" t="s">
        <v>716</v>
      </c>
      <c r="G129" s="1" t="s">
        <v>9662</v>
      </c>
      <c r="I129" s="1" t="s">
        <v>125</v>
      </c>
      <c r="M129" s="18">
        <v>3</v>
      </c>
      <c r="N129" s="54" t="s">
        <v>9529</v>
      </c>
      <c r="Y129" s="1" t="s">
        <v>9662</v>
      </c>
      <c r="AA129" s="1" t="s">
        <v>125</v>
      </c>
      <c r="AE129" s="1">
        <v>3</v>
      </c>
      <c r="AF129" s="54" t="s">
        <v>9530</v>
      </c>
      <c r="AL129" s="60" t="s">
        <v>67</v>
      </c>
      <c r="AN129" s="4" t="s">
        <v>765</v>
      </c>
      <c r="AU129" s="1" t="s">
        <v>6044</v>
      </c>
    </row>
    <row r="130" spans="1:48" x14ac:dyDescent="0.2">
      <c r="A130" s="109" t="s">
        <v>4618</v>
      </c>
      <c r="B130" s="109" t="s">
        <v>4619</v>
      </c>
      <c r="C130" s="109" t="s">
        <v>5692</v>
      </c>
      <c r="D130" s="110">
        <v>1</v>
      </c>
      <c r="E130" s="109">
        <v>1</v>
      </c>
      <c r="F130" s="109"/>
      <c r="G130" s="109" t="s">
        <v>4112</v>
      </c>
      <c r="H130" s="1" t="s">
        <v>26</v>
      </c>
      <c r="I130" s="1" t="s">
        <v>27</v>
      </c>
      <c r="J130" s="1" t="s">
        <v>39</v>
      </c>
      <c r="K130" s="1" t="s">
        <v>242</v>
      </c>
      <c r="M130" s="18">
        <v>9</v>
      </c>
      <c r="P130" s="56">
        <v>1</v>
      </c>
      <c r="Q130" s="57">
        <v>1</v>
      </c>
      <c r="R130" s="58">
        <v>2</v>
      </c>
      <c r="S130" s="59">
        <v>2</v>
      </c>
      <c r="V130" s="4" t="s">
        <v>4620</v>
      </c>
      <c r="AL130" s="60" t="s">
        <v>30</v>
      </c>
    </row>
    <row r="131" spans="1:48" ht="48" x14ac:dyDescent="0.2">
      <c r="A131" s="1" t="s">
        <v>4618</v>
      </c>
      <c r="B131" s="1" t="s">
        <v>4621</v>
      </c>
      <c r="C131" s="1" t="s">
        <v>5692</v>
      </c>
      <c r="D131" s="48">
        <v>2</v>
      </c>
      <c r="E131" s="1">
        <v>3</v>
      </c>
      <c r="G131" s="1" t="s">
        <v>5895</v>
      </c>
      <c r="I131" s="1" t="s">
        <v>56</v>
      </c>
      <c r="J131" s="1" t="s">
        <v>28</v>
      </c>
      <c r="K131" s="1" t="s">
        <v>70</v>
      </c>
      <c r="L131" s="2" t="s">
        <v>71</v>
      </c>
      <c r="M131" s="18">
        <v>1</v>
      </c>
      <c r="V131" s="4" t="s">
        <v>4622</v>
      </c>
      <c r="AL131" s="60" t="s">
        <v>30</v>
      </c>
    </row>
    <row r="132" spans="1:48" x14ac:dyDescent="0.2">
      <c r="A132" s="1" t="s">
        <v>4618</v>
      </c>
      <c r="B132" s="1" t="s">
        <v>4623</v>
      </c>
      <c r="C132" s="1" t="s">
        <v>5692</v>
      </c>
      <c r="D132" s="48">
        <v>3</v>
      </c>
      <c r="E132" s="1">
        <v>3</v>
      </c>
      <c r="G132" s="1" t="s">
        <v>4624</v>
      </c>
      <c r="I132" s="1" t="s">
        <v>63</v>
      </c>
      <c r="J132" s="1" t="s">
        <v>28</v>
      </c>
      <c r="M132" s="18">
        <v>1</v>
      </c>
      <c r="V132" s="4" t="s">
        <v>4625</v>
      </c>
      <c r="AL132" s="60" t="s">
        <v>30</v>
      </c>
    </row>
    <row r="133" spans="1:48" ht="48" x14ac:dyDescent="0.2">
      <c r="A133" s="1" t="s">
        <v>4618</v>
      </c>
      <c r="B133" s="1" t="s">
        <v>4645</v>
      </c>
      <c r="C133" s="1" t="s">
        <v>5692</v>
      </c>
      <c r="D133" s="48">
        <v>4</v>
      </c>
      <c r="E133" s="1">
        <v>3</v>
      </c>
      <c r="G133" s="1" t="s">
        <v>4646</v>
      </c>
      <c r="I133" s="1" t="s">
        <v>38</v>
      </c>
      <c r="J133" s="1" t="s">
        <v>50</v>
      </c>
      <c r="K133" s="1" t="s">
        <v>51</v>
      </c>
      <c r="L133" s="2" t="s">
        <v>52</v>
      </c>
      <c r="M133" s="18">
        <v>2</v>
      </c>
      <c r="P133" s="56">
        <v>0</v>
      </c>
      <c r="Q133" s="57">
        <v>0</v>
      </c>
      <c r="R133" s="58">
        <v>4</v>
      </c>
      <c r="S133" s="59">
        <v>1</v>
      </c>
      <c r="V133" s="4" t="s">
        <v>4647</v>
      </c>
      <c r="AL133" s="60" t="s">
        <v>30</v>
      </c>
      <c r="AU133" s="1" t="s">
        <v>6045</v>
      </c>
      <c r="AV133" s="1" t="s">
        <v>6046</v>
      </c>
    </row>
    <row r="134" spans="1:48" ht="36" x14ac:dyDescent="0.2">
      <c r="A134" s="1" t="s">
        <v>4618</v>
      </c>
      <c r="B134" s="1" t="s">
        <v>4638</v>
      </c>
      <c r="C134" s="1" t="s">
        <v>5692</v>
      </c>
      <c r="D134" s="48">
        <v>5</v>
      </c>
      <c r="E134" s="1">
        <v>3</v>
      </c>
      <c r="G134" s="1" t="s">
        <v>4639</v>
      </c>
      <c r="I134" s="1" t="s">
        <v>63</v>
      </c>
      <c r="J134" s="1" t="s">
        <v>50</v>
      </c>
      <c r="K134" s="1" t="s">
        <v>4640</v>
      </c>
      <c r="M134" s="18">
        <v>0</v>
      </c>
      <c r="V134" s="4" t="s">
        <v>4641</v>
      </c>
      <c r="AL134" s="60" t="s">
        <v>30</v>
      </c>
      <c r="AU134" s="1" t="s">
        <v>6047</v>
      </c>
    </row>
    <row r="135" spans="1:48" x14ac:dyDescent="0.2">
      <c r="A135" s="1" t="s">
        <v>4618</v>
      </c>
      <c r="B135" s="1" t="s">
        <v>4642</v>
      </c>
      <c r="C135" s="1" t="s">
        <v>5692</v>
      </c>
      <c r="D135" s="48">
        <v>6</v>
      </c>
      <c r="E135" s="1">
        <v>3</v>
      </c>
      <c r="G135" s="1" t="s">
        <v>4643</v>
      </c>
      <c r="I135" s="1" t="s">
        <v>38</v>
      </c>
      <c r="J135" s="1" t="s">
        <v>57</v>
      </c>
      <c r="K135" s="1" t="s">
        <v>75</v>
      </c>
      <c r="M135" s="18">
        <v>2</v>
      </c>
      <c r="P135" s="56">
        <v>1</v>
      </c>
      <c r="Q135" s="57">
        <v>0</v>
      </c>
      <c r="R135" s="58">
        <v>1</v>
      </c>
      <c r="S135" s="59">
        <v>1</v>
      </c>
      <c r="V135" s="4" t="s">
        <v>4644</v>
      </c>
      <c r="AL135" s="60" t="s">
        <v>30</v>
      </c>
      <c r="AU135" s="1" t="s">
        <v>6048</v>
      </c>
    </row>
    <row r="136" spans="1:48" ht="36" x14ac:dyDescent="0.2">
      <c r="A136" s="1" t="s">
        <v>4618</v>
      </c>
      <c r="B136" s="1" t="s">
        <v>4626</v>
      </c>
      <c r="C136" s="1" t="s">
        <v>5692</v>
      </c>
      <c r="D136" s="48">
        <v>7</v>
      </c>
      <c r="E136" s="1">
        <v>3</v>
      </c>
      <c r="G136" s="1" t="s">
        <v>4627</v>
      </c>
      <c r="I136" s="1" t="s">
        <v>63</v>
      </c>
      <c r="J136" s="1" t="s">
        <v>57</v>
      </c>
      <c r="M136" s="18">
        <v>1</v>
      </c>
      <c r="V136" s="4" t="s">
        <v>4628</v>
      </c>
      <c r="AL136" s="60" t="s">
        <v>30</v>
      </c>
    </row>
    <row r="137" spans="1:48" ht="24" x14ac:dyDescent="0.2">
      <c r="A137" s="1" t="s">
        <v>4618</v>
      </c>
      <c r="B137" s="1" t="s">
        <v>4629</v>
      </c>
      <c r="C137" s="1" t="s">
        <v>5692</v>
      </c>
      <c r="D137" s="48">
        <v>8</v>
      </c>
      <c r="E137" s="1">
        <v>3</v>
      </c>
      <c r="G137" s="1" t="s">
        <v>4630</v>
      </c>
      <c r="I137" s="1" t="s">
        <v>38</v>
      </c>
      <c r="J137" s="1" t="s">
        <v>39</v>
      </c>
      <c r="K137" s="1" t="s">
        <v>1136</v>
      </c>
      <c r="M137" s="18">
        <v>3</v>
      </c>
      <c r="P137" s="56">
        <v>2</v>
      </c>
      <c r="Q137" s="57">
        <v>0</v>
      </c>
      <c r="R137" s="58">
        <v>0</v>
      </c>
      <c r="S137" s="59">
        <v>1</v>
      </c>
      <c r="V137" s="4" t="s">
        <v>4631</v>
      </c>
      <c r="AL137" s="60" t="s">
        <v>30</v>
      </c>
      <c r="AT137" s="1" t="s">
        <v>6049</v>
      </c>
      <c r="AU137" s="1" t="s">
        <v>6050</v>
      </c>
    </row>
    <row r="138" spans="1:48" ht="36" x14ac:dyDescent="0.2">
      <c r="A138" s="1" t="s">
        <v>4618</v>
      </c>
      <c r="B138" s="1" t="s">
        <v>4635</v>
      </c>
      <c r="C138" s="1" t="s">
        <v>5692</v>
      </c>
      <c r="D138" s="48">
        <v>9</v>
      </c>
      <c r="E138" s="1">
        <v>3</v>
      </c>
      <c r="G138" s="1" t="s">
        <v>4636</v>
      </c>
      <c r="I138" s="1" t="s">
        <v>63</v>
      </c>
      <c r="J138" s="1" t="s">
        <v>39</v>
      </c>
      <c r="M138" s="18">
        <v>1</v>
      </c>
      <c r="V138" s="4" t="s">
        <v>4637</v>
      </c>
      <c r="AL138" s="60" t="s">
        <v>30</v>
      </c>
      <c r="AU138" s="1" t="s">
        <v>6051</v>
      </c>
    </row>
    <row r="139" spans="1:48" x14ac:dyDescent="0.2">
      <c r="A139" s="1" t="s">
        <v>4618</v>
      </c>
      <c r="B139" s="1" t="s">
        <v>4632</v>
      </c>
      <c r="C139" s="1" t="s">
        <v>5692</v>
      </c>
      <c r="D139" s="48">
        <v>10</v>
      </c>
      <c r="E139" s="1">
        <v>3</v>
      </c>
      <c r="G139" s="1" t="s">
        <v>4633</v>
      </c>
      <c r="I139" s="1" t="s">
        <v>56</v>
      </c>
      <c r="J139" s="1" t="s">
        <v>44</v>
      </c>
      <c r="K139" s="1" t="s">
        <v>324</v>
      </c>
      <c r="L139" s="2" t="s">
        <v>71</v>
      </c>
      <c r="M139" s="18">
        <v>1</v>
      </c>
      <c r="V139" s="4" t="s">
        <v>4634</v>
      </c>
      <c r="AL139" s="60" t="s">
        <v>30</v>
      </c>
      <c r="AU139" s="1" t="s">
        <v>6052</v>
      </c>
    </row>
    <row r="140" spans="1:48" ht="36" x14ac:dyDescent="0.2">
      <c r="A140" s="1" t="s">
        <v>4618</v>
      </c>
      <c r="B140" s="1" t="s">
        <v>4690</v>
      </c>
      <c r="C140" s="1" t="s">
        <v>5692</v>
      </c>
      <c r="D140" s="48">
        <v>11</v>
      </c>
      <c r="E140" s="1">
        <v>1</v>
      </c>
      <c r="F140" s="1" t="s">
        <v>3169</v>
      </c>
      <c r="G140" s="1" t="s">
        <v>9533</v>
      </c>
      <c r="I140" s="1" t="s">
        <v>125</v>
      </c>
      <c r="M140" s="18">
        <v>1</v>
      </c>
      <c r="N140" s="54" t="s">
        <v>9529</v>
      </c>
      <c r="V140" s="4" t="s">
        <v>4691</v>
      </c>
      <c r="Y140" s="1" t="s">
        <v>9533</v>
      </c>
      <c r="AA140" s="1" t="s">
        <v>125</v>
      </c>
      <c r="AE140" s="1">
        <v>1</v>
      </c>
      <c r="AF140" s="54" t="s">
        <v>9530</v>
      </c>
      <c r="AL140" s="60" t="s">
        <v>341</v>
      </c>
      <c r="AN140" s="4" t="s">
        <v>4692</v>
      </c>
      <c r="AU140" s="1" t="s">
        <v>6053</v>
      </c>
    </row>
    <row r="141" spans="1:48" ht="36" x14ac:dyDescent="0.2">
      <c r="A141" s="1" t="s">
        <v>4618</v>
      </c>
      <c r="B141" s="1" t="s">
        <v>4693</v>
      </c>
      <c r="C141" s="1" t="s">
        <v>5692</v>
      </c>
      <c r="D141" s="48">
        <v>12</v>
      </c>
      <c r="E141" s="1">
        <v>1</v>
      </c>
      <c r="F141" s="1" t="s">
        <v>3169</v>
      </c>
      <c r="G141" s="1" t="s">
        <v>9592</v>
      </c>
      <c r="I141" s="1" t="s">
        <v>125</v>
      </c>
      <c r="M141" s="18">
        <v>2</v>
      </c>
      <c r="N141" s="54" t="s">
        <v>9529</v>
      </c>
      <c r="Y141" s="1" t="s">
        <v>9592</v>
      </c>
      <c r="AA141" s="1" t="s">
        <v>125</v>
      </c>
      <c r="AE141" s="1">
        <v>2</v>
      </c>
      <c r="AF141" s="54" t="s">
        <v>9530</v>
      </c>
      <c r="AL141" s="60" t="s">
        <v>275</v>
      </c>
      <c r="AN141" s="4" t="s">
        <v>4694</v>
      </c>
      <c r="AU141" s="1" t="s">
        <v>6054</v>
      </c>
    </row>
    <row r="142" spans="1:48" ht="72" x14ac:dyDescent="0.2">
      <c r="A142" s="1" t="s">
        <v>4618</v>
      </c>
      <c r="B142" s="1" t="s">
        <v>4695</v>
      </c>
      <c r="C142" s="1" t="s">
        <v>5692</v>
      </c>
      <c r="D142" s="48">
        <v>13</v>
      </c>
      <c r="E142" s="1">
        <v>1</v>
      </c>
      <c r="F142" s="1" t="s">
        <v>3169</v>
      </c>
      <c r="G142" s="1" t="s">
        <v>9663</v>
      </c>
      <c r="I142" s="1" t="s">
        <v>125</v>
      </c>
      <c r="M142" s="18">
        <v>3</v>
      </c>
      <c r="N142" s="54" t="s">
        <v>9529</v>
      </c>
      <c r="Y142" s="1" t="s">
        <v>9663</v>
      </c>
      <c r="AA142" s="1" t="s">
        <v>125</v>
      </c>
      <c r="AE142" s="1">
        <v>3</v>
      </c>
      <c r="AF142" s="54" t="s">
        <v>9530</v>
      </c>
      <c r="AL142" s="60" t="s">
        <v>341</v>
      </c>
      <c r="AN142" s="4" t="s">
        <v>4696</v>
      </c>
      <c r="AU142" s="1" t="s">
        <v>6055</v>
      </c>
      <c r="AV142" s="1" t="s">
        <v>6056</v>
      </c>
    </row>
    <row r="143" spans="1:48" ht="72" x14ac:dyDescent="0.2">
      <c r="A143" s="1" t="s">
        <v>4618</v>
      </c>
      <c r="B143" s="1" t="s">
        <v>4671</v>
      </c>
      <c r="C143" s="1" t="s">
        <v>5692</v>
      </c>
      <c r="D143" s="48">
        <v>14</v>
      </c>
      <c r="E143" s="1">
        <v>4</v>
      </c>
      <c r="F143" s="1" t="s">
        <v>3169</v>
      </c>
      <c r="G143" s="1" t="s">
        <v>4672</v>
      </c>
      <c r="I143" s="1" t="s">
        <v>88</v>
      </c>
      <c r="K143" s="1" t="s">
        <v>4673</v>
      </c>
      <c r="L143" s="2" t="s">
        <v>90</v>
      </c>
      <c r="V143" s="4" t="s">
        <v>4674</v>
      </c>
      <c r="AL143" s="60" t="s">
        <v>30</v>
      </c>
    </row>
    <row r="144" spans="1:48" ht="24" x14ac:dyDescent="0.2">
      <c r="A144" s="1" t="s">
        <v>4618</v>
      </c>
      <c r="B144" s="1" t="s">
        <v>4682</v>
      </c>
      <c r="C144" s="1" t="s">
        <v>5692</v>
      </c>
      <c r="D144" s="48">
        <v>15</v>
      </c>
      <c r="E144" s="1">
        <v>2</v>
      </c>
      <c r="F144" s="1" t="s">
        <v>3169</v>
      </c>
      <c r="G144" s="1" t="s">
        <v>4683</v>
      </c>
      <c r="I144" s="1" t="s">
        <v>104</v>
      </c>
      <c r="K144" s="1" t="s">
        <v>306</v>
      </c>
      <c r="L144" s="2" t="s">
        <v>4684</v>
      </c>
      <c r="O144" s="55" t="s">
        <v>113</v>
      </c>
      <c r="T144" s="60">
        <v>2</v>
      </c>
      <c r="W144" s="4" t="s">
        <v>4685</v>
      </c>
      <c r="AL144" s="60" t="s">
        <v>30</v>
      </c>
      <c r="AU144" s="1" t="s">
        <v>6057</v>
      </c>
    </row>
    <row r="145" spans="1:48" ht="24" x14ac:dyDescent="0.2">
      <c r="A145" s="1" t="s">
        <v>4618</v>
      </c>
      <c r="B145" s="1" t="s">
        <v>4679</v>
      </c>
      <c r="C145" s="1" t="s">
        <v>5692</v>
      </c>
      <c r="D145" s="48">
        <v>16</v>
      </c>
      <c r="E145" s="1">
        <v>3</v>
      </c>
      <c r="F145" s="1" t="s">
        <v>3169</v>
      </c>
      <c r="G145" s="1" t="s">
        <v>4680</v>
      </c>
      <c r="I145" s="1" t="s">
        <v>104</v>
      </c>
      <c r="K145" s="1" t="s">
        <v>105</v>
      </c>
      <c r="O145" s="55">
        <v>2</v>
      </c>
      <c r="T145" s="60">
        <v>2</v>
      </c>
      <c r="V145" s="4" t="s">
        <v>4681</v>
      </c>
      <c r="AL145" s="60" t="s">
        <v>30</v>
      </c>
    </row>
    <row r="146" spans="1:48" ht="24" x14ac:dyDescent="0.2">
      <c r="A146" s="1" t="s">
        <v>4618</v>
      </c>
      <c r="B146" s="1" t="s">
        <v>4667</v>
      </c>
      <c r="C146" s="1" t="s">
        <v>5692</v>
      </c>
      <c r="D146" s="48">
        <v>17</v>
      </c>
      <c r="E146" s="1">
        <v>2</v>
      </c>
      <c r="F146" s="1" t="s">
        <v>3169</v>
      </c>
      <c r="G146" s="1" t="s">
        <v>4668</v>
      </c>
      <c r="I146" s="1" t="s">
        <v>104</v>
      </c>
      <c r="K146" s="1" t="s">
        <v>306</v>
      </c>
      <c r="O146" s="55">
        <v>2</v>
      </c>
      <c r="T146" s="60">
        <v>4</v>
      </c>
      <c r="V146" s="4" t="s">
        <v>4669</v>
      </c>
      <c r="W146" s="4" t="s">
        <v>4670</v>
      </c>
      <c r="AL146" s="60" t="s">
        <v>30</v>
      </c>
    </row>
    <row r="147" spans="1:48" ht="36" x14ac:dyDescent="0.2">
      <c r="A147" s="1" t="s">
        <v>4618</v>
      </c>
      <c r="B147" s="1" t="s">
        <v>4675</v>
      </c>
      <c r="C147" s="1" t="s">
        <v>5692</v>
      </c>
      <c r="D147" s="48">
        <v>18</v>
      </c>
      <c r="E147" s="1">
        <v>2</v>
      </c>
      <c r="F147" s="1" t="s">
        <v>3169</v>
      </c>
      <c r="G147" s="1" t="s">
        <v>4676</v>
      </c>
      <c r="I147" s="1" t="s">
        <v>104</v>
      </c>
      <c r="K147" s="1" t="s">
        <v>306</v>
      </c>
      <c r="O147" s="55">
        <v>3</v>
      </c>
      <c r="T147" s="60">
        <v>3</v>
      </c>
      <c r="V147" s="4" t="s">
        <v>4677</v>
      </c>
      <c r="W147" s="4" t="s">
        <v>4678</v>
      </c>
      <c r="AL147" s="60" t="s">
        <v>30</v>
      </c>
      <c r="AU147" s="1" t="s">
        <v>6058</v>
      </c>
    </row>
    <row r="148" spans="1:48" ht="24" x14ac:dyDescent="0.2">
      <c r="A148" s="1" t="s">
        <v>4618</v>
      </c>
      <c r="B148" s="1" t="s">
        <v>4686</v>
      </c>
      <c r="C148" s="1" t="s">
        <v>5692</v>
      </c>
      <c r="D148" s="48">
        <v>19</v>
      </c>
      <c r="E148" s="1">
        <v>2</v>
      </c>
      <c r="F148" s="1" t="s">
        <v>3169</v>
      </c>
      <c r="G148" s="1" t="s">
        <v>4687</v>
      </c>
      <c r="I148" s="1" t="s">
        <v>104</v>
      </c>
      <c r="K148" s="1" t="s">
        <v>306</v>
      </c>
      <c r="O148" s="55">
        <v>3</v>
      </c>
      <c r="T148" s="60">
        <v>3</v>
      </c>
      <c r="V148" s="4" t="s">
        <v>4688</v>
      </c>
      <c r="W148" s="4" t="s">
        <v>4689</v>
      </c>
      <c r="AL148" s="60" t="s">
        <v>30</v>
      </c>
    </row>
    <row r="149" spans="1:48" ht="36" x14ac:dyDescent="0.2">
      <c r="A149" s="1" t="s">
        <v>4618</v>
      </c>
      <c r="B149" s="1" t="s">
        <v>4656</v>
      </c>
      <c r="C149" s="1" t="s">
        <v>5692</v>
      </c>
      <c r="D149" s="48">
        <v>20</v>
      </c>
      <c r="E149" s="1">
        <v>2</v>
      </c>
      <c r="F149" s="1" t="s">
        <v>3169</v>
      </c>
      <c r="G149" s="1" t="s">
        <v>4657</v>
      </c>
      <c r="I149" s="1" t="s">
        <v>94</v>
      </c>
      <c r="K149" s="1" t="s">
        <v>604</v>
      </c>
      <c r="N149" s="54">
        <v>12</v>
      </c>
      <c r="O149" s="55">
        <v>1</v>
      </c>
      <c r="Q149" s="57">
        <v>1</v>
      </c>
      <c r="R149" s="58">
        <v>0</v>
      </c>
      <c r="S149" s="59">
        <v>3</v>
      </c>
      <c r="V149" s="4" t="s">
        <v>4658</v>
      </c>
      <c r="AL149" s="60" t="s">
        <v>30</v>
      </c>
    </row>
    <row r="150" spans="1:48" ht="24" x14ac:dyDescent="0.2">
      <c r="A150" s="1" t="s">
        <v>4618</v>
      </c>
      <c r="B150" s="1" t="s">
        <v>4659</v>
      </c>
      <c r="C150" s="1" t="s">
        <v>5692</v>
      </c>
      <c r="D150" s="48">
        <v>21</v>
      </c>
      <c r="E150" s="1">
        <v>5</v>
      </c>
      <c r="F150" s="1" t="s">
        <v>3169</v>
      </c>
      <c r="G150" s="1" t="s">
        <v>4660</v>
      </c>
      <c r="I150" s="1" t="s">
        <v>94</v>
      </c>
      <c r="K150" s="1" t="s">
        <v>2514</v>
      </c>
      <c r="N150" s="54">
        <v>34</v>
      </c>
      <c r="O150" s="55">
        <v>2</v>
      </c>
      <c r="Q150" s="57">
        <v>2</v>
      </c>
      <c r="R150" s="58">
        <v>2</v>
      </c>
      <c r="S150" s="59">
        <v>6</v>
      </c>
      <c r="V150" s="4" t="s">
        <v>4661</v>
      </c>
      <c r="W150" s="4" t="s">
        <v>4662</v>
      </c>
      <c r="AL150" s="60" t="s">
        <v>30</v>
      </c>
    </row>
    <row r="151" spans="1:48" ht="36" x14ac:dyDescent="0.2">
      <c r="A151" s="1" t="s">
        <v>4618</v>
      </c>
      <c r="B151" s="1" t="s">
        <v>4648</v>
      </c>
      <c r="C151" s="1" t="s">
        <v>5692</v>
      </c>
      <c r="D151" s="48">
        <v>22</v>
      </c>
      <c r="E151" s="1">
        <v>2</v>
      </c>
      <c r="F151" s="1" t="s">
        <v>3169</v>
      </c>
      <c r="G151" s="1" t="s">
        <v>4649</v>
      </c>
      <c r="I151" s="1" t="s">
        <v>82</v>
      </c>
      <c r="V151" s="4" t="s">
        <v>4650</v>
      </c>
      <c r="AL151" s="60" t="s">
        <v>30</v>
      </c>
    </row>
    <row r="152" spans="1:48" ht="24" x14ac:dyDescent="0.2">
      <c r="A152" s="1" t="s">
        <v>4618</v>
      </c>
      <c r="B152" s="1" t="s">
        <v>4651</v>
      </c>
      <c r="C152" s="1" t="s">
        <v>5692</v>
      </c>
      <c r="D152" s="48">
        <v>23</v>
      </c>
      <c r="E152" s="1">
        <v>2</v>
      </c>
      <c r="F152" s="1" t="s">
        <v>3169</v>
      </c>
      <c r="G152" s="1" t="s">
        <v>4652</v>
      </c>
      <c r="I152" s="1" t="s">
        <v>82</v>
      </c>
      <c r="K152" s="1" t="s">
        <v>4653</v>
      </c>
      <c r="L152" s="2" t="s">
        <v>698</v>
      </c>
      <c r="V152" s="4" t="s">
        <v>4654</v>
      </c>
      <c r="W152" s="4" t="s">
        <v>4655</v>
      </c>
      <c r="AL152" s="60" t="s">
        <v>30</v>
      </c>
    </row>
    <row r="153" spans="1:48" ht="36" x14ac:dyDescent="0.2">
      <c r="A153" s="1" t="s">
        <v>4618</v>
      </c>
      <c r="B153" s="1" t="s">
        <v>4663</v>
      </c>
      <c r="C153" s="1" t="s">
        <v>5692</v>
      </c>
      <c r="D153" s="48">
        <v>24</v>
      </c>
      <c r="E153" s="1">
        <v>3</v>
      </c>
      <c r="F153" s="1" t="s">
        <v>3169</v>
      </c>
      <c r="G153" s="1" t="s">
        <v>4664</v>
      </c>
      <c r="I153" s="1" t="s">
        <v>82</v>
      </c>
      <c r="K153" s="1" t="s">
        <v>4665</v>
      </c>
      <c r="V153" s="4" t="s">
        <v>4666</v>
      </c>
      <c r="AL153" s="60" t="s">
        <v>30</v>
      </c>
    </row>
    <row r="154" spans="1:48" ht="36" x14ac:dyDescent="0.2">
      <c r="A154" s="109" t="s">
        <v>239</v>
      </c>
      <c r="B154" s="109" t="s">
        <v>240</v>
      </c>
      <c r="C154" s="109" t="s">
        <v>5693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6059</v>
      </c>
      <c r="AV154" s="1" t="s">
        <v>6060</v>
      </c>
    </row>
    <row r="155" spans="1:48" ht="48" x14ac:dyDescent="0.2">
      <c r="A155" s="1" t="s">
        <v>239</v>
      </c>
      <c r="B155" s="1" t="s">
        <v>264</v>
      </c>
      <c r="C155" s="1" t="s">
        <v>5693</v>
      </c>
      <c r="D155" s="48">
        <v>26</v>
      </c>
      <c r="E155" s="1">
        <v>3</v>
      </c>
      <c r="G155" s="1" t="s">
        <v>5896</v>
      </c>
      <c r="I155" s="1" t="s">
        <v>56</v>
      </c>
      <c r="J155" s="1" t="s">
        <v>28</v>
      </c>
      <c r="K155" s="1" t="s">
        <v>70</v>
      </c>
      <c r="L155" s="2" t="s">
        <v>71</v>
      </c>
      <c r="M155" s="18">
        <v>1</v>
      </c>
      <c r="V155" s="4" t="s">
        <v>265</v>
      </c>
      <c r="AL155" s="60" t="s">
        <v>30</v>
      </c>
    </row>
    <row r="156" spans="1:48" ht="24" x14ac:dyDescent="0.2">
      <c r="A156" s="1" t="s">
        <v>239</v>
      </c>
      <c r="B156" s="1" t="s">
        <v>319</v>
      </c>
      <c r="C156" s="1" t="s">
        <v>5693</v>
      </c>
      <c r="D156" s="48">
        <v>27</v>
      </c>
      <c r="E156" s="1">
        <v>3</v>
      </c>
      <c r="G156" s="1" t="s">
        <v>320</v>
      </c>
      <c r="I156" s="1" t="s">
        <v>63</v>
      </c>
      <c r="J156" s="1" t="s">
        <v>28</v>
      </c>
      <c r="M156" s="18">
        <v>1</v>
      </c>
      <c r="V156" s="4" t="s">
        <v>321</v>
      </c>
      <c r="AL156" s="60" t="s">
        <v>30</v>
      </c>
      <c r="AU156" s="1" t="s">
        <v>6061</v>
      </c>
    </row>
    <row r="157" spans="1:48" ht="24" x14ac:dyDescent="0.2">
      <c r="A157" s="1" t="s">
        <v>239</v>
      </c>
      <c r="B157" s="1" t="s">
        <v>255</v>
      </c>
      <c r="C157" s="1" t="s">
        <v>5693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5693</v>
      </c>
      <c r="D158" s="48">
        <v>29</v>
      </c>
      <c r="E158" s="1">
        <v>3</v>
      </c>
      <c r="G158" s="1" t="s">
        <v>260</v>
      </c>
      <c r="I158" s="1" t="s">
        <v>56</v>
      </c>
      <c r="J158" s="1" t="s">
        <v>50</v>
      </c>
      <c r="K158" s="1" t="s">
        <v>261</v>
      </c>
      <c r="L158" s="2" t="s">
        <v>262</v>
      </c>
      <c r="M158" s="18">
        <v>0</v>
      </c>
      <c r="V158" s="4" t="s">
        <v>263</v>
      </c>
      <c r="AL158" s="60" t="s">
        <v>30</v>
      </c>
      <c r="AU158" s="1" t="s">
        <v>6062</v>
      </c>
    </row>
    <row r="159" spans="1:48" ht="24" x14ac:dyDescent="0.2">
      <c r="A159" s="1" t="s">
        <v>239</v>
      </c>
      <c r="B159" s="1" t="s">
        <v>266</v>
      </c>
      <c r="C159" s="1" t="s">
        <v>5693</v>
      </c>
      <c r="D159" s="48">
        <v>30</v>
      </c>
      <c r="E159" s="1">
        <v>3</v>
      </c>
      <c r="G159" s="1" t="s">
        <v>5897</v>
      </c>
      <c r="H159" s="1" t="s">
        <v>26</v>
      </c>
      <c r="I159" s="1" t="s">
        <v>38</v>
      </c>
      <c r="J159" s="1" t="s">
        <v>57</v>
      </c>
      <c r="K159" s="1" t="s">
        <v>75</v>
      </c>
      <c r="M159" s="18">
        <v>3</v>
      </c>
      <c r="P159" s="56">
        <v>2</v>
      </c>
      <c r="Q159" s="57">
        <v>1</v>
      </c>
      <c r="R159" s="58">
        <v>1</v>
      </c>
      <c r="S159" s="59">
        <v>2</v>
      </c>
      <c r="V159" s="4" t="s">
        <v>267</v>
      </c>
      <c r="AL159" s="60" t="s">
        <v>30</v>
      </c>
      <c r="AU159" s="1" t="s">
        <v>6063</v>
      </c>
    </row>
    <row r="160" spans="1:48" x14ac:dyDescent="0.2">
      <c r="A160" s="1" t="s">
        <v>239</v>
      </c>
      <c r="B160" s="1" t="s">
        <v>296</v>
      </c>
      <c r="C160" s="1" t="s">
        <v>5693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5693</v>
      </c>
      <c r="D162" s="48">
        <v>33</v>
      </c>
      <c r="E162" s="1">
        <v>3</v>
      </c>
      <c r="G162" s="1" t="s">
        <v>269</v>
      </c>
      <c r="I162" s="1" t="s">
        <v>56</v>
      </c>
      <c r="J162" s="1" t="s">
        <v>39</v>
      </c>
      <c r="K162" s="1" t="s">
        <v>89</v>
      </c>
      <c r="L162" s="2" t="s">
        <v>270</v>
      </c>
      <c r="M162" s="18">
        <v>2</v>
      </c>
      <c r="V162" s="4" t="s">
        <v>271</v>
      </c>
      <c r="AL162" s="60" t="s">
        <v>30</v>
      </c>
      <c r="AU162" s="1" t="s">
        <v>6064</v>
      </c>
    </row>
    <row r="163" spans="1:47" x14ac:dyDescent="0.2">
      <c r="A163" s="1" t="s">
        <v>239</v>
      </c>
      <c r="B163" s="1" t="s">
        <v>322</v>
      </c>
      <c r="C163" s="1" t="s">
        <v>5693</v>
      </c>
      <c r="D163" s="48">
        <v>34</v>
      </c>
      <c r="E163" s="1">
        <v>3</v>
      </c>
      <c r="G163" s="1" t="s">
        <v>323</v>
      </c>
      <c r="I163" s="1" t="s">
        <v>56</v>
      </c>
      <c r="J163" s="1" t="s">
        <v>44</v>
      </c>
      <c r="K163" s="1" t="s">
        <v>324</v>
      </c>
      <c r="L163" s="2" t="s">
        <v>71</v>
      </c>
      <c r="M163" s="18">
        <v>1</v>
      </c>
      <c r="V163" s="4" t="s">
        <v>325</v>
      </c>
      <c r="AL163" s="60" t="s">
        <v>30</v>
      </c>
      <c r="AU163" s="1" t="s">
        <v>6065</v>
      </c>
    </row>
    <row r="164" spans="1:47" ht="48" x14ac:dyDescent="0.2">
      <c r="A164" s="1" t="s">
        <v>239</v>
      </c>
      <c r="B164" s="1" t="s">
        <v>277</v>
      </c>
      <c r="C164" s="1" t="s">
        <v>5693</v>
      </c>
      <c r="D164" s="48">
        <v>35</v>
      </c>
      <c r="E164" s="1">
        <v>1</v>
      </c>
      <c r="F164" s="1" t="s">
        <v>248</v>
      </c>
      <c r="G164" s="1" t="s">
        <v>9534</v>
      </c>
      <c r="I164" s="1" t="s">
        <v>125</v>
      </c>
      <c r="M164" s="18">
        <v>1</v>
      </c>
      <c r="N164" s="54" t="s">
        <v>9529</v>
      </c>
      <c r="V164" s="4" t="s">
        <v>278</v>
      </c>
      <c r="X164" s="1" t="s">
        <v>279</v>
      </c>
      <c r="Y164" s="1" t="s">
        <v>9534</v>
      </c>
      <c r="AA164" s="1" t="s">
        <v>125</v>
      </c>
      <c r="AE164" s="1">
        <v>1</v>
      </c>
      <c r="AF164" s="54" t="s">
        <v>9530</v>
      </c>
      <c r="AL164" s="60" t="s">
        <v>243</v>
      </c>
      <c r="AN164" s="4" t="s">
        <v>280</v>
      </c>
      <c r="AU164" s="1" t="s">
        <v>6066</v>
      </c>
    </row>
    <row r="165" spans="1:47" ht="48" x14ac:dyDescent="0.2">
      <c r="A165" s="1" t="s">
        <v>239</v>
      </c>
      <c r="B165" s="1" t="s">
        <v>249</v>
      </c>
      <c r="C165" s="1" t="s">
        <v>5693</v>
      </c>
      <c r="D165" s="48">
        <v>36</v>
      </c>
      <c r="E165" s="1">
        <v>1</v>
      </c>
      <c r="F165" s="1" t="s">
        <v>248</v>
      </c>
      <c r="G165" s="1" t="s">
        <v>9593</v>
      </c>
      <c r="I165" s="1" t="s">
        <v>125</v>
      </c>
      <c r="M165" s="18">
        <v>2</v>
      </c>
      <c r="N165" s="54" t="s">
        <v>9529</v>
      </c>
      <c r="Y165" s="1" t="s">
        <v>9593</v>
      </c>
      <c r="AA165" s="1" t="s">
        <v>125</v>
      </c>
      <c r="AE165" s="1">
        <v>2</v>
      </c>
      <c r="AF165" s="54" t="s">
        <v>9530</v>
      </c>
      <c r="AL165" s="60" t="s">
        <v>36</v>
      </c>
      <c r="AN165" s="4" t="s">
        <v>250</v>
      </c>
      <c r="AU165" s="1" t="s">
        <v>6067</v>
      </c>
    </row>
    <row r="166" spans="1:47" ht="84" x14ac:dyDescent="0.2">
      <c r="A166" s="1" t="s">
        <v>239</v>
      </c>
      <c r="B166" s="1" t="s">
        <v>272</v>
      </c>
      <c r="C166" s="1" t="s">
        <v>5693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6068</v>
      </c>
    </row>
    <row r="167" spans="1:47" ht="72" x14ac:dyDescent="0.2">
      <c r="A167" s="1" t="s">
        <v>239</v>
      </c>
      <c r="B167" s="1" t="s">
        <v>285</v>
      </c>
      <c r="C167" s="1" t="s">
        <v>5693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6069</v>
      </c>
    </row>
    <row r="168" spans="1:47" ht="48" x14ac:dyDescent="0.2">
      <c r="A168" s="1" t="s">
        <v>239</v>
      </c>
      <c r="B168" s="1" t="s">
        <v>289</v>
      </c>
      <c r="C168" s="1" t="s">
        <v>5693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6070</v>
      </c>
    </row>
    <row r="172" spans="1:47" ht="60" x14ac:dyDescent="0.2">
      <c r="A172" s="1" t="s">
        <v>239</v>
      </c>
      <c r="B172" s="1" t="s">
        <v>329</v>
      </c>
      <c r="C172" s="1" t="s">
        <v>5693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5693</v>
      </c>
      <c r="D176" s="48">
        <v>47</v>
      </c>
      <c r="E176" s="1">
        <v>3</v>
      </c>
      <c r="F176" s="1" t="s">
        <v>248</v>
      </c>
      <c r="G176" s="1" t="s">
        <v>246</v>
      </c>
      <c r="I176" s="1" t="s">
        <v>82</v>
      </c>
      <c r="V176" s="4" t="s">
        <v>247</v>
      </c>
      <c r="AL176" s="60" t="s">
        <v>30</v>
      </c>
    </row>
    <row r="177" spans="1:48" ht="48" x14ac:dyDescent="0.2">
      <c r="A177" s="1" t="s">
        <v>239</v>
      </c>
      <c r="B177" s="1" t="s">
        <v>315</v>
      </c>
      <c r="C177" s="1" t="s">
        <v>5693</v>
      </c>
      <c r="D177" s="48">
        <v>48</v>
      </c>
      <c r="E177" s="1">
        <v>5</v>
      </c>
      <c r="F177" s="1" t="s">
        <v>248</v>
      </c>
      <c r="G177" s="1" t="s">
        <v>316</v>
      </c>
      <c r="I177" s="1" t="s">
        <v>82</v>
      </c>
      <c r="V177" s="4" t="s">
        <v>317</v>
      </c>
      <c r="W177" s="4" t="s">
        <v>318</v>
      </c>
      <c r="AL177" s="60" t="s">
        <v>30</v>
      </c>
      <c r="AU177" s="1" t="s">
        <v>6071</v>
      </c>
    </row>
    <row r="178" spans="1:48" ht="24" x14ac:dyDescent="0.2">
      <c r="A178" s="1" t="s">
        <v>239</v>
      </c>
      <c r="B178" s="1" t="s">
        <v>308</v>
      </c>
      <c r="C178" s="1" t="s">
        <v>5693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5694</v>
      </c>
      <c r="D180" s="48">
        <v>51</v>
      </c>
      <c r="E180" s="1">
        <v>3</v>
      </c>
      <c r="G180" s="1" t="s">
        <v>5898</v>
      </c>
      <c r="I180" s="1" t="s">
        <v>56</v>
      </c>
      <c r="J180" s="1" t="s">
        <v>28</v>
      </c>
      <c r="K180" s="1" t="s">
        <v>70</v>
      </c>
      <c r="L180" s="2" t="s">
        <v>71</v>
      </c>
      <c r="M180" s="18">
        <v>2</v>
      </c>
      <c r="V180" s="4" t="s">
        <v>72</v>
      </c>
      <c r="AL180" s="60" t="s">
        <v>30</v>
      </c>
    </row>
    <row r="181" spans="1:48" ht="24" x14ac:dyDescent="0.2">
      <c r="A181" s="1" t="s">
        <v>23</v>
      </c>
      <c r="B181" s="1" t="s">
        <v>65</v>
      </c>
      <c r="C181" s="1" t="s">
        <v>5694</v>
      </c>
      <c r="D181" s="48">
        <v>52</v>
      </c>
      <c r="E181" s="1">
        <v>3</v>
      </c>
      <c r="G181" s="1" t="s">
        <v>66</v>
      </c>
      <c r="I181" s="1" t="s">
        <v>63</v>
      </c>
      <c r="J181" s="1" t="s">
        <v>28</v>
      </c>
      <c r="M181" s="18">
        <v>0</v>
      </c>
      <c r="V181" s="4" t="s">
        <v>68</v>
      </c>
      <c r="AL181" s="60" t="s">
        <v>30</v>
      </c>
      <c r="AU181" s="1" t="s">
        <v>6072</v>
      </c>
    </row>
    <row r="182" spans="1:48" ht="60" x14ac:dyDescent="0.2">
      <c r="A182" s="1" t="s">
        <v>23</v>
      </c>
      <c r="B182" s="1" t="s">
        <v>48</v>
      </c>
      <c r="C182" s="1" t="s">
        <v>5694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6073</v>
      </c>
    </row>
    <row r="183" spans="1:48" ht="24" x14ac:dyDescent="0.2">
      <c r="A183" s="1" t="s">
        <v>23</v>
      </c>
      <c r="B183" s="1" t="s">
        <v>77</v>
      </c>
      <c r="C183" s="1" t="s">
        <v>5694</v>
      </c>
      <c r="D183" s="48">
        <v>54</v>
      </c>
      <c r="E183" s="1">
        <v>3</v>
      </c>
      <c r="G183" s="1" t="s">
        <v>78</v>
      </c>
      <c r="I183" s="1" t="s">
        <v>63</v>
      </c>
      <c r="J183" s="1" t="s">
        <v>50</v>
      </c>
      <c r="M183" s="18">
        <v>2</v>
      </c>
      <c r="V183" s="4" t="s">
        <v>79</v>
      </c>
      <c r="AL183" s="60" t="s">
        <v>30</v>
      </c>
      <c r="AU183" s="1" t="s">
        <v>6074</v>
      </c>
      <c r="AV183" s="1" t="s">
        <v>6075</v>
      </c>
    </row>
    <row r="184" spans="1:48" ht="48" x14ac:dyDescent="0.2">
      <c r="A184" s="1" t="s">
        <v>23</v>
      </c>
      <c r="B184" s="1" t="s">
        <v>73</v>
      </c>
      <c r="C184" s="1" t="s">
        <v>5694</v>
      </c>
      <c r="D184" s="48">
        <v>55</v>
      </c>
      <c r="E184" s="1">
        <v>3</v>
      </c>
      <c r="G184" s="1" t="s">
        <v>74</v>
      </c>
      <c r="I184" s="1" t="s">
        <v>38</v>
      </c>
      <c r="J184" s="1" t="s">
        <v>57</v>
      </c>
      <c r="K184" s="1" t="s">
        <v>75</v>
      </c>
      <c r="M184" s="18">
        <v>2</v>
      </c>
      <c r="P184" s="56">
        <v>2</v>
      </c>
      <c r="Q184" s="57">
        <v>0</v>
      </c>
      <c r="R184" s="58">
        <v>0</v>
      </c>
      <c r="S184" s="59">
        <v>1</v>
      </c>
      <c r="V184" s="4" t="s">
        <v>76</v>
      </c>
      <c r="AL184" s="60" t="s">
        <v>30</v>
      </c>
      <c r="AU184" s="1" t="s">
        <v>6076</v>
      </c>
      <c r="AV184" s="1" t="s">
        <v>6046</v>
      </c>
    </row>
    <row r="185" spans="1:48" ht="24" x14ac:dyDescent="0.2">
      <c r="A185" s="1" t="s">
        <v>23</v>
      </c>
      <c r="B185" s="1" t="s">
        <v>54</v>
      </c>
      <c r="C185" s="1" t="s">
        <v>5694</v>
      </c>
      <c r="D185" s="48">
        <v>56</v>
      </c>
      <c r="E185" s="1">
        <v>3</v>
      </c>
      <c r="G185" s="1" t="s">
        <v>55</v>
      </c>
      <c r="I185" s="1" t="s">
        <v>56</v>
      </c>
      <c r="J185" s="1" t="s">
        <v>57</v>
      </c>
      <c r="K185" s="1" t="s">
        <v>58</v>
      </c>
      <c r="L185" s="2" t="s">
        <v>59</v>
      </c>
      <c r="M185" s="18">
        <v>1</v>
      </c>
      <c r="V185" s="4" t="s">
        <v>60</v>
      </c>
      <c r="AL185" s="60" t="s">
        <v>30</v>
      </c>
      <c r="AU185" s="1" t="s">
        <v>6077</v>
      </c>
    </row>
    <row r="186" spans="1:48" x14ac:dyDescent="0.2">
      <c r="A186" s="1" t="s">
        <v>23</v>
      </c>
      <c r="B186" s="1" t="s">
        <v>37</v>
      </c>
      <c r="C186" s="1" t="s">
        <v>5694</v>
      </c>
      <c r="D186" s="48">
        <v>57</v>
      </c>
      <c r="E186" s="1">
        <v>3</v>
      </c>
      <c r="G186" s="1" t="s">
        <v>5899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5694</v>
      </c>
      <c r="D187" s="48">
        <v>58</v>
      </c>
      <c r="E187" s="1">
        <v>3</v>
      </c>
      <c r="G187" s="1" t="s">
        <v>62</v>
      </c>
      <c r="I187" s="1" t="s">
        <v>63</v>
      </c>
      <c r="J187" s="1" t="s">
        <v>39</v>
      </c>
      <c r="M187" s="18">
        <v>1</v>
      </c>
      <c r="V187" s="4" t="s">
        <v>64</v>
      </c>
      <c r="AL187" s="60" t="s">
        <v>30</v>
      </c>
      <c r="AU187" s="1" t="s">
        <v>6078</v>
      </c>
    </row>
    <row r="188" spans="1:48" ht="60" x14ac:dyDescent="0.2">
      <c r="A188" s="1" t="s">
        <v>23</v>
      </c>
      <c r="B188" s="1" t="s">
        <v>42</v>
      </c>
      <c r="C188" s="1" t="s">
        <v>5694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6079</v>
      </c>
      <c r="AU188" s="1" t="s">
        <v>6080</v>
      </c>
      <c r="AV188" s="1" t="s">
        <v>6081</v>
      </c>
    </row>
    <row r="189" spans="1:48" ht="36" x14ac:dyDescent="0.2">
      <c r="A189" s="1" t="s">
        <v>23</v>
      </c>
      <c r="B189" s="1" t="s">
        <v>124</v>
      </c>
      <c r="C189" s="1" t="s">
        <v>5694</v>
      </c>
      <c r="D189" s="48">
        <v>60</v>
      </c>
      <c r="E189" s="1">
        <v>1</v>
      </c>
      <c r="F189" s="1" t="s">
        <v>85</v>
      </c>
      <c r="G189" s="1" t="s">
        <v>9535</v>
      </c>
      <c r="I189" s="1" t="s">
        <v>125</v>
      </c>
      <c r="M189" s="18">
        <v>1</v>
      </c>
      <c r="N189" s="54" t="s">
        <v>9529</v>
      </c>
      <c r="V189" s="4" t="s">
        <v>126</v>
      </c>
      <c r="X189" s="1" t="s">
        <v>127</v>
      </c>
      <c r="Y189" s="1" t="s">
        <v>9535</v>
      </c>
      <c r="AA189" s="1" t="s">
        <v>125</v>
      </c>
      <c r="AE189" s="1">
        <v>1</v>
      </c>
      <c r="AF189" s="54" t="s">
        <v>9530</v>
      </c>
      <c r="AL189" s="60" t="s">
        <v>341</v>
      </c>
    </row>
    <row r="190" spans="1:48" ht="72" x14ac:dyDescent="0.2">
      <c r="A190" s="1" t="s">
        <v>23</v>
      </c>
      <c r="B190" s="1" t="s">
        <v>128</v>
      </c>
      <c r="C190" s="1" t="s">
        <v>5694</v>
      </c>
      <c r="D190" s="48">
        <v>61</v>
      </c>
      <c r="E190" s="1">
        <v>1</v>
      </c>
      <c r="F190" s="1" t="s">
        <v>85</v>
      </c>
      <c r="G190" s="1" t="s">
        <v>9594</v>
      </c>
      <c r="I190" s="1" t="s">
        <v>125</v>
      </c>
      <c r="M190" s="18">
        <v>2</v>
      </c>
      <c r="N190" s="54" t="s">
        <v>9529</v>
      </c>
      <c r="Y190" s="1" t="s">
        <v>9594</v>
      </c>
      <c r="AA190" s="1" t="s">
        <v>125</v>
      </c>
      <c r="AE190" s="1">
        <v>2</v>
      </c>
      <c r="AF190" s="54" t="s">
        <v>9530</v>
      </c>
      <c r="AL190" s="60" t="s">
        <v>337</v>
      </c>
      <c r="AN190" s="4" t="s">
        <v>129</v>
      </c>
      <c r="AU190" s="1" t="s">
        <v>6082</v>
      </c>
    </row>
    <row r="191" spans="1:48" ht="60" x14ac:dyDescent="0.2">
      <c r="A191" s="1" t="s">
        <v>23</v>
      </c>
      <c r="B191" s="1" t="s">
        <v>130</v>
      </c>
      <c r="C191" s="1" t="s">
        <v>5694</v>
      </c>
      <c r="D191" s="48">
        <v>62</v>
      </c>
      <c r="E191" s="1">
        <v>1</v>
      </c>
      <c r="F191" s="1" t="s">
        <v>85</v>
      </c>
      <c r="G191" s="1" t="s">
        <v>9664</v>
      </c>
      <c r="I191" s="1" t="s">
        <v>125</v>
      </c>
      <c r="M191" s="18">
        <v>3</v>
      </c>
      <c r="N191" s="54" t="s">
        <v>9529</v>
      </c>
      <c r="Y191" s="1" t="s">
        <v>9664</v>
      </c>
      <c r="AA191" s="1" t="s">
        <v>125</v>
      </c>
      <c r="AE191" s="1">
        <v>3</v>
      </c>
      <c r="AF191" s="54" t="s">
        <v>9530</v>
      </c>
      <c r="AL191" s="60" t="s">
        <v>67</v>
      </c>
      <c r="AN191" s="4" t="s">
        <v>131</v>
      </c>
      <c r="AU191" s="1" t="s">
        <v>6083</v>
      </c>
    </row>
    <row r="192" spans="1:48" ht="24" x14ac:dyDescent="0.2">
      <c r="A192" s="1" t="s">
        <v>23</v>
      </c>
      <c r="B192" s="1" t="s">
        <v>86</v>
      </c>
      <c r="C192" s="1" t="s">
        <v>5694</v>
      </c>
      <c r="D192" s="48">
        <v>63</v>
      </c>
      <c r="E192" s="1">
        <v>4</v>
      </c>
      <c r="F192" s="1" t="s">
        <v>85</v>
      </c>
      <c r="G192" s="1" t="s">
        <v>87</v>
      </c>
      <c r="I192" s="1" t="s">
        <v>88</v>
      </c>
      <c r="K192" s="1" t="s">
        <v>89</v>
      </c>
      <c r="L192" s="2" t="s">
        <v>90</v>
      </c>
      <c r="V192" s="4" t="s">
        <v>91</v>
      </c>
      <c r="AL192" s="60" t="s">
        <v>30</v>
      </c>
      <c r="AU192" s="1" t="s">
        <v>6084</v>
      </c>
    </row>
    <row r="193" spans="1:48" ht="36" x14ac:dyDescent="0.2">
      <c r="A193" s="1" t="s">
        <v>23</v>
      </c>
      <c r="B193" s="1" t="s">
        <v>119</v>
      </c>
      <c r="C193" s="1" t="s">
        <v>5694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6085</v>
      </c>
      <c r="AV194" s="1" t="s">
        <v>6086</v>
      </c>
    </row>
    <row r="195" spans="1:48" ht="36" x14ac:dyDescent="0.2">
      <c r="A195" s="1" t="s">
        <v>23</v>
      </c>
      <c r="B195" s="1" t="s">
        <v>102</v>
      </c>
      <c r="C195" s="1" t="s">
        <v>5694</v>
      </c>
      <c r="D195" s="48">
        <v>66</v>
      </c>
      <c r="E195" s="1">
        <v>4</v>
      </c>
      <c r="F195" s="1" t="s">
        <v>85</v>
      </c>
      <c r="G195" s="1" t="s">
        <v>103</v>
      </c>
      <c r="I195" s="1" t="s">
        <v>104</v>
      </c>
      <c r="K195" s="1" t="s">
        <v>105</v>
      </c>
      <c r="O195" s="55">
        <v>2</v>
      </c>
      <c r="T195" s="60">
        <v>3</v>
      </c>
      <c r="V195" s="4" t="s">
        <v>106</v>
      </c>
      <c r="AL195" s="60" t="s">
        <v>30</v>
      </c>
      <c r="AU195" s="1" t="s">
        <v>6087</v>
      </c>
    </row>
    <row r="196" spans="1:48" x14ac:dyDescent="0.2">
      <c r="A196" s="1" t="s">
        <v>23</v>
      </c>
      <c r="B196" s="1" t="s">
        <v>98</v>
      </c>
      <c r="C196" s="1" t="s">
        <v>5694</v>
      </c>
      <c r="D196" s="48">
        <v>67</v>
      </c>
      <c r="E196" s="1">
        <v>4</v>
      </c>
      <c r="F196" s="1" t="s">
        <v>85</v>
      </c>
      <c r="G196" s="1" t="s">
        <v>99</v>
      </c>
      <c r="I196" s="1" t="s">
        <v>82</v>
      </c>
      <c r="V196" s="4" t="s">
        <v>100</v>
      </c>
      <c r="W196" s="4" t="s">
        <v>101</v>
      </c>
      <c r="AL196" s="60" t="s">
        <v>30</v>
      </c>
    </row>
    <row r="197" spans="1:48" ht="36" x14ac:dyDescent="0.2">
      <c r="A197" s="1" t="s">
        <v>23</v>
      </c>
      <c r="B197" s="1" t="s">
        <v>115</v>
      </c>
      <c r="C197" s="1" t="s">
        <v>5694</v>
      </c>
      <c r="D197" s="48">
        <v>68</v>
      </c>
      <c r="E197" s="1">
        <v>4</v>
      </c>
      <c r="F197" s="1" t="s">
        <v>85</v>
      </c>
      <c r="G197" s="1" t="s">
        <v>116</v>
      </c>
      <c r="I197" s="1" t="s">
        <v>82</v>
      </c>
      <c r="V197" s="4" t="s">
        <v>117</v>
      </c>
      <c r="W197" s="4" t="s">
        <v>118</v>
      </c>
      <c r="AL197" s="60" t="s">
        <v>30</v>
      </c>
      <c r="AU197" s="1" t="s">
        <v>6088</v>
      </c>
    </row>
    <row r="198" spans="1:48" ht="24" x14ac:dyDescent="0.2">
      <c r="A198" s="1" t="s">
        <v>23</v>
      </c>
      <c r="B198" s="1" t="s">
        <v>80</v>
      </c>
      <c r="C198" s="1" t="s">
        <v>5694</v>
      </c>
      <c r="D198" s="48">
        <v>69</v>
      </c>
      <c r="E198" s="1">
        <v>2</v>
      </c>
      <c r="F198" s="1" t="s">
        <v>85</v>
      </c>
      <c r="G198" s="1" t="s">
        <v>81</v>
      </c>
      <c r="I198" s="1" t="s">
        <v>82</v>
      </c>
      <c r="V198" s="4" t="s">
        <v>83</v>
      </c>
      <c r="W198" s="4" t="s">
        <v>84</v>
      </c>
      <c r="AL198" s="60" t="s">
        <v>30</v>
      </c>
    </row>
    <row r="199" spans="1:48" ht="24" x14ac:dyDescent="0.2">
      <c r="A199" s="1" t="s">
        <v>23</v>
      </c>
      <c r="B199" s="1" t="s">
        <v>107</v>
      </c>
      <c r="C199" s="1" t="s">
        <v>5694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3959</v>
      </c>
      <c r="B201" s="109" t="s">
        <v>3967</v>
      </c>
      <c r="C201" s="109" t="s">
        <v>5695</v>
      </c>
      <c r="D201" s="110">
        <v>72</v>
      </c>
      <c r="E201" s="109">
        <v>1</v>
      </c>
      <c r="F201" s="109"/>
      <c r="G201" s="109" t="s">
        <v>3968</v>
      </c>
      <c r="H201" s="1" t="s">
        <v>26</v>
      </c>
      <c r="I201" s="1" t="s">
        <v>27</v>
      </c>
      <c r="J201" s="1" t="s">
        <v>50</v>
      </c>
      <c r="K201" s="1" t="s">
        <v>3969</v>
      </c>
      <c r="L201" s="2" t="s">
        <v>171</v>
      </c>
      <c r="M201" s="18">
        <v>10</v>
      </c>
      <c r="P201" s="56">
        <v>2</v>
      </c>
      <c r="Q201" s="57">
        <v>3</v>
      </c>
      <c r="R201" s="58">
        <v>2</v>
      </c>
      <c r="S201" s="59">
        <v>3</v>
      </c>
      <c r="V201" s="4" t="s">
        <v>3970</v>
      </c>
      <c r="AL201" s="60" t="s">
        <v>30</v>
      </c>
      <c r="AU201" s="1" t="s">
        <v>6089</v>
      </c>
    </row>
    <row r="202" spans="1:48" ht="60" x14ac:dyDescent="0.2">
      <c r="A202" s="1" t="s">
        <v>3959</v>
      </c>
      <c r="B202" s="1" t="s">
        <v>3983</v>
      </c>
      <c r="C202" s="1" t="s">
        <v>5695</v>
      </c>
      <c r="D202" s="48">
        <v>73</v>
      </c>
      <c r="E202" s="1">
        <v>3</v>
      </c>
      <c r="G202" s="1" t="s">
        <v>3984</v>
      </c>
      <c r="I202" s="1" t="s">
        <v>38</v>
      </c>
      <c r="J202" s="1" t="s">
        <v>28</v>
      </c>
      <c r="K202" s="1" t="s">
        <v>242</v>
      </c>
      <c r="M202" s="18">
        <v>2</v>
      </c>
      <c r="P202" s="56">
        <v>1</v>
      </c>
      <c r="Q202" s="57">
        <v>0</v>
      </c>
      <c r="R202" s="58">
        <v>0</v>
      </c>
      <c r="S202" s="59">
        <v>2</v>
      </c>
      <c r="V202" s="4" t="s">
        <v>3985</v>
      </c>
      <c r="AL202" s="60" t="s">
        <v>30</v>
      </c>
    </row>
    <row r="203" spans="1:48" ht="24" x14ac:dyDescent="0.2">
      <c r="A203" s="1" t="s">
        <v>3959</v>
      </c>
      <c r="B203" s="1" t="s">
        <v>3996</v>
      </c>
      <c r="C203" s="1" t="s">
        <v>5695</v>
      </c>
      <c r="D203" s="48">
        <v>74</v>
      </c>
      <c r="E203" s="1">
        <v>3</v>
      </c>
      <c r="G203" s="1" t="s">
        <v>3997</v>
      </c>
      <c r="I203" s="1" t="s">
        <v>63</v>
      </c>
      <c r="J203" s="1" t="s">
        <v>28</v>
      </c>
      <c r="M203" s="18">
        <v>1</v>
      </c>
      <c r="V203" s="4" t="s">
        <v>3998</v>
      </c>
      <c r="AL203" s="60" t="s">
        <v>30</v>
      </c>
    </row>
    <row r="204" spans="1:48" ht="48" x14ac:dyDescent="0.2">
      <c r="A204" s="1" t="s">
        <v>3959</v>
      </c>
      <c r="B204" s="1" t="s">
        <v>3971</v>
      </c>
      <c r="C204" s="1" t="s">
        <v>5695</v>
      </c>
      <c r="D204" s="48">
        <v>75</v>
      </c>
      <c r="E204" s="1">
        <v>3</v>
      </c>
      <c r="G204" s="1" t="s">
        <v>3972</v>
      </c>
      <c r="I204" s="1" t="s">
        <v>38</v>
      </c>
      <c r="J204" s="1" t="s">
        <v>50</v>
      </c>
      <c r="K204" s="1" t="s">
        <v>51</v>
      </c>
      <c r="M204" s="18">
        <v>4</v>
      </c>
      <c r="P204" s="56">
        <v>1</v>
      </c>
      <c r="Q204" s="57">
        <v>2</v>
      </c>
      <c r="R204" s="58">
        <v>1</v>
      </c>
      <c r="S204" s="59">
        <v>2</v>
      </c>
      <c r="V204" s="4" t="s">
        <v>3973</v>
      </c>
      <c r="AL204" s="60" t="s">
        <v>30</v>
      </c>
      <c r="AS204" s="1" t="s">
        <v>6090</v>
      </c>
      <c r="AT204" s="1" t="s">
        <v>6091</v>
      </c>
      <c r="AU204" s="1" t="s">
        <v>6092</v>
      </c>
    </row>
    <row r="205" spans="1:48" ht="24" x14ac:dyDescent="0.2">
      <c r="A205" s="1" t="s">
        <v>3959</v>
      </c>
      <c r="B205" s="1" t="s">
        <v>3986</v>
      </c>
      <c r="C205" s="1" t="s">
        <v>5695</v>
      </c>
      <c r="D205" s="48">
        <v>76</v>
      </c>
      <c r="E205" s="1">
        <v>3</v>
      </c>
      <c r="G205" s="1" t="s">
        <v>3987</v>
      </c>
      <c r="I205" s="1" t="s">
        <v>63</v>
      </c>
      <c r="J205" s="1" t="s">
        <v>50</v>
      </c>
      <c r="M205" s="18">
        <v>0</v>
      </c>
      <c r="V205" s="4" t="s">
        <v>3988</v>
      </c>
      <c r="AL205" s="60" t="s">
        <v>30</v>
      </c>
      <c r="AU205" s="1" t="s">
        <v>6093</v>
      </c>
      <c r="AV205" s="1" t="s">
        <v>6046</v>
      </c>
    </row>
    <row r="206" spans="1:48" ht="24" x14ac:dyDescent="0.2">
      <c r="A206" s="1" t="s">
        <v>3959</v>
      </c>
      <c r="B206" s="1" t="s">
        <v>4027</v>
      </c>
      <c r="C206" s="1" t="s">
        <v>5695</v>
      </c>
      <c r="D206" s="48">
        <v>77</v>
      </c>
      <c r="E206" s="1">
        <v>3</v>
      </c>
      <c r="G206" s="1" t="s">
        <v>4028</v>
      </c>
      <c r="I206" s="1" t="s">
        <v>38</v>
      </c>
      <c r="J206" s="1" t="s">
        <v>57</v>
      </c>
      <c r="K206" s="1" t="s">
        <v>4029</v>
      </c>
      <c r="M206" s="18">
        <v>2</v>
      </c>
      <c r="P206" s="56">
        <v>1</v>
      </c>
      <c r="Q206" s="57">
        <v>1</v>
      </c>
      <c r="R206" s="58">
        <v>0</v>
      </c>
      <c r="S206" s="59">
        <v>2</v>
      </c>
      <c r="V206" s="4" t="s">
        <v>4030</v>
      </c>
      <c r="AL206" s="60" t="s">
        <v>30</v>
      </c>
      <c r="AU206" s="1" t="s">
        <v>6094</v>
      </c>
    </row>
    <row r="207" spans="1:48" ht="24" x14ac:dyDescent="0.2">
      <c r="A207" s="1" t="s">
        <v>3959</v>
      </c>
      <c r="B207" s="1" t="s">
        <v>3999</v>
      </c>
      <c r="C207" s="1" t="s">
        <v>5695</v>
      </c>
      <c r="D207" s="48">
        <v>78</v>
      </c>
      <c r="E207" s="1">
        <v>3</v>
      </c>
      <c r="G207" s="1" t="s">
        <v>4000</v>
      </c>
      <c r="I207" s="1" t="s">
        <v>63</v>
      </c>
      <c r="J207" s="1" t="s">
        <v>57</v>
      </c>
      <c r="M207" s="18">
        <v>1</v>
      </c>
      <c r="V207" s="4" t="s">
        <v>4001</v>
      </c>
      <c r="AL207" s="60" t="s">
        <v>30</v>
      </c>
      <c r="AU207" s="1" t="s">
        <v>6095</v>
      </c>
    </row>
    <row r="208" spans="1:48" ht="36" x14ac:dyDescent="0.2">
      <c r="A208" s="1" t="s">
        <v>3959</v>
      </c>
      <c r="B208" s="1" t="s">
        <v>3974</v>
      </c>
      <c r="C208" s="1" t="s">
        <v>5695</v>
      </c>
      <c r="D208" s="48">
        <v>79</v>
      </c>
      <c r="E208" s="1">
        <v>3</v>
      </c>
      <c r="G208" s="1" t="s">
        <v>3975</v>
      </c>
      <c r="H208" s="1" t="s">
        <v>26</v>
      </c>
      <c r="I208" s="1" t="s">
        <v>38</v>
      </c>
      <c r="J208" s="1" t="s">
        <v>39</v>
      </c>
      <c r="K208" s="1" t="s">
        <v>1136</v>
      </c>
      <c r="M208" s="18">
        <v>5</v>
      </c>
      <c r="P208" s="56">
        <v>3</v>
      </c>
      <c r="Q208" s="57">
        <v>2</v>
      </c>
      <c r="R208" s="58">
        <v>3</v>
      </c>
      <c r="S208" s="59">
        <v>3</v>
      </c>
      <c r="V208" s="4" t="s">
        <v>3976</v>
      </c>
      <c r="AL208" s="60" t="s">
        <v>30</v>
      </c>
      <c r="AU208" s="1" t="s">
        <v>6096</v>
      </c>
    </row>
    <row r="209" spans="1:47" ht="60" x14ac:dyDescent="0.2">
      <c r="A209" s="1" t="s">
        <v>3959</v>
      </c>
      <c r="B209" s="1" t="s">
        <v>3977</v>
      </c>
      <c r="C209" s="1" t="s">
        <v>5695</v>
      </c>
      <c r="D209" s="48">
        <v>80</v>
      </c>
      <c r="E209" s="1">
        <v>3</v>
      </c>
      <c r="G209" s="1" t="s">
        <v>3978</v>
      </c>
      <c r="I209" s="1" t="s">
        <v>63</v>
      </c>
      <c r="J209" s="1" t="s">
        <v>39</v>
      </c>
      <c r="M209" s="18">
        <v>3</v>
      </c>
      <c r="V209" s="4" t="s">
        <v>3979</v>
      </c>
      <c r="AL209" s="60" t="s">
        <v>30</v>
      </c>
    </row>
    <row r="210" spans="1:47" x14ac:dyDescent="0.2">
      <c r="A210" s="1" t="s">
        <v>3959</v>
      </c>
      <c r="B210" s="1" t="s">
        <v>4009</v>
      </c>
      <c r="C210" s="1" t="s">
        <v>5695</v>
      </c>
      <c r="D210" s="48">
        <v>81</v>
      </c>
      <c r="E210" s="1">
        <v>3</v>
      </c>
      <c r="G210" s="1" t="s">
        <v>4010</v>
      </c>
      <c r="I210" s="1" t="s">
        <v>56</v>
      </c>
      <c r="J210" s="1" t="s">
        <v>44</v>
      </c>
      <c r="K210" s="1" t="s">
        <v>324</v>
      </c>
      <c r="L210" s="2" t="s">
        <v>71</v>
      </c>
      <c r="M210" s="18">
        <v>1</v>
      </c>
      <c r="V210" s="4" t="s">
        <v>4011</v>
      </c>
      <c r="AL210" s="60" t="s">
        <v>30</v>
      </c>
      <c r="AU210" s="1" t="s">
        <v>6097</v>
      </c>
    </row>
    <row r="211" spans="1:47" ht="60" x14ac:dyDescent="0.2">
      <c r="A211" s="1" t="s">
        <v>3959</v>
      </c>
      <c r="B211" s="1" t="s">
        <v>4018</v>
      </c>
      <c r="C211" s="1" t="s">
        <v>5695</v>
      </c>
      <c r="D211" s="48">
        <v>82</v>
      </c>
      <c r="E211" s="1">
        <v>1</v>
      </c>
      <c r="F211" s="1" t="s">
        <v>3167</v>
      </c>
      <c r="G211" s="1" t="s">
        <v>3167</v>
      </c>
      <c r="I211" s="1" t="s">
        <v>125</v>
      </c>
      <c r="M211" s="18">
        <v>1</v>
      </c>
      <c r="N211" s="54" t="s">
        <v>9529</v>
      </c>
      <c r="V211" s="4" t="s">
        <v>4019</v>
      </c>
      <c r="X211" s="1" t="s">
        <v>127</v>
      </c>
      <c r="Y211" s="1" t="s">
        <v>3167</v>
      </c>
      <c r="AA211" s="1" t="s">
        <v>125</v>
      </c>
      <c r="AE211" s="1">
        <v>1</v>
      </c>
      <c r="AF211" s="54" t="s">
        <v>9530</v>
      </c>
      <c r="AL211" s="60" t="s">
        <v>36</v>
      </c>
      <c r="AN211" s="4" t="s">
        <v>4020</v>
      </c>
      <c r="AU211" s="1" t="s">
        <v>6098</v>
      </c>
    </row>
    <row r="212" spans="1:47" ht="24" x14ac:dyDescent="0.2">
      <c r="A212" s="1" t="s">
        <v>3959</v>
      </c>
      <c r="B212" s="1" t="s">
        <v>3960</v>
      </c>
      <c r="C212" s="1" t="s">
        <v>5695</v>
      </c>
      <c r="D212" s="48">
        <v>83</v>
      </c>
      <c r="E212" s="1">
        <v>1</v>
      </c>
      <c r="F212" s="1" t="s">
        <v>3167</v>
      </c>
      <c r="G212" s="1" t="s">
        <v>3961</v>
      </c>
      <c r="H212" s="1" t="s">
        <v>26</v>
      </c>
      <c r="I212" s="1" t="s">
        <v>104</v>
      </c>
      <c r="K212" s="1" t="s">
        <v>3179</v>
      </c>
      <c r="L212" s="2" t="s">
        <v>3962</v>
      </c>
      <c r="O212" s="55" t="s">
        <v>113</v>
      </c>
      <c r="T212" s="60">
        <v>5</v>
      </c>
      <c r="U212" s="1">
        <v>5</v>
      </c>
      <c r="V212" s="4" t="s">
        <v>3963</v>
      </c>
      <c r="AL212" s="60" t="s">
        <v>30</v>
      </c>
    </row>
    <row r="213" spans="1:47" ht="24" x14ac:dyDescent="0.2">
      <c r="A213" s="1" t="s">
        <v>3959</v>
      </c>
      <c r="B213" s="1" t="s">
        <v>3964</v>
      </c>
      <c r="C213" s="1" t="s">
        <v>5695</v>
      </c>
      <c r="D213" s="48">
        <v>84</v>
      </c>
      <c r="E213" s="1">
        <v>1</v>
      </c>
      <c r="F213" s="1" t="s">
        <v>3167</v>
      </c>
      <c r="G213" s="1" t="s">
        <v>3965</v>
      </c>
      <c r="H213" s="1" t="s">
        <v>26</v>
      </c>
      <c r="I213" s="1" t="s">
        <v>104</v>
      </c>
      <c r="K213" s="1" t="s">
        <v>3179</v>
      </c>
      <c r="L213" s="2" t="s">
        <v>3962</v>
      </c>
      <c r="O213" s="55" t="s">
        <v>113</v>
      </c>
      <c r="T213" s="60">
        <v>5</v>
      </c>
      <c r="U213" s="1">
        <v>5</v>
      </c>
      <c r="V213" s="4" t="s">
        <v>3966</v>
      </c>
      <c r="AL213" s="60" t="s">
        <v>30</v>
      </c>
    </row>
    <row r="214" spans="1:47" ht="24" x14ac:dyDescent="0.2">
      <c r="A214" s="1" t="s">
        <v>3959</v>
      </c>
      <c r="B214" s="1" t="s">
        <v>4012</v>
      </c>
      <c r="C214" s="1" t="s">
        <v>5695</v>
      </c>
      <c r="D214" s="48">
        <v>85</v>
      </c>
      <c r="E214" s="1">
        <v>2</v>
      </c>
      <c r="F214" s="1" t="s">
        <v>3167</v>
      </c>
      <c r="G214" s="1" t="s">
        <v>4013</v>
      </c>
      <c r="I214" s="1" t="s">
        <v>104</v>
      </c>
      <c r="K214" s="1" t="s">
        <v>3179</v>
      </c>
      <c r="O214" s="55">
        <v>4</v>
      </c>
      <c r="T214" s="60">
        <v>2</v>
      </c>
      <c r="U214" s="1">
        <v>3</v>
      </c>
      <c r="V214" s="4" t="s">
        <v>4014</v>
      </c>
      <c r="AL214" s="60" t="s">
        <v>30</v>
      </c>
    </row>
    <row r="215" spans="1:47" ht="36" x14ac:dyDescent="0.2">
      <c r="A215" s="1" t="s">
        <v>3959</v>
      </c>
      <c r="B215" s="1" t="s">
        <v>4021</v>
      </c>
      <c r="C215" s="1" t="s">
        <v>5695</v>
      </c>
      <c r="D215" s="48">
        <v>86</v>
      </c>
      <c r="E215" s="1">
        <v>2</v>
      </c>
      <c r="F215" s="1" t="s">
        <v>3167</v>
      </c>
      <c r="G215" s="1" t="s">
        <v>4022</v>
      </c>
      <c r="I215" s="1" t="s">
        <v>104</v>
      </c>
      <c r="K215" s="1" t="s">
        <v>3179</v>
      </c>
      <c r="O215" s="55">
        <v>3</v>
      </c>
      <c r="T215" s="60">
        <v>3</v>
      </c>
      <c r="U215" s="1">
        <v>3</v>
      </c>
      <c r="V215" s="4" t="s">
        <v>4023</v>
      </c>
      <c r="AL215" s="60" t="s">
        <v>30</v>
      </c>
    </row>
    <row r="216" spans="1:47" ht="24" x14ac:dyDescent="0.2">
      <c r="A216" s="1" t="s">
        <v>3959</v>
      </c>
      <c r="B216" s="1" t="s">
        <v>3992</v>
      </c>
      <c r="C216" s="1" t="s">
        <v>5695</v>
      </c>
      <c r="D216" s="48">
        <v>87</v>
      </c>
      <c r="E216" s="1">
        <v>2</v>
      </c>
      <c r="F216" s="1" t="s">
        <v>3167</v>
      </c>
      <c r="G216" s="1" t="s">
        <v>3993</v>
      </c>
      <c r="I216" s="1" t="s">
        <v>104</v>
      </c>
      <c r="K216" s="1" t="s">
        <v>3179</v>
      </c>
      <c r="O216" s="55">
        <v>2</v>
      </c>
      <c r="T216" s="60">
        <v>4</v>
      </c>
      <c r="U216" s="1">
        <v>3</v>
      </c>
      <c r="V216" s="4" t="s">
        <v>3994</v>
      </c>
      <c r="W216" s="4" t="s">
        <v>3995</v>
      </c>
      <c r="AL216" s="60" t="s">
        <v>30</v>
      </c>
    </row>
    <row r="217" spans="1:47" ht="24" x14ac:dyDescent="0.2">
      <c r="A217" s="1" t="s">
        <v>3959</v>
      </c>
      <c r="B217" s="1" t="s">
        <v>4031</v>
      </c>
      <c r="C217" s="1" t="s">
        <v>5695</v>
      </c>
      <c r="D217" s="48">
        <v>88</v>
      </c>
      <c r="E217" s="1">
        <v>3</v>
      </c>
      <c r="F217" s="1" t="s">
        <v>3167</v>
      </c>
      <c r="G217" s="1" t="s">
        <v>4032</v>
      </c>
      <c r="I217" s="1" t="s">
        <v>104</v>
      </c>
      <c r="K217" s="1" t="s">
        <v>3179</v>
      </c>
      <c r="O217" s="55">
        <v>2</v>
      </c>
      <c r="T217" s="60">
        <v>2</v>
      </c>
      <c r="U217" s="1">
        <v>2</v>
      </c>
      <c r="V217" s="4" t="s">
        <v>4033</v>
      </c>
      <c r="W217" s="4" t="s">
        <v>3995</v>
      </c>
      <c r="AL217" s="60" t="s">
        <v>30</v>
      </c>
    </row>
    <row r="218" spans="1:47" ht="24" x14ac:dyDescent="0.2">
      <c r="A218" s="1" t="s">
        <v>3959</v>
      </c>
      <c r="B218" s="1" t="s">
        <v>4024</v>
      </c>
      <c r="C218" s="1" t="s">
        <v>5695</v>
      </c>
      <c r="D218" s="48">
        <v>89</v>
      </c>
      <c r="E218" s="1">
        <v>3</v>
      </c>
      <c r="F218" s="1" t="s">
        <v>3167</v>
      </c>
      <c r="G218" s="1" t="s">
        <v>4025</v>
      </c>
      <c r="I218" s="1" t="s">
        <v>104</v>
      </c>
      <c r="K218" s="1" t="s">
        <v>3179</v>
      </c>
      <c r="O218" s="55">
        <v>2</v>
      </c>
      <c r="T218" s="60">
        <v>2</v>
      </c>
      <c r="U218" s="1">
        <v>2</v>
      </c>
      <c r="V218" s="4" t="s">
        <v>4026</v>
      </c>
      <c r="W218" s="4" t="s">
        <v>3995</v>
      </c>
      <c r="AL218" s="60" t="s">
        <v>30</v>
      </c>
    </row>
    <row r="219" spans="1:47" ht="24" x14ac:dyDescent="0.2">
      <c r="A219" s="1" t="s">
        <v>3959</v>
      </c>
      <c r="B219" s="1" t="s">
        <v>4015</v>
      </c>
      <c r="C219" s="1" t="s">
        <v>5695</v>
      </c>
      <c r="D219" s="48">
        <v>90</v>
      </c>
      <c r="E219" s="1">
        <v>4</v>
      </c>
      <c r="F219" s="1" t="s">
        <v>3167</v>
      </c>
      <c r="G219" s="1" t="s">
        <v>4016</v>
      </c>
      <c r="I219" s="1" t="s">
        <v>104</v>
      </c>
      <c r="K219" s="1" t="s">
        <v>3179</v>
      </c>
      <c r="O219" s="55">
        <v>1</v>
      </c>
      <c r="T219" s="60">
        <v>1</v>
      </c>
      <c r="U219" s="1">
        <v>1</v>
      </c>
      <c r="V219" s="4" t="s">
        <v>4017</v>
      </c>
      <c r="AL219" s="60" t="s">
        <v>30</v>
      </c>
    </row>
    <row r="220" spans="1:47" ht="36" x14ac:dyDescent="0.2">
      <c r="A220" s="1" t="s">
        <v>3959</v>
      </c>
      <c r="B220" s="1" t="s">
        <v>3980</v>
      </c>
      <c r="C220" s="1" t="s">
        <v>5695</v>
      </c>
      <c r="D220" s="48">
        <v>91</v>
      </c>
      <c r="E220" s="1">
        <v>4</v>
      </c>
      <c r="F220" s="1" t="s">
        <v>3167</v>
      </c>
      <c r="G220" s="1" t="s">
        <v>3981</v>
      </c>
      <c r="I220" s="1" t="s">
        <v>82</v>
      </c>
      <c r="K220" s="1" t="s">
        <v>2713</v>
      </c>
      <c r="V220" s="4" t="s">
        <v>3982</v>
      </c>
      <c r="AL220" s="60" t="s">
        <v>30</v>
      </c>
    </row>
    <row r="221" spans="1:47" ht="24" x14ac:dyDescent="0.2">
      <c r="A221" s="1" t="s">
        <v>3959</v>
      </c>
      <c r="B221" s="1" t="s">
        <v>4002</v>
      </c>
      <c r="C221" s="1" t="s">
        <v>5695</v>
      </c>
      <c r="D221" s="48">
        <v>92</v>
      </c>
      <c r="E221" s="1">
        <v>3</v>
      </c>
      <c r="F221" s="1" t="s">
        <v>3167</v>
      </c>
      <c r="G221" s="1" t="s">
        <v>4003</v>
      </c>
      <c r="I221" s="1" t="s">
        <v>82</v>
      </c>
      <c r="K221" s="1" t="s">
        <v>2713</v>
      </c>
      <c r="V221" s="4" t="s">
        <v>4004</v>
      </c>
      <c r="W221" s="4" t="s">
        <v>4005</v>
      </c>
      <c r="AL221" s="60" t="s">
        <v>30</v>
      </c>
    </row>
    <row r="222" spans="1:47" ht="36" x14ac:dyDescent="0.2">
      <c r="A222" s="1" t="s">
        <v>3959</v>
      </c>
      <c r="B222" s="1" t="s">
        <v>4006</v>
      </c>
      <c r="C222" s="1" t="s">
        <v>5695</v>
      </c>
      <c r="D222" s="48">
        <v>93</v>
      </c>
      <c r="E222" s="1">
        <v>3</v>
      </c>
      <c r="F222" s="1" t="s">
        <v>3167</v>
      </c>
      <c r="G222" s="1" t="s">
        <v>4007</v>
      </c>
      <c r="I222" s="1" t="s">
        <v>82</v>
      </c>
      <c r="K222" s="1" t="s">
        <v>2713</v>
      </c>
      <c r="V222" s="4" t="s">
        <v>4008</v>
      </c>
      <c r="AL222" s="60" t="s">
        <v>30</v>
      </c>
    </row>
    <row r="223" spans="1:47" x14ac:dyDescent="0.2">
      <c r="A223" s="1" t="s">
        <v>3959</v>
      </c>
      <c r="B223" s="1" t="s">
        <v>3989</v>
      </c>
      <c r="C223" s="1" t="s">
        <v>5695</v>
      </c>
      <c r="D223" s="48">
        <v>94</v>
      </c>
      <c r="E223" s="1">
        <v>3</v>
      </c>
      <c r="F223" s="1" t="s">
        <v>3167</v>
      </c>
      <c r="G223" s="1" t="s">
        <v>3990</v>
      </c>
      <c r="I223" s="1" t="s">
        <v>94</v>
      </c>
      <c r="K223" s="1" t="s">
        <v>2558</v>
      </c>
      <c r="L223" s="2" t="s">
        <v>1233</v>
      </c>
      <c r="N223" s="54">
        <v>35</v>
      </c>
      <c r="O223" s="55">
        <v>3</v>
      </c>
      <c r="Q223" s="57">
        <v>1</v>
      </c>
      <c r="R223" s="58">
        <v>2</v>
      </c>
      <c r="S223" s="59">
        <v>6</v>
      </c>
      <c r="V223" s="4" t="s">
        <v>3991</v>
      </c>
      <c r="AL223" s="60" t="s">
        <v>30</v>
      </c>
    </row>
    <row r="224" spans="1:47" ht="48" x14ac:dyDescent="0.2">
      <c r="A224" s="109" t="s">
        <v>3817</v>
      </c>
      <c r="B224" s="109" t="s">
        <v>3821</v>
      </c>
      <c r="C224" s="109" t="s">
        <v>5696</v>
      </c>
      <c r="D224" s="110">
        <v>95</v>
      </c>
      <c r="E224" s="109">
        <v>1</v>
      </c>
      <c r="F224" s="109"/>
      <c r="G224" s="109" t="s">
        <v>2417</v>
      </c>
      <c r="H224" s="1" t="s">
        <v>26</v>
      </c>
      <c r="I224" s="1" t="s">
        <v>27</v>
      </c>
      <c r="J224" s="1" t="s">
        <v>50</v>
      </c>
      <c r="K224" s="1" t="s">
        <v>3822</v>
      </c>
      <c r="M224" s="18">
        <v>11</v>
      </c>
      <c r="P224" s="56">
        <v>1</v>
      </c>
      <c r="Q224" s="57">
        <v>3</v>
      </c>
      <c r="R224" s="58">
        <v>2</v>
      </c>
      <c r="S224" s="59">
        <v>5</v>
      </c>
      <c r="V224" s="4" t="s">
        <v>3823</v>
      </c>
      <c r="AL224" s="60" t="s">
        <v>30</v>
      </c>
      <c r="AU224" s="1" t="s">
        <v>6099</v>
      </c>
    </row>
    <row r="225" spans="1:48" ht="24" x14ac:dyDescent="0.2">
      <c r="A225" s="1" t="s">
        <v>3817</v>
      </c>
      <c r="B225" s="1" t="s">
        <v>3826</v>
      </c>
      <c r="C225" s="1" t="s">
        <v>5696</v>
      </c>
      <c r="D225" s="48">
        <v>96</v>
      </c>
      <c r="E225" s="1">
        <v>3</v>
      </c>
      <c r="G225" s="1" t="s">
        <v>5900</v>
      </c>
      <c r="I225" s="1" t="s">
        <v>38</v>
      </c>
      <c r="J225" s="1" t="s">
        <v>28</v>
      </c>
      <c r="K225" s="1" t="s">
        <v>389</v>
      </c>
      <c r="M225" s="18">
        <v>3</v>
      </c>
      <c r="P225" s="56">
        <v>1</v>
      </c>
      <c r="Q225" s="57">
        <v>1</v>
      </c>
      <c r="R225" s="58">
        <v>1</v>
      </c>
      <c r="S225" s="59">
        <v>2</v>
      </c>
      <c r="V225" s="4" t="s">
        <v>3827</v>
      </c>
      <c r="AL225" s="60" t="s">
        <v>30</v>
      </c>
    </row>
    <row r="226" spans="1:48" ht="48" x14ac:dyDescent="0.2">
      <c r="A226" s="1" t="s">
        <v>3817</v>
      </c>
      <c r="B226" s="1" t="s">
        <v>3824</v>
      </c>
      <c r="C226" s="1" t="s">
        <v>5696</v>
      </c>
      <c r="D226" s="48">
        <v>97</v>
      </c>
      <c r="E226" s="1">
        <v>3</v>
      </c>
      <c r="G226" s="1" t="s">
        <v>5901</v>
      </c>
      <c r="I226" s="1" t="s">
        <v>56</v>
      </c>
      <c r="J226" s="1" t="s">
        <v>28</v>
      </c>
      <c r="K226" s="1" t="s">
        <v>89</v>
      </c>
      <c r="L226" s="2" t="s">
        <v>71</v>
      </c>
      <c r="M226" s="18">
        <v>2</v>
      </c>
      <c r="V226" s="4" t="s">
        <v>3825</v>
      </c>
      <c r="AL226" s="60" t="s">
        <v>30</v>
      </c>
    </row>
    <row r="227" spans="1:48" ht="48" x14ac:dyDescent="0.2">
      <c r="A227" s="1" t="s">
        <v>3817</v>
      </c>
      <c r="B227" s="1" t="s">
        <v>3872</v>
      </c>
      <c r="C227" s="1" t="s">
        <v>5696</v>
      </c>
      <c r="D227" s="48">
        <v>98</v>
      </c>
      <c r="E227" s="1">
        <v>3</v>
      </c>
      <c r="G227" s="1" t="s">
        <v>3873</v>
      </c>
      <c r="I227" s="1" t="s">
        <v>38</v>
      </c>
      <c r="J227" s="1" t="s">
        <v>50</v>
      </c>
      <c r="K227" s="1" t="s">
        <v>51</v>
      </c>
      <c r="L227" s="2" t="s">
        <v>171</v>
      </c>
      <c r="M227" s="18">
        <v>1</v>
      </c>
      <c r="P227" s="56">
        <v>0</v>
      </c>
      <c r="Q227" s="57">
        <v>3</v>
      </c>
      <c r="R227" s="58">
        <v>0</v>
      </c>
      <c r="S227" s="59">
        <v>1</v>
      </c>
      <c r="V227" s="4" t="s">
        <v>3874</v>
      </c>
      <c r="AL227" s="60" t="s">
        <v>30</v>
      </c>
      <c r="AU227" s="1" t="s">
        <v>6100</v>
      </c>
      <c r="AV227" s="1" t="s">
        <v>6046</v>
      </c>
    </row>
    <row r="228" spans="1:48" ht="36" x14ac:dyDescent="0.2">
      <c r="A228" s="1" t="s">
        <v>3817</v>
      </c>
      <c r="B228" s="1" t="s">
        <v>3858</v>
      </c>
      <c r="C228" s="1" t="s">
        <v>5696</v>
      </c>
      <c r="D228" s="48">
        <v>99</v>
      </c>
      <c r="E228" s="1">
        <v>3</v>
      </c>
      <c r="G228" s="1" t="s">
        <v>3859</v>
      </c>
      <c r="I228" s="1" t="s">
        <v>56</v>
      </c>
      <c r="J228" s="1" t="s">
        <v>50</v>
      </c>
      <c r="K228" s="1" t="s">
        <v>324</v>
      </c>
      <c r="L228" s="2" t="s">
        <v>71</v>
      </c>
      <c r="M228" s="18">
        <v>1</v>
      </c>
      <c r="V228" s="4" t="s">
        <v>3860</v>
      </c>
      <c r="AL228" s="60" t="s">
        <v>30</v>
      </c>
      <c r="AU228" s="1" t="s">
        <v>6101</v>
      </c>
    </row>
    <row r="229" spans="1:48" ht="36" x14ac:dyDescent="0.2">
      <c r="A229" s="1" t="s">
        <v>3817</v>
      </c>
      <c r="B229" s="1" t="s">
        <v>3828</v>
      </c>
      <c r="C229" s="1" t="s">
        <v>5696</v>
      </c>
      <c r="D229" s="48">
        <v>100</v>
      </c>
      <c r="E229" s="1">
        <v>3</v>
      </c>
      <c r="G229" s="1" t="s">
        <v>3829</v>
      </c>
      <c r="H229" s="1" t="s">
        <v>26</v>
      </c>
      <c r="I229" s="1" t="s">
        <v>38</v>
      </c>
      <c r="J229" s="1" t="s">
        <v>57</v>
      </c>
      <c r="K229" s="1" t="s">
        <v>368</v>
      </c>
      <c r="M229" s="18">
        <v>4</v>
      </c>
      <c r="P229" s="56">
        <v>1</v>
      </c>
      <c r="Q229" s="57">
        <v>2</v>
      </c>
      <c r="R229" s="58">
        <v>2</v>
      </c>
      <c r="S229" s="59">
        <v>3</v>
      </c>
      <c r="V229" s="4" t="s">
        <v>3830</v>
      </c>
      <c r="AL229" s="60" t="s">
        <v>30</v>
      </c>
      <c r="AU229" s="1" t="s">
        <v>6102</v>
      </c>
      <c r="AV229" s="1" t="s">
        <v>5980</v>
      </c>
    </row>
    <row r="230" spans="1:48" ht="24" x14ac:dyDescent="0.2">
      <c r="A230" s="1" t="s">
        <v>3817</v>
      </c>
      <c r="B230" s="1" t="s">
        <v>3875</v>
      </c>
      <c r="C230" s="1" t="s">
        <v>5696</v>
      </c>
      <c r="D230" s="48">
        <v>101</v>
      </c>
      <c r="E230" s="1">
        <v>3</v>
      </c>
      <c r="G230" s="1" t="s">
        <v>3876</v>
      </c>
      <c r="I230" s="1" t="s">
        <v>63</v>
      </c>
      <c r="J230" s="1" t="s">
        <v>57</v>
      </c>
      <c r="M230" s="18">
        <v>5</v>
      </c>
      <c r="V230" s="4" t="s">
        <v>3877</v>
      </c>
      <c r="AL230" s="60" t="s">
        <v>30</v>
      </c>
    </row>
    <row r="231" spans="1:48" ht="24" x14ac:dyDescent="0.2">
      <c r="A231" s="1" t="s">
        <v>3817</v>
      </c>
      <c r="B231" s="1" t="s">
        <v>3852</v>
      </c>
      <c r="C231" s="1" t="s">
        <v>5696</v>
      </c>
      <c r="D231" s="48">
        <v>102</v>
      </c>
      <c r="E231" s="1">
        <v>3</v>
      </c>
      <c r="G231" s="1" t="s">
        <v>3853</v>
      </c>
      <c r="I231" s="1" t="s">
        <v>38</v>
      </c>
      <c r="J231" s="1" t="s">
        <v>39</v>
      </c>
      <c r="K231" s="1" t="s">
        <v>40</v>
      </c>
      <c r="M231" s="18">
        <v>3</v>
      </c>
      <c r="P231" s="56">
        <v>1</v>
      </c>
      <c r="Q231" s="57">
        <v>1</v>
      </c>
      <c r="R231" s="58">
        <v>1</v>
      </c>
      <c r="S231" s="59">
        <v>3</v>
      </c>
      <c r="V231" s="4" t="s">
        <v>3854</v>
      </c>
      <c r="AL231" s="60" t="s">
        <v>30</v>
      </c>
    </row>
    <row r="232" spans="1:48" x14ac:dyDescent="0.2">
      <c r="A232" s="1" t="s">
        <v>3817</v>
      </c>
      <c r="B232" s="1" t="s">
        <v>3831</v>
      </c>
      <c r="C232" s="1" t="s">
        <v>5696</v>
      </c>
      <c r="D232" s="48">
        <v>103</v>
      </c>
      <c r="E232" s="1">
        <v>3</v>
      </c>
      <c r="G232" s="1" t="s">
        <v>3832</v>
      </c>
      <c r="I232" s="1" t="s">
        <v>56</v>
      </c>
      <c r="J232" s="1" t="s">
        <v>39</v>
      </c>
      <c r="K232" s="1" t="s">
        <v>568</v>
      </c>
      <c r="L232" s="2" t="s">
        <v>3833</v>
      </c>
      <c r="M232" s="18">
        <v>1</v>
      </c>
      <c r="V232" s="4" t="s">
        <v>3834</v>
      </c>
      <c r="AL232" s="60" t="s">
        <v>30</v>
      </c>
    </row>
    <row r="233" spans="1:48" x14ac:dyDescent="0.2">
      <c r="A233" s="1" t="s">
        <v>3817</v>
      </c>
      <c r="B233" s="1" t="s">
        <v>3855</v>
      </c>
      <c r="C233" s="1" t="s">
        <v>5696</v>
      </c>
      <c r="D233" s="48">
        <v>104</v>
      </c>
      <c r="E233" s="1">
        <v>3</v>
      </c>
      <c r="G233" s="1" t="s">
        <v>3856</v>
      </c>
      <c r="I233" s="1" t="s">
        <v>56</v>
      </c>
      <c r="J233" s="1" t="s">
        <v>44</v>
      </c>
      <c r="K233" s="1" t="s">
        <v>324</v>
      </c>
      <c r="L233" s="2" t="s">
        <v>71</v>
      </c>
      <c r="M233" s="18">
        <v>1</v>
      </c>
      <c r="V233" s="4" t="s">
        <v>3857</v>
      </c>
      <c r="AL233" s="60" t="s">
        <v>30</v>
      </c>
      <c r="AU233" s="1" t="s">
        <v>6103</v>
      </c>
    </row>
    <row r="234" spans="1:48" ht="36" x14ac:dyDescent="0.2">
      <c r="A234" s="1" t="s">
        <v>3817</v>
      </c>
      <c r="B234" s="1" t="s">
        <v>3847</v>
      </c>
      <c r="C234" s="1" t="s">
        <v>5696</v>
      </c>
      <c r="D234" s="48">
        <v>105</v>
      </c>
      <c r="E234" s="1">
        <v>1</v>
      </c>
      <c r="F234" s="1" t="s">
        <v>3201</v>
      </c>
      <c r="G234" s="1" t="s">
        <v>9536</v>
      </c>
      <c r="I234" s="1" t="s">
        <v>125</v>
      </c>
      <c r="M234" s="18">
        <v>1</v>
      </c>
      <c r="N234" s="54" t="s">
        <v>9529</v>
      </c>
      <c r="V234" s="4" t="s">
        <v>3848</v>
      </c>
      <c r="X234" s="1" t="s">
        <v>1629</v>
      </c>
      <c r="Y234" s="1" t="s">
        <v>9536</v>
      </c>
      <c r="AA234" s="1" t="s">
        <v>125</v>
      </c>
      <c r="AE234" s="1">
        <v>1</v>
      </c>
      <c r="AF234" s="54" t="s">
        <v>9530</v>
      </c>
      <c r="AL234" s="60" t="s">
        <v>337</v>
      </c>
    </row>
    <row r="235" spans="1:48" ht="84" x14ac:dyDescent="0.2">
      <c r="A235" s="1" t="s">
        <v>3817</v>
      </c>
      <c r="B235" s="1" t="s">
        <v>3861</v>
      </c>
      <c r="C235" s="1" t="s">
        <v>5696</v>
      </c>
      <c r="D235" s="48">
        <v>106</v>
      </c>
      <c r="E235" s="1">
        <v>1</v>
      </c>
      <c r="F235" s="1" t="s">
        <v>3201</v>
      </c>
      <c r="G235" s="1" t="s">
        <v>9595</v>
      </c>
      <c r="I235" s="1" t="s">
        <v>125</v>
      </c>
      <c r="M235" s="18">
        <v>2</v>
      </c>
      <c r="N235" s="54" t="s">
        <v>9529</v>
      </c>
      <c r="Y235" s="1" t="s">
        <v>9595</v>
      </c>
      <c r="AA235" s="1" t="s">
        <v>125</v>
      </c>
      <c r="AE235" s="1">
        <v>2</v>
      </c>
      <c r="AF235" s="54" t="s">
        <v>9530</v>
      </c>
      <c r="AL235" s="60" t="s">
        <v>33</v>
      </c>
      <c r="AN235" s="4" t="s">
        <v>3862</v>
      </c>
      <c r="AU235" s="1" t="s">
        <v>6104</v>
      </c>
    </row>
    <row r="236" spans="1:48" ht="72" x14ac:dyDescent="0.2">
      <c r="A236" s="1" t="s">
        <v>3817</v>
      </c>
      <c r="B236" s="1" t="s">
        <v>3841</v>
      </c>
      <c r="C236" s="1" t="s">
        <v>5696</v>
      </c>
      <c r="D236" s="48">
        <v>107</v>
      </c>
      <c r="E236" s="1">
        <v>1</v>
      </c>
      <c r="F236" s="1" t="s">
        <v>3201</v>
      </c>
      <c r="G236" s="1" t="s">
        <v>2947</v>
      </c>
      <c r="H236" s="1" t="s">
        <v>26</v>
      </c>
      <c r="I236" s="1" t="s">
        <v>88</v>
      </c>
      <c r="K236" s="1" t="s">
        <v>3842</v>
      </c>
      <c r="V236" s="4" t="s">
        <v>3843</v>
      </c>
      <c r="AL236" s="60" t="s">
        <v>30</v>
      </c>
      <c r="AU236" s="1" t="s">
        <v>6105</v>
      </c>
    </row>
    <row r="237" spans="1:48" ht="48" x14ac:dyDescent="0.2">
      <c r="A237" s="1" t="s">
        <v>3817</v>
      </c>
      <c r="B237" s="1" t="s">
        <v>3818</v>
      </c>
      <c r="C237" s="1" t="s">
        <v>5696</v>
      </c>
      <c r="D237" s="48">
        <v>108</v>
      </c>
      <c r="E237" s="1">
        <v>3</v>
      </c>
      <c r="F237" s="1" t="s">
        <v>3201</v>
      </c>
      <c r="G237" s="1" t="s">
        <v>3819</v>
      </c>
      <c r="I237" s="1" t="s">
        <v>82</v>
      </c>
      <c r="K237" s="1" t="s">
        <v>3229</v>
      </c>
      <c r="V237" s="4" t="s">
        <v>3820</v>
      </c>
      <c r="AL237" s="60" t="s">
        <v>30</v>
      </c>
    </row>
    <row r="238" spans="1:48" ht="60" x14ac:dyDescent="0.2">
      <c r="A238" s="1" t="s">
        <v>3817</v>
      </c>
      <c r="B238" s="1" t="s">
        <v>3849</v>
      </c>
      <c r="C238" s="1" t="s">
        <v>5696</v>
      </c>
      <c r="D238" s="48">
        <v>109</v>
      </c>
      <c r="E238" s="1">
        <v>3</v>
      </c>
      <c r="F238" s="1" t="s">
        <v>3201</v>
      </c>
      <c r="G238" s="1" t="s">
        <v>3850</v>
      </c>
      <c r="I238" s="1" t="s">
        <v>82</v>
      </c>
      <c r="K238" s="1" t="s">
        <v>3229</v>
      </c>
      <c r="V238" s="4" t="s">
        <v>3851</v>
      </c>
      <c r="AL238" s="60" t="s">
        <v>30</v>
      </c>
    </row>
    <row r="239" spans="1:48" ht="72" x14ac:dyDescent="0.2">
      <c r="A239" s="1" t="s">
        <v>3817</v>
      </c>
      <c r="B239" s="1" t="s">
        <v>3869</v>
      </c>
      <c r="C239" s="1" t="s">
        <v>5696</v>
      </c>
      <c r="D239" s="48">
        <v>110</v>
      </c>
      <c r="E239" s="1">
        <v>3</v>
      </c>
      <c r="F239" s="1" t="s">
        <v>3201</v>
      </c>
      <c r="G239" s="1" t="s">
        <v>3870</v>
      </c>
      <c r="I239" s="1" t="s">
        <v>82</v>
      </c>
      <c r="K239" s="1" t="s">
        <v>3229</v>
      </c>
      <c r="V239" s="4" t="s">
        <v>3871</v>
      </c>
      <c r="AL239" s="60" t="s">
        <v>30</v>
      </c>
    </row>
    <row r="240" spans="1:48" ht="60" x14ac:dyDescent="0.2">
      <c r="A240" s="1" t="s">
        <v>3817</v>
      </c>
      <c r="B240" s="1" t="s">
        <v>3866</v>
      </c>
      <c r="C240" s="1" t="s">
        <v>5696</v>
      </c>
      <c r="D240" s="48">
        <v>111</v>
      </c>
      <c r="E240" s="1">
        <v>4</v>
      </c>
      <c r="F240" s="1" t="s">
        <v>3201</v>
      </c>
      <c r="G240" s="1" t="s">
        <v>3867</v>
      </c>
      <c r="I240" s="1" t="s">
        <v>82</v>
      </c>
      <c r="K240" s="1" t="s">
        <v>3229</v>
      </c>
      <c r="V240" s="4" t="s">
        <v>3868</v>
      </c>
      <c r="AL240" s="60" t="s">
        <v>30</v>
      </c>
    </row>
    <row r="241" spans="1:48" ht="48" x14ac:dyDescent="0.2">
      <c r="A241" s="1" t="s">
        <v>3817</v>
      </c>
      <c r="B241" s="1" t="s">
        <v>3838</v>
      </c>
      <c r="C241" s="1" t="s">
        <v>5696</v>
      </c>
      <c r="D241" s="48">
        <v>112</v>
      </c>
      <c r="E241" s="1">
        <v>4</v>
      </c>
      <c r="F241" s="1" t="s">
        <v>3201</v>
      </c>
      <c r="G241" s="1" t="s">
        <v>3839</v>
      </c>
      <c r="I241" s="1" t="s">
        <v>94</v>
      </c>
      <c r="K241" s="1" t="s">
        <v>95</v>
      </c>
      <c r="N241" s="54">
        <v>36</v>
      </c>
      <c r="O241" s="55">
        <v>1</v>
      </c>
      <c r="Q241" s="57">
        <v>3</v>
      </c>
      <c r="R241" s="58">
        <v>2</v>
      </c>
      <c r="S241" s="59">
        <v>6</v>
      </c>
      <c r="V241" s="4" t="s">
        <v>3840</v>
      </c>
      <c r="AL241" s="60" t="s">
        <v>30</v>
      </c>
    </row>
    <row r="242" spans="1:48" ht="48" x14ac:dyDescent="0.2">
      <c r="A242" s="1" t="s">
        <v>3817</v>
      </c>
      <c r="B242" s="1" t="s">
        <v>3844</v>
      </c>
      <c r="C242" s="1" t="s">
        <v>5696</v>
      </c>
      <c r="D242" s="48">
        <v>113</v>
      </c>
      <c r="E242" s="1">
        <v>4</v>
      </c>
      <c r="F242" s="1" t="s">
        <v>3201</v>
      </c>
      <c r="G242" s="1" t="s">
        <v>3845</v>
      </c>
      <c r="I242" s="1" t="s">
        <v>104</v>
      </c>
      <c r="K242" s="1" t="s">
        <v>3206</v>
      </c>
      <c r="O242" s="55">
        <v>1</v>
      </c>
      <c r="T242" s="60">
        <v>12</v>
      </c>
      <c r="U242" s="1">
        <v>7</v>
      </c>
      <c r="V242" s="4" t="s">
        <v>3846</v>
      </c>
      <c r="AL242" s="60" t="s">
        <v>30</v>
      </c>
      <c r="AU242" s="1" t="s">
        <v>6106</v>
      </c>
    </row>
    <row r="243" spans="1:48" ht="60" x14ac:dyDescent="0.2">
      <c r="A243" s="1" t="s">
        <v>3817</v>
      </c>
      <c r="B243" s="1" t="s">
        <v>3863</v>
      </c>
      <c r="C243" s="1" t="s">
        <v>5696</v>
      </c>
      <c r="D243" s="48">
        <v>114</v>
      </c>
      <c r="E243" s="1">
        <v>4</v>
      </c>
      <c r="F243" s="1" t="s">
        <v>3201</v>
      </c>
      <c r="G243" s="1" t="s">
        <v>3864</v>
      </c>
      <c r="I243" s="1" t="s">
        <v>104</v>
      </c>
      <c r="K243" s="1" t="s">
        <v>3206</v>
      </c>
      <c r="O243" s="55">
        <v>3</v>
      </c>
      <c r="T243" s="60">
        <v>4</v>
      </c>
      <c r="V243" s="4" t="s">
        <v>3865</v>
      </c>
      <c r="AL243" s="60" t="s">
        <v>30</v>
      </c>
    </row>
    <row r="244" spans="1:48" ht="48" x14ac:dyDescent="0.2">
      <c r="A244" s="1" t="s">
        <v>3817</v>
      </c>
      <c r="B244" s="1" t="s">
        <v>3835</v>
      </c>
      <c r="C244" s="1" t="s">
        <v>5696</v>
      </c>
      <c r="D244" s="48">
        <v>115</v>
      </c>
      <c r="E244" s="1">
        <v>4</v>
      </c>
      <c r="F244" s="1" t="s">
        <v>3201</v>
      </c>
      <c r="G244" s="1" t="s">
        <v>3836</v>
      </c>
      <c r="I244" s="1" t="s">
        <v>104</v>
      </c>
      <c r="K244" s="1" t="s">
        <v>3206</v>
      </c>
      <c r="O244" s="55">
        <v>2</v>
      </c>
      <c r="T244" s="60">
        <v>2</v>
      </c>
      <c r="V244" s="4" t="s">
        <v>3837</v>
      </c>
      <c r="AL244" s="60" t="s">
        <v>30</v>
      </c>
    </row>
    <row r="245" spans="1:48" x14ac:dyDescent="0.2">
      <c r="A245" s="109" t="s">
        <v>2921</v>
      </c>
      <c r="B245" s="109" t="s">
        <v>2931</v>
      </c>
      <c r="C245" s="109" t="s">
        <v>5697</v>
      </c>
      <c r="D245" s="110">
        <v>116</v>
      </c>
      <c r="E245" s="109">
        <v>1</v>
      </c>
      <c r="F245" s="109"/>
      <c r="G245" s="109" t="s">
        <v>5902</v>
      </c>
      <c r="H245" s="1" t="s">
        <v>26</v>
      </c>
      <c r="I245" s="1" t="s">
        <v>27</v>
      </c>
      <c r="J245" s="1" t="s">
        <v>28</v>
      </c>
      <c r="K245" s="1" t="s">
        <v>283</v>
      </c>
      <c r="M245" s="18">
        <v>11</v>
      </c>
      <c r="P245" s="56">
        <v>1</v>
      </c>
      <c r="Q245" s="57">
        <v>2</v>
      </c>
      <c r="R245" s="58">
        <v>3</v>
      </c>
      <c r="S245" s="59">
        <v>5</v>
      </c>
      <c r="V245" s="4" t="s">
        <v>2932</v>
      </c>
      <c r="AL245" s="60" t="s">
        <v>30</v>
      </c>
      <c r="AU245" s="1" t="s">
        <v>6107</v>
      </c>
      <c r="AV245" s="1" t="s">
        <v>6108</v>
      </c>
    </row>
    <row r="246" spans="1:48" ht="48" x14ac:dyDescent="0.2">
      <c r="A246" s="1" t="s">
        <v>2921</v>
      </c>
      <c r="B246" s="1" t="s">
        <v>2939</v>
      </c>
      <c r="C246" s="1" t="s">
        <v>5697</v>
      </c>
      <c r="D246" s="48">
        <v>117</v>
      </c>
      <c r="E246" s="1">
        <v>3</v>
      </c>
      <c r="G246" s="1" t="s">
        <v>5903</v>
      </c>
      <c r="I246" s="1" t="s">
        <v>56</v>
      </c>
      <c r="J246" s="1" t="s">
        <v>28</v>
      </c>
      <c r="K246" s="1" t="s">
        <v>70</v>
      </c>
      <c r="L246" s="2" t="s">
        <v>71</v>
      </c>
      <c r="M246" s="18">
        <v>1</v>
      </c>
      <c r="V246" s="4" t="s">
        <v>2940</v>
      </c>
      <c r="AL246" s="60" t="s">
        <v>30</v>
      </c>
    </row>
    <row r="247" spans="1:48" ht="60" x14ac:dyDescent="0.2">
      <c r="A247" s="1" t="s">
        <v>2921</v>
      </c>
      <c r="B247" s="1" t="s">
        <v>2933</v>
      </c>
      <c r="C247" s="1" t="s">
        <v>5697</v>
      </c>
      <c r="D247" s="48">
        <v>118</v>
      </c>
      <c r="E247" s="1">
        <v>3</v>
      </c>
      <c r="G247" s="1" t="s">
        <v>2934</v>
      </c>
      <c r="I247" s="1" t="s">
        <v>63</v>
      </c>
      <c r="J247" s="1" t="s">
        <v>28</v>
      </c>
      <c r="M247" s="18">
        <v>2</v>
      </c>
      <c r="V247" s="4" t="s">
        <v>2935</v>
      </c>
      <c r="AL247" s="60" t="s">
        <v>30</v>
      </c>
      <c r="AU247" s="1" t="s">
        <v>6109</v>
      </c>
      <c r="AV247" s="1" t="s">
        <v>5980</v>
      </c>
    </row>
    <row r="248" spans="1:48" ht="72" x14ac:dyDescent="0.2">
      <c r="A248" s="1" t="s">
        <v>2921</v>
      </c>
      <c r="B248" s="1" t="s">
        <v>2941</v>
      </c>
      <c r="C248" s="1" t="s">
        <v>5697</v>
      </c>
      <c r="D248" s="48">
        <v>119</v>
      </c>
      <c r="E248" s="1">
        <v>3</v>
      </c>
      <c r="G248" s="1" t="s">
        <v>2942</v>
      </c>
      <c r="I248" s="1" t="s">
        <v>38</v>
      </c>
      <c r="J248" s="1" t="s">
        <v>50</v>
      </c>
      <c r="K248" s="1" t="s">
        <v>51</v>
      </c>
      <c r="M248" s="18">
        <v>4</v>
      </c>
      <c r="P248" s="56">
        <v>2</v>
      </c>
      <c r="Q248" s="57">
        <v>2</v>
      </c>
      <c r="R248" s="58">
        <v>2</v>
      </c>
      <c r="S248" s="59">
        <v>4</v>
      </c>
      <c r="V248" s="4" t="s">
        <v>2943</v>
      </c>
      <c r="AL248" s="60" t="s">
        <v>30</v>
      </c>
    </row>
    <row r="249" spans="1:48" ht="36" x14ac:dyDescent="0.2">
      <c r="A249" s="1" t="s">
        <v>2921</v>
      </c>
      <c r="B249" s="1" t="s">
        <v>2970</v>
      </c>
      <c r="C249" s="1" t="s">
        <v>5697</v>
      </c>
      <c r="D249" s="48">
        <v>120</v>
      </c>
      <c r="E249" s="1">
        <v>3</v>
      </c>
      <c r="G249" s="1" t="s">
        <v>2971</v>
      </c>
      <c r="I249" s="1" t="s">
        <v>56</v>
      </c>
      <c r="J249" s="1" t="s">
        <v>50</v>
      </c>
      <c r="K249" s="1" t="s">
        <v>2972</v>
      </c>
      <c r="L249" s="2" t="s">
        <v>2225</v>
      </c>
      <c r="M249" s="18">
        <v>3</v>
      </c>
      <c r="V249" s="4" t="s">
        <v>2973</v>
      </c>
      <c r="AL249" s="60" t="s">
        <v>30</v>
      </c>
      <c r="AU249" s="1" t="s">
        <v>6110</v>
      </c>
    </row>
    <row r="250" spans="1:48" ht="24" x14ac:dyDescent="0.2">
      <c r="A250" s="1" t="s">
        <v>2921</v>
      </c>
      <c r="B250" s="1" t="s">
        <v>2986</v>
      </c>
      <c r="C250" s="1" t="s">
        <v>5697</v>
      </c>
      <c r="D250" s="48">
        <v>121</v>
      </c>
      <c r="E250" s="1">
        <v>3</v>
      </c>
      <c r="G250" s="1" t="s">
        <v>2987</v>
      </c>
      <c r="I250" s="1" t="s">
        <v>38</v>
      </c>
      <c r="J250" s="1" t="s">
        <v>57</v>
      </c>
      <c r="K250" s="1" t="s">
        <v>75</v>
      </c>
      <c r="M250" s="18">
        <v>2</v>
      </c>
      <c r="P250" s="56">
        <v>2</v>
      </c>
      <c r="Q250" s="57">
        <v>0</v>
      </c>
      <c r="R250" s="58">
        <v>0</v>
      </c>
      <c r="S250" s="59">
        <v>1</v>
      </c>
      <c r="V250" s="4" t="s">
        <v>2988</v>
      </c>
      <c r="AL250" s="60" t="s">
        <v>30</v>
      </c>
      <c r="AU250" s="1" t="s">
        <v>6111</v>
      </c>
      <c r="AV250" s="1" t="s">
        <v>6112</v>
      </c>
    </row>
    <row r="251" spans="1:48" x14ac:dyDescent="0.2">
      <c r="A251" s="1" t="s">
        <v>2921</v>
      </c>
      <c r="B251" s="1" t="s">
        <v>2925</v>
      </c>
      <c r="C251" s="1" t="s">
        <v>5697</v>
      </c>
      <c r="D251" s="48">
        <v>122</v>
      </c>
      <c r="E251" s="1">
        <v>3</v>
      </c>
      <c r="G251" s="1" t="s">
        <v>2926</v>
      </c>
      <c r="I251" s="1" t="s">
        <v>63</v>
      </c>
      <c r="J251" s="1" t="s">
        <v>57</v>
      </c>
      <c r="M251" s="18">
        <v>3</v>
      </c>
      <c r="V251" s="4" t="s">
        <v>2927</v>
      </c>
      <c r="AL251" s="60" t="s">
        <v>30</v>
      </c>
    </row>
    <row r="252" spans="1:48" ht="24" x14ac:dyDescent="0.2">
      <c r="A252" s="1" t="s">
        <v>2921</v>
      </c>
      <c r="B252" s="1" t="s">
        <v>2961</v>
      </c>
      <c r="C252" s="1" t="s">
        <v>5697</v>
      </c>
      <c r="D252" s="48">
        <v>123</v>
      </c>
      <c r="E252" s="1">
        <v>3</v>
      </c>
      <c r="G252" s="1" t="s">
        <v>2962</v>
      </c>
      <c r="I252" s="1" t="s">
        <v>38</v>
      </c>
      <c r="J252" s="1" t="s">
        <v>39</v>
      </c>
      <c r="K252" s="1" t="s">
        <v>481</v>
      </c>
      <c r="M252" s="18">
        <v>3</v>
      </c>
      <c r="P252" s="56">
        <v>1</v>
      </c>
      <c r="Q252" s="57">
        <v>2</v>
      </c>
      <c r="R252" s="58">
        <v>0</v>
      </c>
      <c r="S252" s="59">
        <v>2</v>
      </c>
      <c r="V252" s="4" t="s">
        <v>2963</v>
      </c>
      <c r="AL252" s="60" t="s">
        <v>30</v>
      </c>
    </row>
    <row r="253" spans="1:48" ht="24" x14ac:dyDescent="0.2">
      <c r="A253" s="1" t="s">
        <v>2921</v>
      </c>
      <c r="B253" s="1" t="s">
        <v>2964</v>
      </c>
      <c r="C253" s="1" t="s">
        <v>5697</v>
      </c>
      <c r="D253" s="48">
        <v>124</v>
      </c>
      <c r="E253" s="1">
        <v>3</v>
      </c>
      <c r="G253" s="1" t="s">
        <v>2965</v>
      </c>
      <c r="I253" s="1" t="s">
        <v>63</v>
      </c>
      <c r="J253" s="1" t="s">
        <v>39</v>
      </c>
      <c r="M253" s="18">
        <v>0</v>
      </c>
      <c r="V253" s="4" t="s">
        <v>2966</v>
      </c>
      <c r="AL253" s="60" t="s">
        <v>30</v>
      </c>
      <c r="AU253" s="1" t="s">
        <v>6113</v>
      </c>
    </row>
    <row r="254" spans="1:48" ht="24" x14ac:dyDescent="0.2">
      <c r="A254" s="1" t="s">
        <v>2921</v>
      </c>
      <c r="B254" s="1" t="s">
        <v>2967</v>
      </c>
      <c r="C254" s="1" t="s">
        <v>5697</v>
      </c>
      <c r="D254" s="48">
        <v>125</v>
      </c>
      <c r="E254" s="1">
        <v>3</v>
      </c>
      <c r="G254" s="1" t="s">
        <v>2968</v>
      </c>
      <c r="I254" s="1" t="s">
        <v>63</v>
      </c>
      <c r="J254" s="1" t="s">
        <v>44</v>
      </c>
      <c r="M254" s="18">
        <v>2</v>
      </c>
      <c r="V254" s="4" t="s">
        <v>2969</v>
      </c>
      <c r="AL254" s="60" t="s">
        <v>30</v>
      </c>
    </row>
    <row r="255" spans="1:48" ht="48" x14ac:dyDescent="0.2">
      <c r="A255" s="1" t="s">
        <v>2921</v>
      </c>
      <c r="B255" s="1" t="s">
        <v>2978</v>
      </c>
      <c r="C255" s="1" t="s">
        <v>5697</v>
      </c>
      <c r="D255" s="48">
        <v>126</v>
      </c>
      <c r="E255" s="1">
        <v>1</v>
      </c>
      <c r="F255" s="1" t="s">
        <v>2923</v>
      </c>
      <c r="G255" s="1" t="s">
        <v>9537</v>
      </c>
      <c r="I255" s="1" t="s">
        <v>125</v>
      </c>
      <c r="M255" s="18">
        <v>1</v>
      </c>
      <c r="N255" s="54" t="s">
        <v>9529</v>
      </c>
      <c r="V255" s="4" t="s">
        <v>2979</v>
      </c>
      <c r="X255" s="1" t="s">
        <v>1681</v>
      </c>
      <c r="Y255" s="1" t="s">
        <v>9537</v>
      </c>
      <c r="AA255" s="1" t="s">
        <v>125</v>
      </c>
      <c r="AE255" s="1">
        <v>1</v>
      </c>
      <c r="AF255" s="54" t="s">
        <v>9530</v>
      </c>
      <c r="AL255" s="60" t="s">
        <v>337</v>
      </c>
    </row>
    <row r="256" spans="1:48" ht="60" x14ac:dyDescent="0.2">
      <c r="A256" s="1" t="s">
        <v>2921</v>
      </c>
      <c r="B256" s="1" t="s">
        <v>2944</v>
      </c>
      <c r="C256" s="1" t="s">
        <v>5697</v>
      </c>
      <c r="D256" s="48">
        <v>127</v>
      </c>
      <c r="E256" s="1">
        <v>1</v>
      </c>
      <c r="F256" s="1" t="s">
        <v>2923</v>
      </c>
      <c r="G256" s="1" t="s">
        <v>9596</v>
      </c>
      <c r="I256" s="1" t="s">
        <v>125</v>
      </c>
      <c r="M256" s="18">
        <v>2</v>
      </c>
      <c r="N256" s="54" t="s">
        <v>9529</v>
      </c>
      <c r="Y256" s="1" t="s">
        <v>9596</v>
      </c>
      <c r="AA256" s="1" t="s">
        <v>125</v>
      </c>
      <c r="AE256" s="1">
        <v>2</v>
      </c>
      <c r="AF256" s="54" t="s">
        <v>9530</v>
      </c>
      <c r="AL256" s="60" t="s">
        <v>33</v>
      </c>
      <c r="AN256" s="4" t="s">
        <v>2945</v>
      </c>
    </row>
    <row r="257" spans="1:48" x14ac:dyDescent="0.2">
      <c r="A257" s="1" t="s">
        <v>2921</v>
      </c>
      <c r="B257" s="1" t="s">
        <v>2980</v>
      </c>
      <c r="C257" s="1" t="s">
        <v>5697</v>
      </c>
      <c r="D257" s="48">
        <v>128</v>
      </c>
      <c r="E257" s="1">
        <v>1</v>
      </c>
      <c r="F257" s="1" t="s">
        <v>2923</v>
      </c>
      <c r="G257" s="1" t="s">
        <v>9665</v>
      </c>
      <c r="I257" s="1" t="s">
        <v>125</v>
      </c>
      <c r="M257" s="18">
        <v>3</v>
      </c>
      <c r="N257" s="54" t="s">
        <v>9529</v>
      </c>
      <c r="Y257" s="1" t="s">
        <v>9665</v>
      </c>
      <c r="AA257" s="1" t="s">
        <v>125</v>
      </c>
      <c r="AE257" s="1">
        <v>3</v>
      </c>
      <c r="AF257" s="54" t="s">
        <v>9530</v>
      </c>
      <c r="AL257" s="60" t="s">
        <v>243</v>
      </c>
      <c r="AN257" s="4" t="s">
        <v>2981</v>
      </c>
    </row>
    <row r="258" spans="1:48" ht="60" x14ac:dyDescent="0.2">
      <c r="A258" s="1" t="s">
        <v>2921</v>
      </c>
      <c r="B258" s="1" t="s">
        <v>2922</v>
      </c>
      <c r="C258" s="1" t="s">
        <v>5697</v>
      </c>
      <c r="D258" s="48">
        <v>129</v>
      </c>
      <c r="E258" s="1">
        <v>1</v>
      </c>
      <c r="F258" s="1" t="s">
        <v>2923</v>
      </c>
      <c r="G258" s="1" t="s">
        <v>9554</v>
      </c>
      <c r="I258" s="1" t="s">
        <v>125</v>
      </c>
      <c r="M258" s="18">
        <v>4</v>
      </c>
      <c r="N258" s="54" t="s">
        <v>9529</v>
      </c>
      <c r="Y258" s="1" t="s">
        <v>9554</v>
      </c>
      <c r="AA258" s="1" t="s">
        <v>125</v>
      </c>
      <c r="AE258" s="1">
        <v>4</v>
      </c>
      <c r="AF258" s="54" t="s">
        <v>9530</v>
      </c>
      <c r="AL258" s="60" t="s">
        <v>32</v>
      </c>
      <c r="AN258" s="4" t="s">
        <v>2924</v>
      </c>
    </row>
    <row r="259" spans="1:48" ht="84" x14ac:dyDescent="0.2">
      <c r="A259" s="1" t="s">
        <v>2921</v>
      </c>
      <c r="B259" s="1" t="s">
        <v>2946</v>
      </c>
      <c r="C259" s="1" t="s">
        <v>5697</v>
      </c>
      <c r="D259" s="48">
        <v>130</v>
      </c>
      <c r="E259" s="1">
        <v>1</v>
      </c>
      <c r="F259" s="1" t="s">
        <v>2923</v>
      </c>
      <c r="G259" s="1" t="s">
        <v>2947</v>
      </c>
      <c r="H259" s="1" t="s">
        <v>26</v>
      </c>
      <c r="I259" s="1" t="s">
        <v>88</v>
      </c>
      <c r="K259" s="1" t="s">
        <v>95</v>
      </c>
      <c r="P259" s="56" t="s">
        <v>799</v>
      </c>
      <c r="Q259" s="57" t="s">
        <v>799</v>
      </c>
      <c r="R259" s="58" t="s">
        <v>799</v>
      </c>
      <c r="S259" s="59">
        <v>5</v>
      </c>
      <c r="V259" s="4" t="s">
        <v>2948</v>
      </c>
      <c r="AL259" s="60" t="s">
        <v>30</v>
      </c>
      <c r="AU259" s="1" t="s">
        <v>6114</v>
      </c>
      <c r="AV259" s="1" t="s">
        <v>6115</v>
      </c>
    </row>
    <row r="260" spans="1:48" ht="36" x14ac:dyDescent="0.2">
      <c r="A260" s="1" t="s">
        <v>2921</v>
      </c>
      <c r="B260" s="1" t="s">
        <v>2974</v>
      </c>
      <c r="C260" s="1" t="s">
        <v>5697</v>
      </c>
      <c r="D260" s="48">
        <v>131</v>
      </c>
      <c r="E260" s="1">
        <v>4</v>
      </c>
      <c r="F260" s="1" t="s">
        <v>2923</v>
      </c>
      <c r="G260" s="1" t="s">
        <v>2975</v>
      </c>
      <c r="I260" s="1" t="s">
        <v>104</v>
      </c>
      <c r="K260" s="1" t="s">
        <v>105</v>
      </c>
      <c r="O260" s="55">
        <v>3</v>
      </c>
      <c r="T260" s="60">
        <v>2</v>
      </c>
      <c r="V260" s="4" t="s">
        <v>2976</v>
      </c>
      <c r="W260" s="4" t="s">
        <v>2977</v>
      </c>
      <c r="AL260" s="60" t="s">
        <v>30</v>
      </c>
      <c r="AU260" s="1" t="s">
        <v>6116</v>
      </c>
    </row>
    <row r="261" spans="1:48" ht="36" x14ac:dyDescent="0.2">
      <c r="A261" s="1" t="s">
        <v>2921</v>
      </c>
      <c r="B261" s="1" t="s">
        <v>2936</v>
      </c>
      <c r="C261" s="1" t="s">
        <v>5697</v>
      </c>
      <c r="D261" s="48">
        <v>132</v>
      </c>
      <c r="E261" s="1">
        <v>3</v>
      </c>
      <c r="F261" s="1" t="s">
        <v>2923</v>
      </c>
      <c r="G261" s="1" t="s">
        <v>2937</v>
      </c>
      <c r="I261" s="1" t="s">
        <v>104</v>
      </c>
      <c r="K261" s="1" t="s">
        <v>105</v>
      </c>
      <c r="O261" s="55">
        <v>2</v>
      </c>
      <c r="T261" s="60">
        <v>2</v>
      </c>
      <c r="V261" s="4" t="s">
        <v>2938</v>
      </c>
      <c r="AL261" s="60" t="s">
        <v>30</v>
      </c>
    </row>
    <row r="262" spans="1:48" ht="60" x14ac:dyDescent="0.2">
      <c r="A262" s="1" t="s">
        <v>2921</v>
      </c>
      <c r="B262" s="1" t="s">
        <v>2992</v>
      </c>
      <c r="C262" s="1" t="s">
        <v>5697</v>
      </c>
      <c r="D262" s="48">
        <v>133</v>
      </c>
      <c r="E262" s="1">
        <v>3</v>
      </c>
      <c r="F262" s="1" t="s">
        <v>2923</v>
      </c>
      <c r="G262" s="1" t="s">
        <v>2993</v>
      </c>
      <c r="I262" s="1" t="s">
        <v>104</v>
      </c>
      <c r="K262" s="1" t="s">
        <v>105</v>
      </c>
      <c r="O262" s="55">
        <v>2</v>
      </c>
      <c r="T262" s="60">
        <v>2</v>
      </c>
      <c r="V262" s="4" t="s">
        <v>2994</v>
      </c>
      <c r="AL262" s="60" t="s">
        <v>30</v>
      </c>
    </row>
    <row r="263" spans="1:48" ht="24" x14ac:dyDescent="0.2">
      <c r="A263" s="1" t="s">
        <v>2921</v>
      </c>
      <c r="B263" s="1" t="s">
        <v>2989</v>
      </c>
      <c r="C263" s="1" t="s">
        <v>5697</v>
      </c>
      <c r="D263" s="48">
        <v>134</v>
      </c>
      <c r="E263" s="1">
        <v>3</v>
      </c>
      <c r="F263" s="1" t="s">
        <v>2923</v>
      </c>
      <c r="G263" s="1" t="s">
        <v>2990</v>
      </c>
      <c r="I263" s="1" t="s">
        <v>104</v>
      </c>
      <c r="K263" s="1" t="s">
        <v>105</v>
      </c>
      <c r="O263" s="55">
        <v>1</v>
      </c>
      <c r="T263" s="60">
        <v>3</v>
      </c>
      <c r="V263" s="4" t="s">
        <v>2991</v>
      </c>
      <c r="AL263" s="60" t="s">
        <v>30</v>
      </c>
    </row>
    <row r="264" spans="1:48" ht="24" x14ac:dyDescent="0.2">
      <c r="A264" s="1" t="s">
        <v>2921</v>
      </c>
      <c r="B264" s="1" t="s">
        <v>2949</v>
      </c>
      <c r="C264" s="1" t="s">
        <v>5697</v>
      </c>
      <c r="D264" s="48">
        <v>135</v>
      </c>
      <c r="E264" s="1">
        <v>2</v>
      </c>
      <c r="F264" s="1" t="s">
        <v>2923</v>
      </c>
      <c r="G264" s="1" t="s">
        <v>2950</v>
      </c>
      <c r="I264" s="1" t="s">
        <v>82</v>
      </c>
      <c r="K264" s="1" t="s">
        <v>2951</v>
      </c>
      <c r="V264" s="4" t="s">
        <v>2952</v>
      </c>
      <c r="W264" s="4" t="s">
        <v>2953</v>
      </c>
      <c r="AL264" s="60" t="s">
        <v>30</v>
      </c>
    </row>
    <row r="265" spans="1:48" ht="36" x14ac:dyDescent="0.2">
      <c r="A265" s="1" t="s">
        <v>2921</v>
      </c>
      <c r="B265" s="1" t="s">
        <v>2954</v>
      </c>
      <c r="C265" s="1" t="s">
        <v>5697</v>
      </c>
      <c r="D265" s="48">
        <v>136</v>
      </c>
      <c r="E265" s="1">
        <v>2</v>
      </c>
      <c r="F265" s="1" t="s">
        <v>2923</v>
      </c>
      <c r="G265" s="1" t="s">
        <v>2955</v>
      </c>
      <c r="I265" s="1" t="s">
        <v>82</v>
      </c>
      <c r="K265" s="1" t="s">
        <v>2951</v>
      </c>
      <c r="V265" s="4" t="s">
        <v>2956</v>
      </c>
      <c r="W265" s="4" t="s">
        <v>2957</v>
      </c>
      <c r="AL265" s="60" t="s">
        <v>30</v>
      </c>
    </row>
    <row r="266" spans="1:48" ht="36" x14ac:dyDescent="0.2">
      <c r="A266" s="1" t="s">
        <v>2921</v>
      </c>
      <c r="B266" s="1" t="s">
        <v>2982</v>
      </c>
      <c r="C266" s="1" t="s">
        <v>5697</v>
      </c>
      <c r="D266" s="48">
        <v>137</v>
      </c>
      <c r="E266" s="1">
        <v>3</v>
      </c>
      <c r="F266" s="1" t="s">
        <v>2923</v>
      </c>
      <c r="G266" s="1" t="s">
        <v>2983</v>
      </c>
      <c r="I266" s="1" t="s">
        <v>82</v>
      </c>
      <c r="K266" s="1" t="s">
        <v>2951</v>
      </c>
      <c r="V266" s="4" t="s">
        <v>2984</v>
      </c>
      <c r="W266" s="4" t="s">
        <v>2985</v>
      </c>
      <c r="AL266" s="60" t="s">
        <v>30</v>
      </c>
    </row>
    <row r="267" spans="1:48" ht="24" x14ac:dyDescent="0.2">
      <c r="A267" s="1" t="s">
        <v>2921</v>
      </c>
      <c r="B267" s="1" t="s">
        <v>2958</v>
      </c>
      <c r="C267" s="1" t="s">
        <v>5697</v>
      </c>
      <c r="D267" s="48">
        <v>138</v>
      </c>
      <c r="E267" s="1">
        <v>4</v>
      </c>
      <c r="F267" s="1" t="s">
        <v>2923</v>
      </c>
      <c r="G267" s="1" t="s">
        <v>2959</v>
      </c>
      <c r="I267" s="1" t="s">
        <v>94</v>
      </c>
      <c r="K267" s="1" t="s">
        <v>95</v>
      </c>
      <c r="L267" s="2" t="s">
        <v>155</v>
      </c>
      <c r="N267" s="54">
        <v>22</v>
      </c>
      <c r="O267" s="55">
        <v>1</v>
      </c>
      <c r="Q267" s="57">
        <v>1</v>
      </c>
      <c r="R267" s="58">
        <v>1</v>
      </c>
      <c r="S267" s="59">
        <v>1</v>
      </c>
      <c r="V267" s="4" t="s">
        <v>2960</v>
      </c>
      <c r="AL267" s="60" t="s">
        <v>30</v>
      </c>
    </row>
    <row r="268" spans="1:48" ht="36" x14ac:dyDescent="0.2">
      <c r="A268" s="1" t="s">
        <v>2921</v>
      </c>
      <c r="B268" s="1" t="s">
        <v>2928</v>
      </c>
      <c r="C268" s="1" t="s">
        <v>5697</v>
      </c>
      <c r="D268" s="48">
        <v>139</v>
      </c>
      <c r="E268" s="1">
        <v>3</v>
      </c>
      <c r="F268" s="1" t="s">
        <v>2923</v>
      </c>
      <c r="G268" s="1" t="s">
        <v>2929</v>
      </c>
      <c r="I268" s="1" t="s">
        <v>94</v>
      </c>
      <c r="K268" s="1" t="s">
        <v>576</v>
      </c>
      <c r="N268" s="54">
        <v>44</v>
      </c>
      <c r="O268" s="55">
        <v>2</v>
      </c>
      <c r="Q268" s="57">
        <v>8</v>
      </c>
      <c r="R268" s="58">
        <v>4</v>
      </c>
      <c r="S268" s="59">
        <v>6</v>
      </c>
      <c r="V268" s="4" t="s">
        <v>2930</v>
      </c>
      <c r="AL268" s="60" t="s">
        <v>30</v>
      </c>
    </row>
    <row r="269" spans="1:48" ht="24" x14ac:dyDescent="0.2">
      <c r="A269" s="113" t="s">
        <v>2660</v>
      </c>
      <c r="B269" s="113" t="s">
        <v>2747</v>
      </c>
      <c r="C269" s="113" t="s">
        <v>5698</v>
      </c>
      <c r="D269" s="114">
        <v>1</v>
      </c>
      <c r="E269" s="113">
        <v>1</v>
      </c>
      <c r="F269" s="113"/>
      <c r="G269" s="113" t="s">
        <v>2748</v>
      </c>
      <c r="H269" s="1" t="s">
        <v>26</v>
      </c>
      <c r="I269" s="1" t="s">
        <v>27</v>
      </c>
      <c r="J269" s="1" t="s">
        <v>57</v>
      </c>
      <c r="K269" s="1" t="s">
        <v>283</v>
      </c>
      <c r="M269" s="18">
        <v>9</v>
      </c>
      <c r="P269" s="56">
        <v>1</v>
      </c>
      <c r="Q269" s="57">
        <v>2</v>
      </c>
      <c r="R269" s="58">
        <v>2</v>
      </c>
      <c r="S269" s="59">
        <v>4</v>
      </c>
      <c r="V269" s="4" t="s">
        <v>2749</v>
      </c>
      <c r="AL269" s="60" t="s">
        <v>30</v>
      </c>
    </row>
    <row r="270" spans="1:48" ht="36" x14ac:dyDescent="0.2">
      <c r="A270" s="1" t="s">
        <v>2660</v>
      </c>
      <c r="B270" s="1" t="s">
        <v>2680</v>
      </c>
      <c r="C270" s="1" t="s">
        <v>5698</v>
      </c>
      <c r="D270" s="48">
        <v>2</v>
      </c>
      <c r="E270" s="1">
        <v>1</v>
      </c>
      <c r="G270" s="1" t="s">
        <v>2681</v>
      </c>
      <c r="H270" s="1" t="s">
        <v>26</v>
      </c>
      <c r="I270" s="1" t="s">
        <v>27</v>
      </c>
      <c r="J270" s="1" t="s">
        <v>39</v>
      </c>
      <c r="K270" s="1" t="s">
        <v>283</v>
      </c>
      <c r="M270" s="18">
        <v>7</v>
      </c>
      <c r="P270" s="56">
        <v>2</v>
      </c>
      <c r="Q270" s="57">
        <v>1</v>
      </c>
      <c r="R270" s="58">
        <v>2</v>
      </c>
      <c r="S270" s="59">
        <v>3</v>
      </c>
      <c r="V270" s="4" t="s">
        <v>2682</v>
      </c>
      <c r="AL270" s="60" t="s">
        <v>30</v>
      </c>
    </row>
    <row r="271" spans="1:48" ht="24" x14ac:dyDescent="0.2">
      <c r="A271" s="1" t="s">
        <v>2660</v>
      </c>
      <c r="B271" s="1" t="s">
        <v>2830</v>
      </c>
      <c r="C271" s="1" t="s">
        <v>5698</v>
      </c>
      <c r="D271" s="48">
        <v>3</v>
      </c>
      <c r="E271" s="1">
        <v>3</v>
      </c>
      <c r="G271" s="1" t="s">
        <v>2831</v>
      </c>
      <c r="H271" s="1" t="s">
        <v>26</v>
      </c>
      <c r="I271" s="1" t="s">
        <v>56</v>
      </c>
      <c r="J271" s="1" t="s">
        <v>28</v>
      </c>
      <c r="K271" s="1" t="s">
        <v>89</v>
      </c>
      <c r="L271" s="2" t="s">
        <v>2832</v>
      </c>
      <c r="M271" s="18">
        <v>2</v>
      </c>
      <c r="V271" s="4" t="s">
        <v>2833</v>
      </c>
      <c r="AL271" s="60" t="s">
        <v>30</v>
      </c>
      <c r="AU271" s="1" t="s">
        <v>6117</v>
      </c>
    </row>
    <row r="272" spans="1:48" ht="24" x14ac:dyDescent="0.2">
      <c r="A272" s="1" t="s">
        <v>2660</v>
      </c>
      <c r="B272" s="1" t="s">
        <v>2744</v>
      </c>
      <c r="C272" s="1" t="s">
        <v>5698</v>
      </c>
      <c r="D272" s="48">
        <v>4</v>
      </c>
      <c r="E272" s="1">
        <v>3</v>
      </c>
      <c r="G272" s="1" t="s">
        <v>2745</v>
      </c>
      <c r="I272" s="1" t="s">
        <v>63</v>
      </c>
      <c r="J272" s="1" t="s">
        <v>28</v>
      </c>
      <c r="K272" s="1" t="s">
        <v>324</v>
      </c>
      <c r="M272" s="18">
        <v>1</v>
      </c>
      <c r="V272" s="4" t="s">
        <v>2746</v>
      </c>
      <c r="AL272" s="60" t="s">
        <v>30</v>
      </c>
    </row>
    <row r="273" spans="1:48" ht="24" x14ac:dyDescent="0.2">
      <c r="A273" s="1" t="s">
        <v>2660</v>
      </c>
      <c r="B273" s="1" t="s">
        <v>2766</v>
      </c>
      <c r="C273" s="1" t="s">
        <v>5698</v>
      </c>
      <c r="D273" s="48">
        <v>5</v>
      </c>
      <c r="E273" s="1">
        <v>3</v>
      </c>
      <c r="G273" s="1" t="s">
        <v>2767</v>
      </c>
      <c r="I273" s="1" t="s">
        <v>63</v>
      </c>
      <c r="J273" s="1" t="s">
        <v>28</v>
      </c>
      <c r="M273" s="18">
        <v>3</v>
      </c>
      <c r="V273" s="4" t="s">
        <v>2768</v>
      </c>
      <c r="AL273" s="60" t="s">
        <v>30</v>
      </c>
    </row>
    <row r="274" spans="1:48" x14ac:dyDescent="0.2">
      <c r="A274" s="1" t="s">
        <v>2660</v>
      </c>
      <c r="B274" s="1" t="s">
        <v>2906</v>
      </c>
      <c r="C274" s="1" t="s">
        <v>5698</v>
      </c>
      <c r="D274" s="48">
        <v>6</v>
      </c>
      <c r="E274" s="1">
        <v>3</v>
      </c>
      <c r="G274" s="1" t="s">
        <v>2907</v>
      </c>
      <c r="I274" s="1" t="s">
        <v>38</v>
      </c>
      <c r="J274" s="1" t="s">
        <v>50</v>
      </c>
      <c r="K274" s="1" t="s">
        <v>358</v>
      </c>
      <c r="M274" s="18">
        <v>4</v>
      </c>
      <c r="P274" s="56">
        <v>0</v>
      </c>
      <c r="Q274" s="57">
        <v>3</v>
      </c>
      <c r="R274" s="58">
        <v>2</v>
      </c>
      <c r="S274" s="59">
        <v>3</v>
      </c>
      <c r="V274" s="4" t="s">
        <v>2908</v>
      </c>
      <c r="AL274" s="60" t="s">
        <v>30</v>
      </c>
    </row>
    <row r="275" spans="1:48" ht="48" x14ac:dyDescent="0.2">
      <c r="A275" s="1" t="s">
        <v>2660</v>
      </c>
      <c r="B275" s="1" t="s">
        <v>2750</v>
      </c>
      <c r="C275" s="1" t="s">
        <v>5698</v>
      </c>
      <c r="D275" s="48">
        <v>7</v>
      </c>
      <c r="E275" s="1">
        <v>3</v>
      </c>
      <c r="G275" s="1" t="s">
        <v>2751</v>
      </c>
      <c r="I275" s="1" t="s">
        <v>56</v>
      </c>
      <c r="J275" s="1" t="s">
        <v>50</v>
      </c>
      <c r="K275" s="1" t="s">
        <v>196</v>
      </c>
      <c r="L275" s="2" t="s">
        <v>2752</v>
      </c>
      <c r="M275" s="18">
        <v>1</v>
      </c>
      <c r="V275" s="4" t="s">
        <v>2753</v>
      </c>
      <c r="AL275" s="60" t="s">
        <v>30</v>
      </c>
      <c r="AU275" s="1" t="s">
        <v>6118</v>
      </c>
      <c r="AV275" s="1" t="s">
        <v>6119</v>
      </c>
    </row>
    <row r="276" spans="1:48" ht="24" x14ac:dyDescent="0.2">
      <c r="A276" s="1" t="s">
        <v>2660</v>
      </c>
      <c r="B276" s="1" t="s">
        <v>2810</v>
      </c>
      <c r="C276" s="1" t="s">
        <v>5698</v>
      </c>
      <c r="D276" s="48">
        <v>8</v>
      </c>
      <c r="E276" s="1">
        <v>3</v>
      </c>
      <c r="G276" s="1" t="s">
        <v>5904</v>
      </c>
      <c r="I276" s="1" t="s">
        <v>63</v>
      </c>
      <c r="J276" s="1" t="s">
        <v>50</v>
      </c>
      <c r="M276" s="18">
        <v>0</v>
      </c>
      <c r="V276" s="4" t="s">
        <v>2811</v>
      </c>
      <c r="AL276" s="60" t="s">
        <v>30</v>
      </c>
      <c r="AU276" s="1" t="s">
        <v>6062</v>
      </c>
    </row>
    <row r="277" spans="1:48" ht="60" x14ac:dyDescent="0.2">
      <c r="A277" s="1" t="s">
        <v>2660</v>
      </c>
      <c r="B277" s="1" t="s">
        <v>2915</v>
      </c>
      <c r="C277" s="1" t="s">
        <v>5698</v>
      </c>
      <c r="D277" s="48">
        <v>9</v>
      </c>
      <c r="E277" s="1">
        <v>3</v>
      </c>
      <c r="G277" s="1" t="s">
        <v>2916</v>
      </c>
      <c r="I277" s="1" t="s">
        <v>38</v>
      </c>
      <c r="J277" s="1" t="s">
        <v>57</v>
      </c>
      <c r="K277" s="1" t="s">
        <v>283</v>
      </c>
      <c r="M277" s="18">
        <v>2</v>
      </c>
      <c r="P277" s="56">
        <v>1</v>
      </c>
      <c r="Q277" s="57">
        <v>1</v>
      </c>
      <c r="R277" s="58">
        <v>1</v>
      </c>
      <c r="S277" s="59">
        <v>1</v>
      </c>
      <c r="V277" s="4" t="s">
        <v>2917</v>
      </c>
      <c r="AL277" s="60" t="s">
        <v>30</v>
      </c>
      <c r="AU277" s="1" t="s">
        <v>6120</v>
      </c>
      <c r="AV277" s="1" t="s">
        <v>6121</v>
      </c>
    </row>
    <row r="278" spans="1:48" ht="36" x14ac:dyDescent="0.2">
      <c r="A278" s="1" t="s">
        <v>2660</v>
      </c>
      <c r="B278" s="1" t="s">
        <v>2901</v>
      </c>
      <c r="C278" s="1" t="s">
        <v>5698</v>
      </c>
      <c r="D278" s="48">
        <v>10</v>
      </c>
      <c r="E278" s="1">
        <v>3</v>
      </c>
      <c r="G278" s="1" t="s">
        <v>2902</v>
      </c>
      <c r="I278" s="1" t="s">
        <v>63</v>
      </c>
      <c r="J278" s="1" t="s">
        <v>57</v>
      </c>
      <c r="M278" s="18">
        <v>2</v>
      </c>
      <c r="V278" s="4" t="s">
        <v>2903</v>
      </c>
      <c r="AL278" s="60" t="s">
        <v>30</v>
      </c>
    </row>
    <row r="279" spans="1:48" ht="48" x14ac:dyDescent="0.2">
      <c r="A279" s="1" t="s">
        <v>2660</v>
      </c>
      <c r="B279" s="1" t="s">
        <v>2763</v>
      </c>
      <c r="C279" s="1" t="s">
        <v>5698</v>
      </c>
      <c r="D279" s="48">
        <v>11</v>
      </c>
      <c r="E279" s="1">
        <v>3</v>
      </c>
      <c r="G279" s="1" t="s">
        <v>2764</v>
      </c>
      <c r="I279" s="1" t="s">
        <v>38</v>
      </c>
      <c r="J279" s="1" t="s">
        <v>39</v>
      </c>
      <c r="K279" s="1" t="s">
        <v>283</v>
      </c>
      <c r="M279" s="18">
        <v>1</v>
      </c>
      <c r="P279" s="56">
        <v>1</v>
      </c>
      <c r="Q279" s="57">
        <v>0</v>
      </c>
      <c r="R279" s="58">
        <v>0</v>
      </c>
      <c r="S279" s="59">
        <v>1</v>
      </c>
      <c r="V279" s="4" t="s">
        <v>2765</v>
      </c>
      <c r="AL279" s="60" t="s">
        <v>30</v>
      </c>
    </row>
    <row r="280" spans="1:48" ht="36" x14ac:dyDescent="0.2">
      <c r="A280" s="1" t="s">
        <v>2660</v>
      </c>
      <c r="B280" s="1" t="s">
        <v>2677</v>
      </c>
      <c r="C280" s="1" t="s">
        <v>5698</v>
      </c>
      <c r="D280" s="48">
        <v>12</v>
      </c>
      <c r="E280" s="1">
        <v>3</v>
      </c>
      <c r="G280" s="1" t="s">
        <v>2678</v>
      </c>
      <c r="I280" s="1" t="s">
        <v>63</v>
      </c>
      <c r="J280" s="1" t="s">
        <v>39</v>
      </c>
      <c r="M280" s="18">
        <v>1</v>
      </c>
      <c r="V280" s="4" t="s">
        <v>2679</v>
      </c>
      <c r="AL280" s="60" t="s">
        <v>30</v>
      </c>
      <c r="AU280" s="1" t="s">
        <v>6122</v>
      </c>
    </row>
    <row r="281" spans="1:48" ht="36" x14ac:dyDescent="0.2">
      <c r="A281" s="1" t="s">
        <v>2660</v>
      </c>
      <c r="B281" s="1" t="s">
        <v>2697</v>
      </c>
      <c r="C281" s="1" t="s">
        <v>5698</v>
      </c>
      <c r="D281" s="48">
        <v>13</v>
      </c>
      <c r="E281" s="1">
        <v>3</v>
      </c>
      <c r="G281" s="1" t="s">
        <v>2698</v>
      </c>
      <c r="I281" s="1" t="s">
        <v>56</v>
      </c>
      <c r="J281" s="1" t="s">
        <v>44</v>
      </c>
      <c r="K281" s="1" t="s">
        <v>89</v>
      </c>
      <c r="L281" s="2" t="s">
        <v>2699</v>
      </c>
      <c r="M281" s="18">
        <v>0</v>
      </c>
      <c r="V281" s="4" t="s">
        <v>2700</v>
      </c>
      <c r="AL281" s="60" t="s">
        <v>30</v>
      </c>
    </row>
    <row r="282" spans="1:48" ht="36" x14ac:dyDescent="0.2">
      <c r="A282" s="111" t="s">
        <v>2660</v>
      </c>
      <c r="B282" s="111" t="s">
        <v>2845</v>
      </c>
      <c r="C282" s="111" t="s">
        <v>5698</v>
      </c>
      <c r="D282" s="112">
        <v>14</v>
      </c>
      <c r="E282" s="111">
        <v>2</v>
      </c>
      <c r="F282" s="111" t="s">
        <v>2671</v>
      </c>
      <c r="G282" s="111" t="s">
        <v>2846</v>
      </c>
      <c r="I282" s="1" t="s">
        <v>94</v>
      </c>
      <c r="K282" s="1" t="s">
        <v>604</v>
      </c>
      <c r="N282" s="54">
        <v>30</v>
      </c>
      <c r="O282" s="55">
        <v>3</v>
      </c>
      <c r="Q282" s="57">
        <v>4</v>
      </c>
      <c r="R282" s="58">
        <v>3</v>
      </c>
      <c r="S282" s="59">
        <v>4</v>
      </c>
      <c r="V282" s="4" t="s">
        <v>2847</v>
      </c>
      <c r="W282" s="4" t="s">
        <v>2848</v>
      </c>
      <c r="AL282" s="60" t="s">
        <v>30</v>
      </c>
      <c r="AU282" s="1" t="s">
        <v>6123</v>
      </c>
      <c r="AV282" s="1" t="s">
        <v>6124</v>
      </c>
    </row>
    <row r="283" spans="1:48" x14ac:dyDescent="0.2">
      <c r="A283" s="1" t="s">
        <v>2660</v>
      </c>
      <c r="B283" s="1" t="s">
        <v>2874</v>
      </c>
      <c r="C283" s="1" t="s">
        <v>5698</v>
      </c>
      <c r="D283" s="48">
        <v>15</v>
      </c>
      <c r="E283" s="1">
        <v>5</v>
      </c>
      <c r="F283" s="1" t="s">
        <v>2671</v>
      </c>
      <c r="G283" s="1" t="s">
        <v>2875</v>
      </c>
      <c r="I283" s="1" t="s">
        <v>82</v>
      </c>
      <c r="L283" s="2" t="s">
        <v>2876</v>
      </c>
      <c r="W283" s="4" t="s">
        <v>1830</v>
      </c>
      <c r="AL283" s="60" t="s">
        <v>30</v>
      </c>
    </row>
    <row r="284" spans="1:48" ht="60" x14ac:dyDescent="0.2">
      <c r="A284" s="1" t="s">
        <v>2660</v>
      </c>
      <c r="B284" s="1" t="s">
        <v>2754</v>
      </c>
      <c r="C284" s="1" t="s">
        <v>5698</v>
      </c>
      <c r="D284" s="48">
        <v>16</v>
      </c>
      <c r="E284" s="1">
        <v>1</v>
      </c>
      <c r="F284" s="1" t="s">
        <v>2671</v>
      </c>
      <c r="G284" s="1" t="s">
        <v>2755</v>
      </c>
      <c r="H284" s="1" t="s">
        <v>26</v>
      </c>
      <c r="I284" s="1" t="s">
        <v>104</v>
      </c>
      <c r="K284" s="1" t="s">
        <v>2756</v>
      </c>
      <c r="L284" s="2" t="s">
        <v>2757</v>
      </c>
      <c r="O284" s="55">
        <v>7</v>
      </c>
      <c r="T284" s="60">
        <v>7</v>
      </c>
      <c r="U284" s="1">
        <v>1</v>
      </c>
      <c r="V284" s="4" t="s">
        <v>2758</v>
      </c>
      <c r="AL284" s="60" t="s">
        <v>30</v>
      </c>
      <c r="AU284" s="1" t="s">
        <v>6125</v>
      </c>
    </row>
    <row r="285" spans="1:48" ht="48" x14ac:dyDescent="0.2">
      <c r="A285" s="1" t="s">
        <v>2660</v>
      </c>
      <c r="B285" s="1" t="s">
        <v>2769</v>
      </c>
      <c r="C285" s="1" t="s">
        <v>5698</v>
      </c>
      <c r="D285" s="48">
        <v>17</v>
      </c>
      <c r="E285" s="1">
        <v>1</v>
      </c>
      <c r="F285" s="1" t="s">
        <v>2671</v>
      </c>
      <c r="G285" s="1" t="s">
        <v>2770</v>
      </c>
      <c r="H285" s="1" t="s">
        <v>26</v>
      </c>
      <c r="I285" s="1" t="s">
        <v>104</v>
      </c>
      <c r="K285" s="1" t="s">
        <v>1112</v>
      </c>
      <c r="O285" s="55">
        <v>2</v>
      </c>
      <c r="T285" s="60">
        <v>2</v>
      </c>
      <c r="U285" s="1">
        <v>1</v>
      </c>
      <c r="V285" s="4" t="s">
        <v>2771</v>
      </c>
      <c r="AL285" s="60" t="s">
        <v>30</v>
      </c>
    </row>
    <row r="286" spans="1:48" ht="24" x14ac:dyDescent="0.2">
      <c r="A286" s="1" t="s">
        <v>2660</v>
      </c>
      <c r="B286" s="1" t="s">
        <v>2704</v>
      </c>
      <c r="C286" s="1" t="s">
        <v>5698</v>
      </c>
      <c r="D286" s="48">
        <v>18</v>
      </c>
      <c r="E286" s="1">
        <v>1</v>
      </c>
      <c r="F286" s="1" t="s">
        <v>2671</v>
      </c>
      <c r="G286" s="1" t="s">
        <v>2705</v>
      </c>
      <c r="H286" s="1" t="s">
        <v>26</v>
      </c>
      <c r="I286" s="1" t="s">
        <v>104</v>
      </c>
      <c r="K286" s="1" t="s">
        <v>2706</v>
      </c>
      <c r="O286" s="55">
        <v>3</v>
      </c>
      <c r="T286" s="60">
        <v>3</v>
      </c>
      <c r="U286" s="1">
        <v>2</v>
      </c>
      <c r="V286" s="4" t="s">
        <v>2707</v>
      </c>
      <c r="AL286" s="60" t="s">
        <v>30</v>
      </c>
    </row>
    <row r="287" spans="1:48" ht="24" x14ac:dyDescent="0.2">
      <c r="A287" s="1" t="s">
        <v>2660</v>
      </c>
      <c r="B287" s="1" t="s">
        <v>2877</v>
      </c>
      <c r="C287" s="1" t="s">
        <v>5698</v>
      </c>
      <c r="D287" s="48">
        <v>19</v>
      </c>
      <c r="E287" s="1">
        <v>2</v>
      </c>
      <c r="F287" s="1" t="s">
        <v>2671</v>
      </c>
      <c r="G287" s="1" t="s">
        <v>5905</v>
      </c>
      <c r="I287" s="1" t="s">
        <v>104</v>
      </c>
      <c r="K287" s="1" t="s">
        <v>1112</v>
      </c>
      <c r="O287" s="55">
        <v>2</v>
      </c>
      <c r="T287" s="60">
        <v>4</v>
      </c>
      <c r="V287" s="4" t="s">
        <v>2878</v>
      </c>
      <c r="W287" s="4" t="s">
        <v>2879</v>
      </c>
      <c r="AL287" s="60" t="s">
        <v>30</v>
      </c>
    </row>
    <row r="288" spans="1:48" ht="36" x14ac:dyDescent="0.2">
      <c r="A288" s="111" t="s">
        <v>2660</v>
      </c>
      <c r="B288" s="111" t="s">
        <v>2720</v>
      </c>
      <c r="C288" s="111" t="s">
        <v>5698</v>
      </c>
      <c r="D288" s="112">
        <v>20</v>
      </c>
      <c r="E288" s="111">
        <v>2</v>
      </c>
      <c r="F288" s="111" t="s">
        <v>2696</v>
      </c>
      <c r="G288" s="111" t="s">
        <v>2721</v>
      </c>
      <c r="I288" s="1" t="s">
        <v>94</v>
      </c>
      <c r="K288" s="1" t="s">
        <v>287</v>
      </c>
      <c r="N288" s="54">
        <v>33</v>
      </c>
      <c r="O288" s="55">
        <v>4</v>
      </c>
      <c r="Q288" s="57">
        <v>6</v>
      </c>
      <c r="R288" s="58">
        <v>4</v>
      </c>
      <c r="S288" s="59">
        <v>7</v>
      </c>
      <c r="U288" s="1">
        <v>2</v>
      </c>
      <c r="V288" s="4" t="s">
        <v>2722</v>
      </c>
      <c r="AL288" s="60" t="s">
        <v>30</v>
      </c>
      <c r="AU288" s="1" t="s">
        <v>6126</v>
      </c>
    </row>
    <row r="289" spans="1:48" ht="24" x14ac:dyDescent="0.2">
      <c r="A289" s="1" t="s">
        <v>2660</v>
      </c>
      <c r="B289" s="1" t="s">
        <v>2842</v>
      </c>
      <c r="C289" s="1" t="s">
        <v>5698</v>
      </c>
      <c r="D289" s="48">
        <v>21</v>
      </c>
      <c r="E289" s="1">
        <v>1</v>
      </c>
      <c r="F289" s="1" t="s">
        <v>2696</v>
      </c>
      <c r="G289" s="1" t="s">
        <v>2843</v>
      </c>
      <c r="I289" s="1" t="s">
        <v>94</v>
      </c>
      <c r="K289" s="1" t="s">
        <v>2840</v>
      </c>
      <c r="L289" s="2" t="s">
        <v>155</v>
      </c>
      <c r="N289" s="54">
        <v>45</v>
      </c>
      <c r="O289" s="55">
        <v>2</v>
      </c>
      <c r="Q289" s="57">
        <v>1</v>
      </c>
      <c r="R289" s="58">
        <v>1</v>
      </c>
      <c r="S289" s="59">
        <v>3</v>
      </c>
      <c r="V289" s="4" t="s">
        <v>2844</v>
      </c>
      <c r="AL289" s="60" t="s">
        <v>30</v>
      </c>
    </row>
    <row r="290" spans="1:48" ht="36" x14ac:dyDescent="0.2">
      <c r="A290" s="1" t="s">
        <v>2660</v>
      </c>
      <c r="B290" s="1" t="s">
        <v>2807</v>
      </c>
      <c r="C290" s="1" t="s">
        <v>5698</v>
      </c>
      <c r="D290" s="48">
        <v>22</v>
      </c>
      <c r="E290" s="1">
        <v>2</v>
      </c>
      <c r="F290" s="1" t="s">
        <v>2696</v>
      </c>
      <c r="G290" s="1" t="s">
        <v>2808</v>
      </c>
      <c r="I290" s="1" t="s">
        <v>82</v>
      </c>
      <c r="V290" s="4" t="s">
        <v>2809</v>
      </c>
      <c r="AL290" s="60" t="s">
        <v>30</v>
      </c>
      <c r="AU290" s="1" t="s">
        <v>6127</v>
      </c>
    </row>
    <row r="291" spans="1:48" x14ac:dyDescent="0.2">
      <c r="A291" s="1" t="s">
        <v>2660</v>
      </c>
      <c r="B291" s="1" t="s">
        <v>2904</v>
      </c>
      <c r="C291" s="1" t="s">
        <v>5698</v>
      </c>
      <c r="D291" s="48">
        <v>23</v>
      </c>
      <c r="E291" s="1">
        <v>3</v>
      </c>
      <c r="F291" s="1" t="s">
        <v>2696</v>
      </c>
      <c r="G291" s="1" t="s">
        <v>2905</v>
      </c>
      <c r="I291" s="1" t="s">
        <v>104</v>
      </c>
      <c r="K291" s="1" t="s">
        <v>1112</v>
      </c>
      <c r="L291" s="2" t="s">
        <v>1233</v>
      </c>
      <c r="O291" s="55">
        <v>3</v>
      </c>
      <c r="T291" s="60">
        <v>4</v>
      </c>
      <c r="AL291" s="60" t="s">
        <v>30</v>
      </c>
    </row>
    <row r="292" spans="1:48" ht="72" x14ac:dyDescent="0.2">
      <c r="A292" s="1" t="s">
        <v>2660</v>
      </c>
      <c r="B292" s="1" t="s">
        <v>2693</v>
      </c>
      <c r="C292" s="1" t="s">
        <v>5698</v>
      </c>
      <c r="D292" s="48">
        <v>24</v>
      </c>
      <c r="E292" s="1">
        <v>1</v>
      </c>
      <c r="F292" s="1" t="s">
        <v>2696</v>
      </c>
      <c r="G292" s="1" t="s">
        <v>2694</v>
      </c>
      <c r="H292" s="1" t="s">
        <v>26</v>
      </c>
      <c r="I292" s="1" t="s">
        <v>88</v>
      </c>
      <c r="K292" s="1" t="s">
        <v>474</v>
      </c>
      <c r="L292" s="2" t="s">
        <v>949</v>
      </c>
      <c r="V292" s="4" t="s">
        <v>2695</v>
      </c>
      <c r="AL292" s="60" t="s">
        <v>30</v>
      </c>
      <c r="AU292" s="1" t="s">
        <v>6128</v>
      </c>
    </row>
    <row r="293" spans="1:48" ht="36" x14ac:dyDescent="0.2">
      <c r="A293" s="111" t="s">
        <v>2660</v>
      </c>
      <c r="B293" s="111" t="s">
        <v>2890</v>
      </c>
      <c r="C293" s="111" t="s">
        <v>5698</v>
      </c>
      <c r="D293" s="112">
        <v>25</v>
      </c>
      <c r="E293" s="111">
        <v>1</v>
      </c>
      <c r="F293" s="111" t="s">
        <v>2665</v>
      </c>
      <c r="G293" s="111" t="s">
        <v>2891</v>
      </c>
      <c r="H293" s="1" t="s">
        <v>26</v>
      </c>
      <c r="I293" s="1" t="s">
        <v>94</v>
      </c>
      <c r="K293" s="1" t="s">
        <v>2892</v>
      </c>
      <c r="L293" s="2" t="s">
        <v>331</v>
      </c>
      <c r="N293" s="54">
        <v>50</v>
      </c>
      <c r="O293" s="55" t="s">
        <v>113</v>
      </c>
      <c r="Q293" s="57" t="s">
        <v>113</v>
      </c>
      <c r="R293" s="58" t="s">
        <v>113</v>
      </c>
      <c r="S293" s="59">
        <v>27</v>
      </c>
      <c r="V293" s="4" t="s">
        <v>2893</v>
      </c>
      <c r="AL293" s="60" t="s">
        <v>30</v>
      </c>
      <c r="AU293" s="1" t="s">
        <v>6129</v>
      </c>
    </row>
    <row r="294" spans="1:48" ht="36" x14ac:dyDescent="0.2">
      <c r="A294" s="1" t="s">
        <v>2660</v>
      </c>
      <c r="B294" s="1" t="s">
        <v>2834</v>
      </c>
      <c r="C294" s="1" t="s">
        <v>5698</v>
      </c>
      <c r="D294" s="48">
        <v>26</v>
      </c>
      <c r="E294" s="1">
        <v>3</v>
      </c>
      <c r="F294" s="1" t="s">
        <v>2665</v>
      </c>
      <c r="G294" s="1" t="s">
        <v>2835</v>
      </c>
      <c r="I294" s="1" t="s">
        <v>82</v>
      </c>
      <c r="V294" s="4" t="s">
        <v>2836</v>
      </c>
      <c r="W294" s="4" t="s">
        <v>2837</v>
      </c>
      <c r="AL294" s="60" t="s">
        <v>30</v>
      </c>
      <c r="AU294" s="1" t="s">
        <v>6130</v>
      </c>
      <c r="AV294" s="1" t="s">
        <v>6131</v>
      </c>
    </row>
    <row r="295" spans="1:48" ht="60" x14ac:dyDescent="0.2">
      <c r="A295" s="1" t="s">
        <v>2660</v>
      </c>
      <c r="B295" s="1" t="s">
        <v>2871</v>
      </c>
      <c r="C295" s="1" t="s">
        <v>5698</v>
      </c>
      <c r="D295" s="48">
        <v>27</v>
      </c>
      <c r="E295" s="1">
        <v>3</v>
      </c>
      <c r="F295" s="1" t="s">
        <v>2665</v>
      </c>
      <c r="G295" s="1" t="s">
        <v>2872</v>
      </c>
      <c r="I295" s="1" t="s">
        <v>82</v>
      </c>
      <c r="V295" s="4" t="s">
        <v>2873</v>
      </c>
      <c r="AL295" s="60" t="s">
        <v>30</v>
      </c>
    </row>
    <row r="296" spans="1:48" ht="24" x14ac:dyDescent="0.2">
      <c r="A296" s="1" t="s">
        <v>2660</v>
      </c>
      <c r="B296" s="1" t="s">
        <v>2661</v>
      </c>
      <c r="C296" s="1" t="s">
        <v>5698</v>
      </c>
      <c r="D296" s="48">
        <v>28</v>
      </c>
      <c r="E296" s="1">
        <v>4</v>
      </c>
      <c r="F296" s="1" t="s">
        <v>2665</v>
      </c>
      <c r="G296" s="1" t="s">
        <v>2662</v>
      </c>
      <c r="I296" s="1" t="s">
        <v>82</v>
      </c>
      <c r="V296" s="4" t="s">
        <v>2663</v>
      </c>
      <c r="W296" s="4" t="s">
        <v>2664</v>
      </c>
      <c r="AL296" s="60" t="s">
        <v>30</v>
      </c>
    </row>
    <row r="297" spans="1:48" ht="36" x14ac:dyDescent="0.2">
      <c r="A297" s="1" t="s">
        <v>2660</v>
      </c>
      <c r="B297" s="1" t="s">
        <v>2673</v>
      </c>
      <c r="C297" s="1" t="s">
        <v>5698</v>
      </c>
      <c r="D297" s="48">
        <v>29</v>
      </c>
      <c r="E297" s="1">
        <v>1</v>
      </c>
      <c r="F297" s="1" t="s">
        <v>2665</v>
      </c>
      <c r="G297" s="1" t="s">
        <v>2674</v>
      </c>
      <c r="I297" s="1" t="s">
        <v>88</v>
      </c>
      <c r="K297" s="1" t="s">
        <v>2675</v>
      </c>
      <c r="L297" s="2" t="s">
        <v>704</v>
      </c>
      <c r="V297" s="4" t="s">
        <v>2676</v>
      </c>
      <c r="AL297" s="60" t="s">
        <v>30</v>
      </c>
    </row>
    <row r="298" spans="1:48" ht="24" x14ac:dyDescent="0.2">
      <c r="A298" s="111" t="s">
        <v>2660</v>
      </c>
      <c r="B298" s="111" t="s">
        <v>2728</v>
      </c>
      <c r="C298" s="111" t="s">
        <v>5698</v>
      </c>
      <c r="D298" s="112">
        <v>30</v>
      </c>
      <c r="E298" s="111">
        <v>1</v>
      </c>
      <c r="F298" s="111" t="s">
        <v>2732</v>
      </c>
      <c r="G298" s="111" t="s">
        <v>2729</v>
      </c>
      <c r="I298" s="1" t="s">
        <v>94</v>
      </c>
      <c r="K298" s="1" t="s">
        <v>604</v>
      </c>
      <c r="N298" s="54">
        <v>27</v>
      </c>
      <c r="O298" s="55">
        <v>2</v>
      </c>
      <c r="Q298" s="57">
        <v>5</v>
      </c>
      <c r="R298" s="58">
        <v>2</v>
      </c>
      <c r="S298" s="59">
        <v>4</v>
      </c>
      <c r="V298" s="4" t="s">
        <v>2730</v>
      </c>
      <c r="W298" s="4" t="s">
        <v>2731</v>
      </c>
      <c r="AL298" s="60" t="s">
        <v>30</v>
      </c>
    </row>
    <row r="299" spans="1:48" x14ac:dyDescent="0.2">
      <c r="A299" s="1" t="s">
        <v>2660</v>
      </c>
      <c r="B299" s="1" t="s">
        <v>2791</v>
      </c>
      <c r="C299" s="1" t="s">
        <v>5698</v>
      </c>
      <c r="D299" s="48">
        <v>31</v>
      </c>
      <c r="E299" s="1">
        <v>5</v>
      </c>
      <c r="F299" s="1" t="s">
        <v>2732</v>
      </c>
      <c r="G299" s="1" t="s">
        <v>2792</v>
      </c>
      <c r="I299" s="1" t="s">
        <v>94</v>
      </c>
      <c r="K299" s="1" t="s">
        <v>604</v>
      </c>
      <c r="N299" s="54">
        <v>15</v>
      </c>
      <c r="O299" s="55">
        <v>2</v>
      </c>
      <c r="Q299" s="57">
        <v>2</v>
      </c>
      <c r="R299" s="58">
        <v>2</v>
      </c>
      <c r="S299" s="59">
        <v>2</v>
      </c>
      <c r="V299" s="4" t="s">
        <v>2793</v>
      </c>
      <c r="W299" s="4" t="s">
        <v>2794</v>
      </c>
      <c r="AL299" s="60" t="s">
        <v>30</v>
      </c>
    </row>
    <row r="300" spans="1:48" ht="60" x14ac:dyDescent="0.2">
      <c r="A300" s="1" t="s">
        <v>2660</v>
      </c>
      <c r="B300" s="1" t="s">
        <v>2776</v>
      </c>
      <c r="C300" s="1" t="s">
        <v>5698</v>
      </c>
      <c r="D300" s="48">
        <v>32</v>
      </c>
      <c r="E300" s="1">
        <v>2</v>
      </c>
      <c r="F300" s="1" t="s">
        <v>2732</v>
      </c>
      <c r="G300" s="1" t="s">
        <v>2777</v>
      </c>
      <c r="I300" s="1" t="s">
        <v>94</v>
      </c>
      <c r="K300" s="1" t="s">
        <v>604</v>
      </c>
      <c r="L300" s="2" t="s">
        <v>2778</v>
      </c>
      <c r="N300" s="54">
        <v>48</v>
      </c>
      <c r="O300" s="55">
        <v>2</v>
      </c>
      <c r="Q300" s="57">
        <v>1</v>
      </c>
      <c r="R300" s="58">
        <v>3</v>
      </c>
      <c r="S300" s="59">
        <v>1</v>
      </c>
      <c r="V300" s="4" t="s">
        <v>2779</v>
      </c>
      <c r="AL300" s="60" t="s">
        <v>30</v>
      </c>
    </row>
    <row r="301" spans="1:48" ht="24" x14ac:dyDescent="0.2">
      <c r="A301" s="1" t="s">
        <v>2660</v>
      </c>
      <c r="B301" s="1" t="s">
        <v>2897</v>
      </c>
      <c r="C301" s="1" t="s">
        <v>5698</v>
      </c>
      <c r="D301" s="48">
        <v>33</v>
      </c>
      <c r="E301" s="1">
        <v>3</v>
      </c>
      <c r="F301" s="1" t="s">
        <v>2732</v>
      </c>
      <c r="G301" s="1" t="s">
        <v>2898</v>
      </c>
      <c r="I301" s="1" t="s">
        <v>82</v>
      </c>
      <c r="V301" s="4" t="s">
        <v>2899</v>
      </c>
      <c r="W301" s="4" t="s">
        <v>2900</v>
      </c>
      <c r="AL301" s="60" t="s">
        <v>30</v>
      </c>
    </row>
    <row r="302" spans="1:48" ht="60" x14ac:dyDescent="0.2">
      <c r="A302" s="1" t="s">
        <v>2660</v>
      </c>
      <c r="B302" s="1" t="s">
        <v>2849</v>
      </c>
      <c r="C302" s="1" t="s">
        <v>5698</v>
      </c>
      <c r="D302" s="48">
        <v>34</v>
      </c>
      <c r="E302" s="1">
        <v>2</v>
      </c>
      <c r="F302" s="1" t="s">
        <v>2732</v>
      </c>
      <c r="G302" s="1" t="s">
        <v>2850</v>
      </c>
      <c r="I302" s="1" t="s">
        <v>104</v>
      </c>
      <c r="K302" s="1" t="s">
        <v>1112</v>
      </c>
      <c r="O302" s="55">
        <v>3</v>
      </c>
      <c r="T302" s="60">
        <v>2</v>
      </c>
      <c r="V302" s="4" t="s">
        <v>2851</v>
      </c>
      <c r="AL302" s="60" t="s">
        <v>30</v>
      </c>
    </row>
    <row r="303" spans="1:48" ht="24" x14ac:dyDescent="0.2">
      <c r="A303" s="111" t="s">
        <v>2660</v>
      </c>
      <c r="B303" s="111" t="s">
        <v>2780</v>
      </c>
      <c r="C303" s="111" t="s">
        <v>5698</v>
      </c>
      <c r="D303" s="112">
        <v>35</v>
      </c>
      <c r="E303" s="111">
        <v>4</v>
      </c>
      <c r="F303" s="111" t="s">
        <v>2703</v>
      </c>
      <c r="G303" s="111" t="s">
        <v>2781</v>
      </c>
      <c r="I303" s="1" t="s">
        <v>94</v>
      </c>
      <c r="K303" s="1" t="s">
        <v>604</v>
      </c>
      <c r="N303" s="54">
        <v>33</v>
      </c>
      <c r="O303" s="55">
        <v>1</v>
      </c>
      <c r="Q303" s="57">
        <v>3</v>
      </c>
      <c r="R303" s="58">
        <v>2</v>
      </c>
      <c r="S303" s="59">
        <v>4</v>
      </c>
      <c r="V303" s="4" t="s">
        <v>2782</v>
      </c>
      <c r="W303" s="4" t="s">
        <v>2783</v>
      </c>
      <c r="AL303" s="60" t="s">
        <v>30</v>
      </c>
      <c r="AU303" s="1" t="s">
        <v>6132</v>
      </c>
    </row>
    <row r="304" spans="1:48" ht="84" x14ac:dyDescent="0.2">
      <c r="A304" s="1" t="s">
        <v>2660</v>
      </c>
      <c r="B304" s="1" t="s">
        <v>2701</v>
      </c>
      <c r="C304" s="1" t="s">
        <v>5698</v>
      </c>
      <c r="D304" s="48">
        <v>36</v>
      </c>
      <c r="E304" s="1">
        <v>3</v>
      </c>
      <c r="F304" s="1" t="s">
        <v>2703</v>
      </c>
      <c r="G304" s="1" t="s">
        <v>1718</v>
      </c>
      <c r="I304" s="1" t="s">
        <v>104</v>
      </c>
      <c r="K304" s="1" t="s">
        <v>1592</v>
      </c>
      <c r="O304" s="55">
        <v>1</v>
      </c>
      <c r="T304" s="60">
        <v>3</v>
      </c>
      <c r="V304" s="4" t="s">
        <v>2702</v>
      </c>
      <c r="AL304" s="60" t="s">
        <v>30</v>
      </c>
      <c r="AU304" s="1" t="s">
        <v>6133</v>
      </c>
    </row>
    <row r="305" spans="1:48" x14ac:dyDescent="0.2">
      <c r="A305" s="1" t="s">
        <v>2660</v>
      </c>
      <c r="B305" s="1" t="s">
        <v>2815</v>
      </c>
      <c r="C305" s="1" t="s">
        <v>5698</v>
      </c>
      <c r="D305" s="48">
        <v>37</v>
      </c>
      <c r="E305" s="1">
        <v>2</v>
      </c>
      <c r="F305" s="1" t="s">
        <v>2703</v>
      </c>
      <c r="G305" s="1" t="s">
        <v>2816</v>
      </c>
      <c r="I305" s="1" t="s">
        <v>104</v>
      </c>
      <c r="K305" s="1" t="s">
        <v>1592</v>
      </c>
      <c r="O305" s="55">
        <v>4</v>
      </c>
      <c r="T305" s="60">
        <v>4</v>
      </c>
      <c r="V305" s="4" t="s">
        <v>2817</v>
      </c>
      <c r="W305" s="4" t="s">
        <v>2818</v>
      </c>
      <c r="AL305" s="60" t="s">
        <v>30</v>
      </c>
      <c r="AU305" s="1" t="s">
        <v>6134</v>
      </c>
    </row>
    <row r="306" spans="1:48" ht="24" x14ac:dyDescent="0.2">
      <c r="A306" s="1" t="s">
        <v>2660</v>
      </c>
      <c r="B306" s="1" t="s">
        <v>2918</v>
      </c>
      <c r="C306" s="1" t="s">
        <v>5698</v>
      </c>
      <c r="D306" s="48">
        <v>38</v>
      </c>
      <c r="E306" s="1">
        <v>3</v>
      </c>
      <c r="F306" s="1" t="s">
        <v>2703</v>
      </c>
      <c r="G306" s="1" t="s">
        <v>2919</v>
      </c>
      <c r="I306" s="1" t="s">
        <v>104</v>
      </c>
      <c r="K306" s="1" t="s">
        <v>1592</v>
      </c>
      <c r="O306" s="55">
        <v>5</v>
      </c>
      <c r="T306" s="60">
        <v>5</v>
      </c>
      <c r="V306" s="4" t="s">
        <v>2920</v>
      </c>
      <c r="AL306" s="60" t="s">
        <v>30</v>
      </c>
      <c r="AU306" s="1" t="s">
        <v>6135</v>
      </c>
    </row>
    <row r="307" spans="1:48" ht="24" x14ac:dyDescent="0.2">
      <c r="A307" s="1" t="s">
        <v>2660</v>
      </c>
      <c r="B307" s="1" t="s">
        <v>2819</v>
      </c>
      <c r="C307" s="1" t="s">
        <v>5698</v>
      </c>
      <c r="D307" s="48">
        <v>39</v>
      </c>
      <c r="E307" s="1">
        <v>1</v>
      </c>
      <c r="F307" s="1" t="s">
        <v>2703</v>
      </c>
      <c r="G307" s="1" t="s">
        <v>2820</v>
      </c>
      <c r="I307" s="1" t="s">
        <v>82</v>
      </c>
      <c r="L307" s="2" t="s">
        <v>155</v>
      </c>
      <c r="V307" s="4" t="s">
        <v>2821</v>
      </c>
      <c r="AL307" s="60" t="s">
        <v>30</v>
      </c>
    </row>
    <row r="308" spans="1:48" ht="48" x14ac:dyDescent="0.2">
      <c r="A308" s="1" t="s">
        <v>2660</v>
      </c>
      <c r="B308" s="1" t="s">
        <v>2708</v>
      </c>
      <c r="C308" s="1" t="s">
        <v>5698</v>
      </c>
      <c r="D308" s="48">
        <v>40</v>
      </c>
      <c r="E308" s="1">
        <v>3</v>
      </c>
      <c r="F308" s="1" t="s">
        <v>2703</v>
      </c>
      <c r="G308" s="1" t="s">
        <v>2709</v>
      </c>
      <c r="I308" s="1" t="s">
        <v>82</v>
      </c>
      <c r="V308" s="4" t="s">
        <v>2710</v>
      </c>
      <c r="W308" s="4" t="s">
        <v>2430</v>
      </c>
      <c r="AL308" s="60" t="s">
        <v>30</v>
      </c>
    </row>
    <row r="309" spans="1:48" ht="60" x14ac:dyDescent="0.2">
      <c r="A309" s="1" t="s">
        <v>2660</v>
      </c>
      <c r="B309" s="1" t="s">
        <v>2716</v>
      </c>
      <c r="C309" s="1" t="s">
        <v>5698</v>
      </c>
      <c r="D309" s="48">
        <v>41</v>
      </c>
      <c r="E309" s="1">
        <v>1</v>
      </c>
      <c r="F309" s="1" t="s">
        <v>2703</v>
      </c>
      <c r="G309" s="1" t="s">
        <v>2717</v>
      </c>
      <c r="I309" s="1" t="s">
        <v>88</v>
      </c>
      <c r="K309" s="1" t="s">
        <v>2718</v>
      </c>
      <c r="L309" s="2" t="s">
        <v>427</v>
      </c>
      <c r="V309" s="4" t="s">
        <v>2719</v>
      </c>
      <c r="AL309" s="60" t="s">
        <v>30</v>
      </c>
      <c r="AU309" s="1" t="s">
        <v>6136</v>
      </c>
    </row>
    <row r="310" spans="1:48" x14ac:dyDescent="0.2">
      <c r="A310" s="111" t="s">
        <v>2660</v>
      </c>
      <c r="B310" s="111" t="s">
        <v>2803</v>
      </c>
      <c r="C310" s="111" t="s">
        <v>5698</v>
      </c>
      <c r="D310" s="112">
        <v>42</v>
      </c>
      <c r="E310" s="111">
        <v>2</v>
      </c>
      <c r="F310" s="111" t="s">
        <v>2727</v>
      </c>
      <c r="G310" s="111" t="s">
        <v>2804</v>
      </c>
      <c r="I310" s="1" t="s">
        <v>94</v>
      </c>
      <c r="K310" s="1" t="s">
        <v>287</v>
      </c>
      <c r="L310" s="2" t="s">
        <v>2805</v>
      </c>
      <c r="N310" s="54">
        <v>38</v>
      </c>
      <c r="O310" s="55">
        <v>2</v>
      </c>
      <c r="Q310" s="57">
        <v>7</v>
      </c>
      <c r="R310" s="58">
        <v>3</v>
      </c>
      <c r="S310" s="59">
        <v>10</v>
      </c>
      <c r="U310" s="1">
        <v>3</v>
      </c>
      <c r="V310" s="4" t="s">
        <v>2806</v>
      </c>
      <c r="AL310" s="60" t="s">
        <v>30</v>
      </c>
      <c r="AU310" s="1" t="s">
        <v>6137</v>
      </c>
    </row>
    <row r="311" spans="1:48" ht="24" x14ac:dyDescent="0.2">
      <c r="A311" s="1" t="s">
        <v>2660</v>
      </c>
      <c r="B311" s="1" t="s">
        <v>2838</v>
      </c>
      <c r="C311" s="1" t="s">
        <v>5698</v>
      </c>
      <c r="D311" s="48">
        <v>43</v>
      </c>
      <c r="E311" s="1">
        <v>1</v>
      </c>
      <c r="F311" s="1" t="s">
        <v>2727</v>
      </c>
      <c r="G311" s="1" t="s">
        <v>2839</v>
      </c>
      <c r="I311" s="1" t="s">
        <v>94</v>
      </c>
      <c r="K311" s="1" t="s">
        <v>2840</v>
      </c>
      <c r="N311" s="54">
        <v>50</v>
      </c>
      <c r="O311" s="55">
        <v>1</v>
      </c>
      <c r="Q311" s="57">
        <v>1</v>
      </c>
      <c r="R311" s="58">
        <v>3</v>
      </c>
      <c r="S311" s="59">
        <v>1</v>
      </c>
      <c r="V311" s="4" t="s">
        <v>2841</v>
      </c>
      <c r="AL311" s="60" t="s">
        <v>30</v>
      </c>
    </row>
    <row r="312" spans="1:48" ht="24" x14ac:dyDescent="0.2">
      <c r="A312" s="1" t="s">
        <v>2660</v>
      </c>
      <c r="B312" s="1" t="s">
        <v>2880</v>
      </c>
      <c r="C312" s="1" t="s">
        <v>5698</v>
      </c>
      <c r="D312" s="48">
        <v>44</v>
      </c>
      <c r="E312" s="1">
        <v>3</v>
      </c>
      <c r="F312" s="1" t="s">
        <v>2727</v>
      </c>
      <c r="G312" s="1" t="s">
        <v>2881</v>
      </c>
      <c r="I312" s="1" t="s">
        <v>94</v>
      </c>
      <c r="K312" s="1" t="s">
        <v>604</v>
      </c>
      <c r="N312" s="54">
        <v>29</v>
      </c>
      <c r="O312" s="55" t="s">
        <v>113</v>
      </c>
      <c r="Q312" s="57" t="s">
        <v>113</v>
      </c>
      <c r="R312" s="58">
        <v>2</v>
      </c>
      <c r="S312" s="59">
        <v>2</v>
      </c>
      <c r="V312" s="4" t="s">
        <v>112</v>
      </c>
      <c r="W312" s="4" t="s">
        <v>2825</v>
      </c>
      <c r="AL312" s="60" t="s">
        <v>30</v>
      </c>
    </row>
    <row r="313" spans="1:48" ht="36" x14ac:dyDescent="0.2">
      <c r="A313" s="1" t="s">
        <v>2660</v>
      </c>
      <c r="B313" s="1" t="s">
        <v>2723</v>
      </c>
      <c r="C313" s="1" t="s">
        <v>5698</v>
      </c>
      <c r="D313" s="48">
        <v>45</v>
      </c>
      <c r="E313" s="1">
        <v>3</v>
      </c>
      <c r="F313" s="1" t="s">
        <v>2727</v>
      </c>
      <c r="G313" s="1" t="s">
        <v>2724</v>
      </c>
      <c r="I313" s="1" t="s">
        <v>82</v>
      </c>
      <c r="V313" s="4" t="s">
        <v>2725</v>
      </c>
      <c r="W313" s="4" t="s">
        <v>2726</v>
      </c>
      <c r="AL313" s="60" t="s">
        <v>30</v>
      </c>
      <c r="AU313" s="1" t="s">
        <v>6138</v>
      </c>
    </row>
    <row r="314" spans="1:48" ht="36" x14ac:dyDescent="0.2">
      <c r="A314" s="1" t="s">
        <v>2660</v>
      </c>
      <c r="B314" s="1" t="s">
        <v>2822</v>
      </c>
      <c r="C314" s="1" t="s">
        <v>5698</v>
      </c>
      <c r="D314" s="48">
        <v>46</v>
      </c>
      <c r="E314" s="1">
        <v>2</v>
      </c>
      <c r="F314" s="1" t="s">
        <v>2727</v>
      </c>
      <c r="G314" s="1" t="s">
        <v>2823</v>
      </c>
      <c r="I314" s="1" t="s">
        <v>82</v>
      </c>
      <c r="L314" s="2" t="s">
        <v>685</v>
      </c>
      <c r="V314" s="4" t="s">
        <v>2824</v>
      </c>
      <c r="W314" s="4" t="s">
        <v>2825</v>
      </c>
      <c r="AL314" s="60" t="s">
        <v>30</v>
      </c>
    </row>
    <row r="315" spans="1:48" ht="24" x14ac:dyDescent="0.2">
      <c r="A315" s="1" t="s">
        <v>2660</v>
      </c>
      <c r="B315" s="1" t="s">
        <v>2888</v>
      </c>
      <c r="C315" s="1" t="s">
        <v>5698</v>
      </c>
      <c r="D315" s="48">
        <v>47</v>
      </c>
      <c r="E315" s="1">
        <v>3</v>
      </c>
      <c r="F315" s="1" t="s">
        <v>2727</v>
      </c>
      <c r="G315" s="1" t="s">
        <v>2889</v>
      </c>
      <c r="I315" s="1" t="s">
        <v>104</v>
      </c>
      <c r="K315" s="1" t="s">
        <v>1112</v>
      </c>
      <c r="O315" s="55" t="s">
        <v>113</v>
      </c>
      <c r="T315" s="60">
        <v>0</v>
      </c>
      <c r="V315" s="4" t="s">
        <v>112</v>
      </c>
      <c r="W315" s="4" t="s">
        <v>2825</v>
      </c>
      <c r="AL315" s="60" t="s">
        <v>30</v>
      </c>
    </row>
    <row r="316" spans="1:48" ht="36" x14ac:dyDescent="0.2">
      <c r="A316" s="111" t="s">
        <v>2660</v>
      </c>
      <c r="B316" s="111" t="s">
        <v>2711</v>
      </c>
      <c r="C316" s="111" t="s">
        <v>5698</v>
      </c>
      <c r="D316" s="112">
        <v>48</v>
      </c>
      <c r="E316" s="111">
        <v>3</v>
      </c>
      <c r="F316" s="111" t="s">
        <v>2715</v>
      </c>
      <c r="G316" s="111" t="s">
        <v>2712</v>
      </c>
      <c r="I316" s="1" t="s">
        <v>82</v>
      </c>
      <c r="K316" s="1" t="s">
        <v>2713</v>
      </c>
      <c r="V316" s="4" t="s">
        <v>2714</v>
      </c>
      <c r="AL316" s="60" t="s">
        <v>30</v>
      </c>
    </row>
    <row r="317" spans="1:48" ht="48" x14ac:dyDescent="0.2">
      <c r="A317" s="1" t="s">
        <v>2660</v>
      </c>
      <c r="B317" s="1" t="s">
        <v>2733</v>
      </c>
      <c r="C317" s="1" t="s">
        <v>5698</v>
      </c>
      <c r="D317" s="48">
        <v>49</v>
      </c>
      <c r="E317" s="1">
        <v>2</v>
      </c>
      <c r="F317" s="1" t="s">
        <v>2715</v>
      </c>
      <c r="G317" s="1" t="s">
        <v>2734</v>
      </c>
      <c r="I317" s="1" t="s">
        <v>82</v>
      </c>
      <c r="K317" s="1" t="s">
        <v>2713</v>
      </c>
      <c r="V317" s="4" t="s">
        <v>2735</v>
      </c>
      <c r="AL317" s="60" t="s">
        <v>30</v>
      </c>
      <c r="AU317" s="1" t="s">
        <v>6139</v>
      </c>
      <c r="AV317" s="1" t="s">
        <v>6140</v>
      </c>
    </row>
    <row r="318" spans="1:48" ht="24" x14ac:dyDescent="0.2">
      <c r="A318" s="1" t="s">
        <v>2660</v>
      </c>
      <c r="B318" s="1" t="s">
        <v>2736</v>
      </c>
      <c r="C318" s="1" t="s">
        <v>5698</v>
      </c>
      <c r="D318" s="48">
        <v>50</v>
      </c>
      <c r="E318" s="1">
        <v>2</v>
      </c>
      <c r="F318" s="1" t="s">
        <v>2715</v>
      </c>
      <c r="G318" s="1" t="s">
        <v>2737</v>
      </c>
      <c r="I318" s="1" t="s">
        <v>82</v>
      </c>
      <c r="V318" s="4" t="s">
        <v>2738</v>
      </c>
      <c r="W318" s="4" t="s">
        <v>2739</v>
      </c>
      <c r="AL318" s="60" t="s">
        <v>30</v>
      </c>
    </row>
    <row r="319" spans="1:48" ht="24" x14ac:dyDescent="0.2">
      <c r="A319" s="1" t="s">
        <v>2660</v>
      </c>
      <c r="B319" s="1" t="s">
        <v>2882</v>
      </c>
      <c r="C319" s="1" t="s">
        <v>5698</v>
      </c>
      <c r="D319" s="48">
        <v>51</v>
      </c>
      <c r="E319" s="1">
        <v>1</v>
      </c>
      <c r="F319" s="1" t="s">
        <v>2715</v>
      </c>
      <c r="G319" s="1" t="s">
        <v>2883</v>
      </c>
      <c r="I319" s="1" t="s">
        <v>82</v>
      </c>
      <c r="K319" s="1" t="s">
        <v>2713</v>
      </c>
      <c r="V319" s="4" t="s">
        <v>2884</v>
      </c>
      <c r="W319" s="4" t="s">
        <v>2885</v>
      </c>
      <c r="AL319" s="60" t="s">
        <v>30</v>
      </c>
    </row>
    <row r="320" spans="1:48" ht="48" x14ac:dyDescent="0.2">
      <c r="A320" s="1" t="s">
        <v>2660</v>
      </c>
      <c r="B320" s="1" t="s">
        <v>2740</v>
      </c>
      <c r="C320" s="1" t="s">
        <v>5698</v>
      </c>
      <c r="D320" s="48">
        <v>52</v>
      </c>
      <c r="E320" s="1">
        <v>1</v>
      </c>
      <c r="F320" s="1" t="s">
        <v>2715</v>
      </c>
      <c r="G320" s="1" t="s">
        <v>2741</v>
      </c>
      <c r="I320" s="1" t="s">
        <v>104</v>
      </c>
      <c r="K320" s="1" t="s">
        <v>2742</v>
      </c>
      <c r="O320" s="55">
        <v>2</v>
      </c>
      <c r="T320" s="60">
        <v>0</v>
      </c>
      <c r="U320" s="1">
        <v>3</v>
      </c>
      <c r="V320" s="4" t="s">
        <v>2743</v>
      </c>
      <c r="AL320" s="60" t="s">
        <v>30</v>
      </c>
    </row>
    <row r="321" spans="1:47" ht="36" x14ac:dyDescent="0.2">
      <c r="A321" s="1" t="s">
        <v>2660</v>
      </c>
      <c r="B321" s="1" t="s">
        <v>2772</v>
      </c>
      <c r="C321" s="1" t="s">
        <v>5698</v>
      </c>
      <c r="D321" s="48">
        <v>53</v>
      </c>
      <c r="E321" s="1">
        <v>3</v>
      </c>
      <c r="F321" s="1" t="s">
        <v>2715</v>
      </c>
      <c r="G321" s="1" t="s">
        <v>2773</v>
      </c>
      <c r="I321" s="1" t="s">
        <v>104</v>
      </c>
      <c r="K321" s="1" t="s">
        <v>2774</v>
      </c>
      <c r="O321" s="55">
        <v>3</v>
      </c>
      <c r="T321" s="60">
        <v>5</v>
      </c>
      <c r="V321" s="4" t="s">
        <v>2775</v>
      </c>
      <c r="AL321" s="60" t="s">
        <v>30</v>
      </c>
    </row>
    <row r="322" spans="1:47" ht="24" x14ac:dyDescent="0.2">
      <c r="A322" s="111" t="s">
        <v>2660</v>
      </c>
      <c r="B322" s="111" t="s">
        <v>2688</v>
      </c>
      <c r="C322" s="111" t="s">
        <v>5698</v>
      </c>
      <c r="D322" s="112">
        <v>54</v>
      </c>
      <c r="E322" s="111">
        <v>4</v>
      </c>
      <c r="F322" s="111" t="s">
        <v>2687</v>
      </c>
      <c r="G322" s="111" t="s">
        <v>2689</v>
      </c>
      <c r="I322" s="1" t="s">
        <v>94</v>
      </c>
      <c r="K322" s="1" t="s">
        <v>2690</v>
      </c>
      <c r="N322" s="54">
        <v>32</v>
      </c>
      <c r="O322" s="55">
        <v>2</v>
      </c>
      <c r="Q322" s="57">
        <v>3</v>
      </c>
      <c r="R322" s="58">
        <v>3</v>
      </c>
      <c r="S322" s="59">
        <v>2</v>
      </c>
      <c r="V322" s="4" t="s">
        <v>2691</v>
      </c>
      <c r="W322" s="4" t="s">
        <v>2692</v>
      </c>
      <c r="AL322" s="60" t="s">
        <v>30</v>
      </c>
      <c r="AU322" s="1" t="s">
        <v>6141</v>
      </c>
    </row>
    <row r="323" spans="1:47" ht="24" x14ac:dyDescent="0.2">
      <c r="A323" s="1" t="s">
        <v>2660</v>
      </c>
      <c r="B323" s="1" t="s">
        <v>2826</v>
      </c>
      <c r="C323" s="1" t="s">
        <v>5698</v>
      </c>
      <c r="D323" s="48">
        <v>55</v>
      </c>
      <c r="E323" s="1">
        <v>3</v>
      </c>
      <c r="F323" s="1" t="s">
        <v>2687</v>
      </c>
      <c r="G323" s="1" t="s">
        <v>2827</v>
      </c>
      <c r="I323" s="1" t="s">
        <v>94</v>
      </c>
      <c r="K323" s="1" t="s">
        <v>95</v>
      </c>
      <c r="N323" s="54">
        <v>30</v>
      </c>
      <c r="O323" s="55">
        <v>2</v>
      </c>
      <c r="Q323" s="57">
        <v>4</v>
      </c>
      <c r="R323" s="58">
        <v>2</v>
      </c>
      <c r="S323" s="59">
        <v>4</v>
      </c>
      <c r="V323" s="4" t="s">
        <v>2828</v>
      </c>
      <c r="W323" s="4" t="s">
        <v>2829</v>
      </c>
      <c r="AL323" s="60" t="s">
        <v>30</v>
      </c>
      <c r="AU323" s="1" t="s">
        <v>6142</v>
      </c>
    </row>
    <row r="324" spans="1:47" ht="24" x14ac:dyDescent="0.2">
      <c r="A324" s="1" t="s">
        <v>2660</v>
      </c>
      <c r="B324" s="1" t="s">
        <v>2683</v>
      </c>
      <c r="C324" s="1" t="s">
        <v>5698</v>
      </c>
      <c r="D324" s="48">
        <v>56</v>
      </c>
      <c r="E324" s="1">
        <v>3</v>
      </c>
      <c r="F324" s="1" t="s">
        <v>2687</v>
      </c>
      <c r="G324" s="1" t="s">
        <v>2684</v>
      </c>
      <c r="I324" s="1" t="s">
        <v>82</v>
      </c>
      <c r="V324" s="4" t="s">
        <v>2685</v>
      </c>
      <c r="W324" s="4" t="s">
        <v>2686</v>
      </c>
      <c r="AL324" s="60" t="s">
        <v>30</v>
      </c>
      <c r="AU324" s="1" t="s">
        <v>6143</v>
      </c>
    </row>
    <row r="325" spans="1:47" ht="36" x14ac:dyDescent="0.2">
      <c r="A325" s="1" t="s">
        <v>2660</v>
      </c>
      <c r="B325" s="1" t="s">
        <v>2812</v>
      </c>
      <c r="C325" s="1" t="s">
        <v>5698</v>
      </c>
      <c r="D325" s="48">
        <v>57</v>
      </c>
      <c r="E325" s="1">
        <v>1</v>
      </c>
      <c r="F325" s="1" t="s">
        <v>2687</v>
      </c>
      <c r="G325" s="1" t="s">
        <v>2813</v>
      </c>
      <c r="I325" s="1" t="s">
        <v>104</v>
      </c>
      <c r="K325" s="1" t="s">
        <v>1178</v>
      </c>
      <c r="O325" s="55">
        <v>2</v>
      </c>
      <c r="T325" s="60">
        <v>3</v>
      </c>
      <c r="V325" s="4" t="s">
        <v>2814</v>
      </c>
      <c r="AL325" s="60" t="s">
        <v>30</v>
      </c>
    </row>
    <row r="326" spans="1:47" ht="24" x14ac:dyDescent="0.2">
      <c r="A326" s="1" t="s">
        <v>2660</v>
      </c>
      <c r="B326" s="1" t="s">
        <v>2894</v>
      </c>
      <c r="C326" s="1" t="s">
        <v>5698</v>
      </c>
      <c r="D326" s="48">
        <v>58</v>
      </c>
      <c r="E326" s="1">
        <v>2</v>
      </c>
      <c r="F326" s="1" t="s">
        <v>2687</v>
      </c>
      <c r="G326" s="1" t="s">
        <v>2895</v>
      </c>
      <c r="I326" s="1" t="s">
        <v>104</v>
      </c>
      <c r="K326" s="1" t="s">
        <v>1178</v>
      </c>
      <c r="O326" s="55">
        <v>3</v>
      </c>
      <c r="T326" s="60">
        <v>2</v>
      </c>
      <c r="V326" s="4" t="s">
        <v>2896</v>
      </c>
      <c r="AL326" s="60" t="s">
        <v>30</v>
      </c>
    </row>
    <row r="327" spans="1:47" ht="72" x14ac:dyDescent="0.2">
      <c r="A327" s="1" t="s">
        <v>2660</v>
      </c>
      <c r="B327" s="1" t="s">
        <v>2909</v>
      </c>
      <c r="C327" s="1" t="s">
        <v>5698</v>
      </c>
      <c r="D327" s="48">
        <v>59</v>
      </c>
      <c r="E327" s="1">
        <v>2</v>
      </c>
      <c r="F327" s="1" t="s">
        <v>2687</v>
      </c>
      <c r="G327" s="1" t="s">
        <v>2910</v>
      </c>
      <c r="I327" s="1" t="s">
        <v>104</v>
      </c>
      <c r="K327" s="1" t="s">
        <v>1178</v>
      </c>
      <c r="O327" s="55">
        <v>1</v>
      </c>
      <c r="T327" s="60">
        <v>3</v>
      </c>
      <c r="V327" s="4" t="s">
        <v>2911</v>
      </c>
      <c r="AL327" s="60" t="s">
        <v>30</v>
      </c>
    </row>
    <row r="328" spans="1:47" ht="24" x14ac:dyDescent="0.2">
      <c r="A328" s="111" t="s">
        <v>2660</v>
      </c>
      <c r="B328" s="111" t="s">
        <v>2786</v>
      </c>
      <c r="C328" s="111" t="s">
        <v>5698</v>
      </c>
      <c r="D328" s="112">
        <v>60</v>
      </c>
      <c r="E328" s="111">
        <v>3</v>
      </c>
      <c r="F328" s="111" t="s">
        <v>2790</v>
      </c>
      <c r="G328" s="111" t="s">
        <v>2787</v>
      </c>
      <c r="I328" s="1" t="s">
        <v>94</v>
      </c>
      <c r="K328" s="1" t="s">
        <v>2788</v>
      </c>
      <c r="N328" s="54">
        <v>37</v>
      </c>
      <c r="O328" s="55">
        <v>3</v>
      </c>
      <c r="Q328" s="57">
        <v>1</v>
      </c>
      <c r="R328" s="58">
        <v>0</v>
      </c>
      <c r="S328" s="59">
        <v>2</v>
      </c>
      <c r="V328" s="4" t="s">
        <v>2789</v>
      </c>
      <c r="AL328" s="60" t="s">
        <v>30</v>
      </c>
    </row>
    <row r="329" spans="1:47" x14ac:dyDescent="0.2">
      <c r="A329" s="1" t="s">
        <v>2660</v>
      </c>
      <c r="B329" s="1" t="s">
        <v>2795</v>
      </c>
      <c r="C329" s="1" t="s">
        <v>5698</v>
      </c>
      <c r="D329" s="48">
        <v>61</v>
      </c>
      <c r="E329" s="1">
        <v>5</v>
      </c>
      <c r="F329" s="1" t="s">
        <v>2790</v>
      </c>
      <c r="G329" s="1" t="s">
        <v>2796</v>
      </c>
      <c r="I329" s="1" t="s">
        <v>94</v>
      </c>
      <c r="K329" s="1" t="s">
        <v>604</v>
      </c>
      <c r="N329" s="54">
        <v>20</v>
      </c>
      <c r="O329" s="55">
        <v>1</v>
      </c>
      <c r="Q329" s="57">
        <v>3</v>
      </c>
      <c r="R329" s="58">
        <v>1</v>
      </c>
      <c r="S329" s="59">
        <v>2</v>
      </c>
      <c r="V329" s="4" t="s">
        <v>2797</v>
      </c>
      <c r="W329" s="4" t="s">
        <v>2798</v>
      </c>
      <c r="AL329" s="60" t="s">
        <v>30</v>
      </c>
    </row>
    <row r="330" spans="1:47" ht="60" x14ac:dyDescent="0.2">
      <c r="A330" s="1" t="s">
        <v>2660</v>
      </c>
      <c r="B330" s="1" t="s">
        <v>2912</v>
      </c>
      <c r="C330" s="1" t="s">
        <v>5698</v>
      </c>
      <c r="D330" s="48">
        <v>62</v>
      </c>
      <c r="E330" s="1">
        <v>3</v>
      </c>
      <c r="F330" s="1" t="s">
        <v>2790</v>
      </c>
      <c r="G330" s="1" t="s">
        <v>2913</v>
      </c>
      <c r="I330" s="1" t="s">
        <v>82</v>
      </c>
      <c r="V330" s="4" t="s">
        <v>2914</v>
      </c>
      <c r="AL330" s="60" t="s">
        <v>30</v>
      </c>
    </row>
    <row r="331" spans="1:47" ht="36" x14ac:dyDescent="0.2">
      <c r="A331" s="1" t="s">
        <v>2660</v>
      </c>
      <c r="B331" s="1" t="s">
        <v>2799</v>
      </c>
      <c r="C331" s="1" t="s">
        <v>5698</v>
      </c>
      <c r="D331" s="48">
        <v>63</v>
      </c>
      <c r="E331" s="1">
        <v>2</v>
      </c>
      <c r="F331" s="1" t="s">
        <v>2790</v>
      </c>
      <c r="G331" s="1" t="s">
        <v>2800</v>
      </c>
      <c r="I331" s="1" t="s">
        <v>104</v>
      </c>
      <c r="K331" s="1" t="s">
        <v>1592</v>
      </c>
      <c r="O331" s="55">
        <v>2</v>
      </c>
      <c r="T331" s="60">
        <v>7</v>
      </c>
      <c r="V331" s="4" t="s">
        <v>2801</v>
      </c>
      <c r="W331" s="4" t="s">
        <v>2802</v>
      </c>
      <c r="AL331" s="60" t="s">
        <v>30</v>
      </c>
    </row>
    <row r="332" spans="1:47" ht="120" x14ac:dyDescent="0.2">
      <c r="A332" s="1" t="s">
        <v>2660</v>
      </c>
      <c r="B332" s="1" t="s">
        <v>2784</v>
      </c>
      <c r="C332" s="1" t="s">
        <v>5698</v>
      </c>
      <c r="D332" s="48">
        <v>64</v>
      </c>
      <c r="E332" s="1">
        <v>1</v>
      </c>
      <c r="F332" s="1" t="s">
        <v>2671</v>
      </c>
      <c r="G332" s="1" t="s">
        <v>9597</v>
      </c>
      <c r="I332" s="1" t="s">
        <v>125</v>
      </c>
      <c r="M332" s="18">
        <v>2</v>
      </c>
      <c r="N332" s="54" t="s">
        <v>9529</v>
      </c>
      <c r="Y332" s="1" t="s">
        <v>9597</v>
      </c>
      <c r="AA332" s="1" t="s">
        <v>125</v>
      </c>
      <c r="AE332" s="1">
        <v>2</v>
      </c>
      <c r="AF332" s="54" t="s">
        <v>9530</v>
      </c>
      <c r="AL332" s="60" t="s">
        <v>31</v>
      </c>
      <c r="AN332" s="4" t="s">
        <v>2785</v>
      </c>
    </row>
    <row r="333" spans="1:47" ht="48" x14ac:dyDescent="0.2">
      <c r="A333" s="1" t="s">
        <v>2660</v>
      </c>
      <c r="B333" s="1" t="s">
        <v>2852</v>
      </c>
      <c r="C333" s="1" t="s">
        <v>5698</v>
      </c>
      <c r="D333" s="48">
        <v>65</v>
      </c>
      <c r="E333" s="1">
        <v>1</v>
      </c>
      <c r="F333" s="1" t="s">
        <v>2665</v>
      </c>
      <c r="G333" s="1" t="s">
        <v>9598</v>
      </c>
      <c r="I333" s="1" t="s">
        <v>125</v>
      </c>
      <c r="M333" s="18">
        <v>2</v>
      </c>
      <c r="N333" s="54" t="s">
        <v>9529</v>
      </c>
      <c r="U333" s="1">
        <v>2</v>
      </c>
      <c r="V333" s="4" t="s">
        <v>2854</v>
      </c>
      <c r="Y333" s="1" t="s">
        <v>9645</v>
      </c>
      <c r="AA333" s="1" t="s">
        <v>125</v>
      </c>
      <c r="AE333" s="1">
        <v>2</v>
      </c>
      <c r="AF333" s="54" t="s">
        <v>9530</v>
      </c>
      <c r="AL333" s="60" t="s">
        <v>36</v>
      </c>
      <c r="AN333" s="4" t="s">
        <v>2855</v>
      </c>
      <c r="AU333" s="1" t="s">
        <v>6144</v>
      </c>
    </row>
    <row r="334" spans="1:47" ht="60" x14ac:dyDescent="0.2">
      <c r="A334" s="1" t="s">
        <v>2660</v>
      </c>
      <c r="B334" s="1" t="s">
        <v>2759</v>
      </c>
      <c r="C334" s="1" t="s">
        <v>5698</v>
      </c>
      <c r="D334" s="48">
        <v>66</v>
      </c>
      <c r="E334" s="1">
        <v>1</v>
      </c>
      <c r="F334" s="1" t="s">
        <v>2671</v>
      </c>
      <c r="G334" s="1" t="s">
        <v>9538</v>
      </c>
      <c r="I334" s="1" t="s">
        <v>125</v>
      </c>
      <c r="M334" s="18">
        <v>1</v>
      </c>
      <c r="N334" s="54" t="s">
        <v>9529</v>
      </c>
      <c r="V334" s="4" t="s">
        <v>2760</v>
      </c>
      <c r="X334" s="1" t="s">
        <v>2761</v>
      </c>
      <c r="Y334" s="1" t="s">
        <v>9538</v>
      </c>
      <c r="AA334" s="1" t="s">
        <v>125</v>
      </c>
      <c r="AE334" s="1">
        <v>1</v>
      </c>
      <c r="AF334" s="54" t="s">
        <v>9530</v>
      </c>
      <c r="AL334" s="60" t="s">
        <v>243</v>
      </c>
      <c r="AN334" s="4" t="s">
        <v>2762</v>
      </c>
    </row>
    <row r="335" spans="1:47" ht="36" x14ac:dyDescent="0.2">
      <c r="A335" s="1" t="s">
        <v>2660</v>
      </c>
      <c r="B335" s="1" t="s">
        <v>2868</v>
      </c>
      <c r="C335" s="1" t="s">
        <v>5698</v>
      </c>
      <c r="D335" s="48">
        <v>67</v>
      </c>
      <c r="E335" s="1">
        <v>1</v>
      </c>
      <c r="F335" s="1" t="s">
        <v>2696</v>
      </c>
      <c r="G335" s="1" t="s">
        <v>9539</v>
      </c>
      <c r="I335" s="1" t="s">
        <v>125</v>
      </c>
      <c r="M335" s="18">
        <v>1</v>
      </c>
      <c r="N335" s="54" t="s">
        <v>9529</v>
      </c>
      <c r="V335" s="4" t="s">
        <v>2869</v>
      </c>
      <c r="X335" s="1" t="s">
        <v>1681</v>
      </c>
      <c r="Y335" s="1" t="s">
        <v>9539</v>
      </c>
      <c r="AA335" s="1" t="s">
        <v>125</v>
      </c>
      <c r="AE335" s="1">
        <v>1</v>
      </c>
      <c r="AF335" s="54" t="s">
        <v>9530</v>
      </c>
      <c r="AL335" s="60" t="s">
        <v>666</v>
      </c>
      <c r="AN335" s="4" t="s">
        <v>2870</v>
      </c>
    </row>
    <row r="336" spans="1:47" ht="84" x14ac:dyDescent="0.2">
      <c r="A336" s="1" t="s">
        <v>2660</v>
      </c>
      <c r="B336" s="1" t="s">
        <v>2886</v>
      </c>
      <c r="C336" s="1" t="s">
        <v>5698</v>
      </c>
      <c r="D336" s="48">
        <v>68</v>
      </c>
      <c r="E336" s="1">
        <v>1</v>
      </c>
      <c r="F336" s="1" t="s">
        <v>2696</v>
      </c>
      <c r="G336" s="1" t="s">
        <v>9599</v>
      </c>
      <c r="I336" s="1" t="s">
        <v>125</v>
      </c>
      <c r="M336" s="18">
        <v>2</v>
      </c>
      <c r="N336" s="54" t="s">
        <v>9529</v>
      </c>
      <c r="Y336" s="1" t="s">
        <v>9599</v>
      </c>
      <c r="AA336" s="1" t="s">
        <v>125</v>
      </c>
      <c r="AE336" s="1">
        <v>2</v>
      </c>
      <c r="AF336" s="54" t="s">
        <v>9530</v>
      </c>
      <c r="AL336" s="60" t="s">
        <v>2658</v>
      </c>
      <c r="AN336" s="4" t="s">
        <v>2887</v>
      </c>
    </row>
    <row r="337" spans="1:48" ht="36" x14ac:dyDescent="0.2">
      <c r="A337" s="1" t="s">
        <v>2660</v>
      </c>
      <c r="B337" s="1" t="s">
        <v>2670</v>
      </c>
      <c r="C337" s="1" t="s">
        <v>5698</v>
      </c>
      <c r="D337" s="48">
        <v>69</v>
      </c>
      <c r="E337" s="1">
        <v>1</v>
      </c>
      <c r="F337" s="1" t="s">
        <v>2671</v>
      </c>
      <c r="G337" s="1" t="s">
        <v>9666</v>
      </c>
      <c r="I337" s="1" t="s">
        <v>125</v>
      </c>
      <c r="M337" s="18">
        <v>3</v>
      </c>
      <c r="N337" s="54" t="s">
        <v>9529</v>
      </c>
      <c r="Y337" s="1" t="s">
        <v>9666</v>
      </c>
      <c r="AA337" s="1" t="s">
        <v>125</v>
      </c>
      <c r="AE337" s="1">
        <v>3</v>
      </c>
      <c r="AF337" s="54" t="s">
        <v>9530</v>
      </c>
      <c r="AL337" s="60" t="s">
        <v>337</v>
      </c>
      <c r="AN337" s="4" t="s">
        <v>2672</v>
      </c>
      <c r="AU337" s="1" t="s">
        <v>6145</v>
      </c>
    </row>
    <row r="338" spans="1:48" ht="96" x14ac:dyDescent="0.2">
      <c r="A338" s="1" t="s">
        <v>2660</v>
      </c>
      <c r="B338" s="1" t="s">
        <v>2856</v>
      </c>
      <c r="C338" s="1" t="s">
        <v>5698</v>
      </c>
      <c r="D338" s="48">
        <v>70</v>
      </c>
      <c r="E338" s="1">
        <v>1</v>
      </c>
      <c r="F338" s="1" t="s">
        <v>2665</v>
      </c>
      <c r="G338" s="1" t="s">
        <v>9598</v>
      </c>
      <c r="I338" s="1" t="s">
        <v>125</v>
      </c>
      <c r="M338" s="18">
        <v>2</v>
      </c>
      <c r="N338" s="54" t="s">
        <v>9529</v>
      </c>
      <c r="V338" s="4" t="s">
        <v>2854</v>
      </c>
      <c r="Y338" s="1" t="s">
        <v>9646</v>
      </c>
      <c r="AA338" s="1" t="s">
        <v>125</v>
      </c>
      <c r="AE338" s="1">
        <v>2</v>
      </c>
      <c r="AF338" s="54" t="s">
        <v>9530</v>
      </c>
      <c r="AL338" s="60" t="s">
        <v>346</v>
      </c>
      <c r="AN338" s="4" t="s">
        <v>2857</v>
      </c>
      <c r="AU338" s="1" t="s">
        <v>6146</v>
      </c>
    </row>
    <row r="339" spans="1:48" ht="96" x14ac:dyDescent="0.2">
      <c r="A339" s="1" t="s">
        <v>2660</v>
      </c>
      <c r="B339" s="1" t="s">
        <v>2858</v>
      </c>
      <c r="C339" s="1" t="s">
        <v>5698</v>
      </c>
      <c r="D339" s="48">
        <v>71</v>
      </c>
      <c r="E339" s="1">
        <v>1</v>
      </c>
      <c r="F339" s="1" t="s">
        <v>2665</v>
      </c>
      <c r="G339" s="1" t="s">
        <v>9598</v>
      </c>
      <c r="I339" s="1" t="s">
        <v>125</v>
      </c>
      <c r="M339" s="18">
        <v>2</v>
      </c>
      <c r="N339" s="54" t="s">
        <v>9529</v>
      </c>
      <c r="V339" s="4" t="s">
        <v>2854</v>
      </c>
      <c r="Y339" s="1" t="s">
        <v>9647</v>
      </c>
      <c r="AA339" s="1" t="s">
        <v>125</v>
      </c>
      <c r="AE339" s="1">
        <v>2</v>
      </c>
      <c r="AF339" s="54" t="s">
        <v>9530</v>
      </c>
      <c r="AL339" s="60" t="s">
        <v>34</v>
      </c>
      <c r="AN339" s="4" t="s">
        <v>2859</v>
      </c>
    </row>
    <row r="340" spans="1:48" ht="48" x14ac:dyDescent="0.2">
      <c r="A340" s="1" t="s">
        <v>2660</v>
      </c>
      <c r="B340" s="1" t="s">
        <v>2666</v>
      </c>
      <c r="C340" s="1" t="s">
        <v>5698</v>
      </c>
      <c r="D340" s="48">
        <v>72</v>
      </c>
      <c r="E340" s="1">
        <v>1</v>
      </c>
      <c r="F340" s="1" t="s">
        <v>2665</v>
      </c>
      <c r="G340" s="1" t="s">
        <v>9540</v>
      </c>
      <c r="I340" s="1" t="s">
        <v>125</v>
      </c>
      <c r="M340" s="18">
        <v>1</v>
      </c>
      <c r="N340" s="54" t="s">
        <v>9529</v>
      </c>
      <c r="U340" s="1">
        <v>2</v>
      </c>
      <c r="V340" s="4" t="s">
        <v>2667</v>
      </c>
      <c r="X340" s="1" t="s">
        <v>2668</v>
      </c>
      <c r="Y340" s="1" t="s">
        <v>9540</v>
      </c>
      <c r="AA340" s="1" t="s">
        <v>125</v>
      </c>
      <c r="AE340" s="1">
        <v>1</v>
      </c>
      <c r="AF340" s="54" t="s">
        <v>9530</v>
      </c>
      <c r="AL340" s="60" t="s">
        <v>799</v>
      </c>
      <c r="AN340" s="4" t="s">
        <v>2669</v>
      </c>
      <c r="AU340" s="1" t="s">
        <v>6146</v>
      </c>
    </row>
    <row r="341" spans="1:48" ht="96" x14ac:dyDescent="0.2">
      <c r="A341" s="1" t="s">
        <v>2660</v>
      </c>
      <c r="B341" s="1" t="s">
        <v>2866</v>
      </c>
      <c r="C341" s="1" t="s">
        <v>5698</v>
      </c>
      <c r="D341" s="48">
        <v>73</v>
      </c>
      <c r="E341" s="1">
        <v>1</v>
      </c>
      <c r="F341" s="1" t="s">
        <v>2665</v>
      </c>
      <c r="G341" s="1" t="s">
        <v>9598</v>
      </c>
      <c r="I341" s="1" t="s">
        <v>125</v>
      </c>
      <c r="M341" s="18">
        <v>2</v>
      </c>
      <c r="N341" s="54" t="s">
        <v>9529</v>
      </c>
      <c r="U341" s="1">
        <v>1</v>
      </c>
      <c r="V341" s="4" t="s">
        <v>2854</v>
      </c>
      <c r="Y341" s="1" t="s">
        <v>9648</v>
      </c>
      <c r="AA341" s="1" t="s">
        <v>125</v>
      </c>
      <c r="AE341" s="1">
        <v>2</v>
      </c>
      <c r="AF341" s="54" t="s">
        <v>9530</v>
      </c>
      <c r="AL341" s="60" t="s">
        <v>33</v>
      </c>
      <c r="AN341" s="4" t="s">
        <v>2867</v>
      </c>
      <c r="AU341" s="1" t="s">
        <v>6146</v>
      </c>
    </row>
    <row r="342" spans="1:48" ht="48" x14ac:dyDescent="0.2">
      <c r="A342" s="1" t="s">
        <v>2660</v>
      </c>
      <c r="B342" s="1" t="s">
        <v>2864</v>
      </c>
      <c r="C342" s="1" t="s">
        <v>5698</v>
      </c>
      <c r="D342" s="48">
        <v>74</v>
      </c>
      <c r="E342" s="1">
        <v>1</v>
      </c>
      <c r="F342" s="1" t="s">
        <v>2665</v>
      </c>
      <c r="G342" s="1" t="s">
        <v>9598</v>
      </c>
      <c r="I342" s="1" t="s">
        <v>125</v>
      </c>
      <c r="M342" s="18">
        <v>2</v>
      </c>
      <c r="N342" s="54" t="s">
        <v>9529</v>
      </c>
      <c r="U342" s="1">
        <v>1</v>
      </c>
      <c r="V342" s="4" t="s">
        <v>2854</v>
      </c>
      <c r="Y342" s="1" t="s">
        <v>9649</v>
      </c>
      <c r="AA342" s="1" t="s">
        <v>125</v>
      </c>
      <c r="AE342" s="1">
        <v>2</v>
      </c>
      <c r="AF342" s="54" t="s">
        <v>9530</v>
      </c>
      <c r="AL342" s="60" t="s">
        <v>243</v>
      </c>
      <c r="AN342" s="4" t="s">
        <v>2865</v>
      </c>
      <c r="AU342" s="1" t="s">
        <v>6147</v>
      </c>
      <c r="AV342" s="1" t="s">
        <v>6148</v>
      </c>
    </row>
    <row r="343" spans="1:48" ht="60" x14ac:dyDescent="0.2">
      <c r="A343" s="1" t="s">
        <v>2660</v>
      </c>
      <c r="B343" s="1" t="s">
        <v>2860</v>
      </c>
      <c r="C343" s="1" t="s">
        <v>5698</v>
      </c>
      <c r="D343" s="48">
        <v>75</v>
      </c>
      <c r="E343" s="1">
        <v>1</v>
      </c>
      <c r="F343" s="1" t="s">
        <v>2665</v>
      </c>
      <c r="G343" s="1" t="s">
        <v>9598</v>
      </c>
      <c r="I343" s="1" t="s">
        <v>125</v>
      </c>
      <c r="M343" s="18">
        <v>2</v>
      </c>
      <c r="N343" s="54" t="s">
        <v>9529</v>
      </c>
      <c r="U343" s="1">
        <v>2</v>
      </c>
      <c r="V343" s="4" t="s">
        <v>2854</v>
      </c>
      <c r="Y343" s="1" t="s">
        <v>9650</v>
      </c>
      <c r="AA343" s="1" t="s">
        <v>125</v>
      </c>
      <c r="AE343" s="1">
        <v>2</v>
      </c>
      <c r="AF343" s="54" t="s">
        <v>9530</v>
      </c>
      <c r="AL343" s="60" t="s">
        <v>799</v>
      </c>
      <c r="AN343" s="4" t="s">
        <v>2861</v>
      </c>
      <c r="AU343" s="1" t="s">
        <v>6146</v>
      </c>
    </row>
    <row r="344" spans="1:48" ht="48" x14ac:dyDescent="0.2">
      <c r="A344" s="1" t="s">
        <v>2660</v>
      </c>
      <c r="B344" s="1" t="s">
        <v>2862</v>
      </c>
      <c r="C344" s="1" t="s">
        <v>5698</v>
      </c>
      <c r="D344" s="48">
        <v>76</v>
      </c>
      <c r="E344" s="1">
        <v>1</v>
      </c>
      <c r="F344" s="1" t="s">
        <v>2665</v>
      </c>
      <c r="G344" s="1" t="s">
        <v>9598</v>
      </c>
      <c r="I344" s="1" t="s">
        <v>125</v>
      </c>
      <c r="M344" s="18">
        <v>2</v>
      </c>
      <c r="N344" s="54" t="s">
        <v>9529</v>
      </c>
      <c r="U344" s="1">
        <v>1</v>
      </c>
      <c r="V344" s="4" t="s">
        <v>2854</v>
      </c>
      <c r="Y344" s="1" t="s">
        <v>9651</v>
      </c>
      <c r="AA344" s="1" t="s">
        <v>125</v>
      </c>
      <c r="AE344" s="1">
        <v>2</v>
      </c>
      <c r="AF344" s="54" t="s">
        <v>9530</v>
      </c>
      <c r="AL344" s="60" t="s">
        <v>46</v>
      </c>
      <c r="AN344" s="4" t="s">
        <v>2863</v>
      </c>
      <c r="AU344" s="1" t="s">
        <v>6149</v>
      </c>
    </row>
    <row r="345" spans="1:48" ht="48" x14ac:dyDescent="0.2">
      <c r="A345" s="109" t="s">
        <v>4956</v>
      </c>
      <c r="B345" s="109" t="s">
        <v>5019</v>
      </c>
      <c r="C345" s="109" t="s">
        <v>5699</v>
      </c>
      <c r="D345" s="110">
        <v>1</v>
      </c>
      <c r="E345" s="109">
        <v>1</v>
      </c>
      <c r="F345" s="109"/>
      <c r="G345" s="109" t="s">
        <v>5020</v>
      </c>
      <c r="H345" s="1" t="s">
        <v>26</v>
      </c>
      <c r="I345" s="1" t="s">
        <v>27</v>
      </c>
      <c r="J345" s="1" t="s">
        <v>28</v>
      </c>
      <c r="K345" s="1" t="s">
        <v>3015</v>
      </c>
      <c r="M345" s="18">
        <v>10</v>
      </c>
      <c r="P345" s="56">
        <v>2</v>
      </c>
      <c r="Q345" s="57">
        <v>2</v>
      </c>
      <c r="R345" s="58">
        <v>1</v>
      </c>
      <c r="S345" s="59">
        <v>4</v>
      </c>
      <c r="V345" s="4" t="s">
        <v>5021</v>
      </c>
      <c r="AL345" s="60" t="s">
        <v>30</v>
      </c>
    </row>
    <row r="346" spans="1:48" ht="36" x14ac:dyDescent="0.2">
      <c r="A346" s="1" t="s">
        <v>4956</v>
      </c>
      <c r="B346" s="1" t="s">
        <v>5005</v>
      </c>
      <c r="C346" s="1" t="s">
        <v>5699</v>
      </c>
      <c r="D346" s="48">
        <v>2</v>
      </c>
      <c r="E346" s="1">
        <v>3</v>
      </c>
      <c r="G346" s="1" t="s">
        <v>5006</v>
      </c>
      <c r="I346" s="1" t="s">
        <v>63</v>
      </c>
      <c r="J346" s="1" t="s">
        <v>28</v>
      </c>
      <c r="M346" s="18">
        <v>0</v>
      </c>
      <c r="V346" s="4" t="s">
        <v>5007</v>
      </c>
      <c r="AL346" s="60" t="s">
        <v>30</v>
      </c>
      <c r="AU346" s="1" t="s">
        <v>6150</v>
      </c>
    </row>
    <row r="347" spans="1:48" ht="24" x14ac:dyDescent="0.2">
      <c r="A347" s="1" t="s">
        <v>4956</v>
      </c>
      <c r="B347" s="1" t="s">
        <v>5008</v>
      </c>
      <c r="C347" s="1" t="s">
        <v>5699</v>
      </c>
      <c r="D347" s="48">
        <v>3</v>
      </c>
      <c r="E347" s="1">
        <v>3</v>
      </c>
      <c r="G347" s="1" t="s">
        <v>5009</v>
      </c>
      <c r="I347" s="1" t="s">
        <v>63</v>
      </c>
      <c r="J347" s="1" t="s">
        <v>28</v>
      </c>
      <c r="L347" s="2" t="s">
        <v>3143</v>
      </c>
      <c r="M347" s="18">
        <v>4</v>
      </c>
      <c r="V347" s="4" t="s">
        <v>5010</v>
      </c>
      <c r="AL347" s="60" t="s">
        <v>30</v>
      </c>
    </row>
    <row r="348" spans="1:48" ht="36" x14ac:dyDescent="0.2">
      <c r="A348" s="1" t="s">
        <v>4956</v>
      </c>
      <c r="B348" s="1" t="s">
        <v>5013</v>
      </c>
      <c r="C348" s="1" t="s">
        <v>5699</v>
      </c>
      <c r="D348" s="48">
        <v>4</v>
      </c>
      <c r="E348" s="1">
        <v>3</v>
      </c>
      <c r="G348" s="1" t="s">
        <v>5014</v>
      </c>
      <c r="I348" s="1" t="s">
        <v>63</v>
      </c>
      <c r="J348" s="1" t="s">
        <v>50</v>
      </c>
      <c r="M348" s="18">
        <v>0</v>
      </c>
      <c r="V348" s="4" t="s">
        <v>5015</v>
      </c>
      <c r="AL348" s="60" t="s">
        <v>30</v>
      </c>
      <c r="AU348" s="1" t="s">
        <v>6047</v>
      </c>
    </row>
    <row r="349" spans="1:48" ht="72" x14ac:dyDescent="0.2">
      <c r="A349" s="1" t="s">
        <v>4956</v>
      </c>
      <c r="B349" s="1" t="s">
        <v>5038</v>
      </c>
      <c r="C349" s="1" t="s">
        <v>5699</v>
      </c>
      <c r="D349" s="48">
        <v>5</v>
      </c>
      <c r="E349" s="1">
        <v>3</v>
      </c>
      <c r="G349" s="1" t="s">
        <v>5039</v>
      </c>
      <c r="I349" s="1" t="s">
        <v>56</v>
      </c>
      <c r="J349" s="1" t="s">
        <v>50</v>
      </c>
      <c r="L349" s="2" t="s">
        <v>4090</v>
      </c>
      <c r="M349" s="18">
        <v>0</v>
      </c>
      <c r="V349" s="4" t="s">
        <v>5040</v>
      </c>
      <c r="AL349" s="60" t="s">
        <v>30</v>
      </c>
      <c r="AU349" s="1" t="s">
        <v>6047</v>
      </c>
    </row>
    <row r="350" spans="1:48" ht="36" x14ac:dyDescent="0.2">
      <c r="A350" s="1" t="s">
        <v>4956</v>
      </c>
      <c r="B350" s="1" t="s">
        <v>5011</v>
      </c>
      <c r="C350" s="1" t="s">
        <v>5699</v>
      </c>
      <c r="D350" s="48">
        <v>6</v>
      </c>
      <c r="E350" s="1">
        <v>3</v>
      </c>
      <c r="G350" s="1" t="s">
        <v>4348</v>
      </c>
      <c r="H350" s="1" t="s">
        <v>26</v>
      </c>
      <c r="I350" s="1" t="s">
        <v>38</v>
      </c>
      <c r="J350" s="1" t="s">
        <v>57</v>
      </c>
      <c r="K350" s="1" t="s">
        <v>283</v>
      </c>
      <c r="M350" s="18">
        <v>3</v>
      </c>
      <c r="P350" s="56">
        <v>2</v>
      </c>
      <c r="Q350" s="57">
        <v>1</v>
      </c>
      <c r="R350" s="58">
        <v>1</v>
      </c>
      <c r="S350" s="59">
        <v>3</v>
      </c>
      <c r="V350" s="4" t="s">
        <v>5012</v>
      </c>
      <c r="AL350" s="60" t="s">
        <v>30</v>
      </c>
      <c r="AU350" s="1" t="s">
        <v>6151</v>
      </c>
      <c r="AV350" s="1" t="s">
        <v>6152</v>
      </c>
    </row>
    <row r="351" spans="1:48" ht="36" x14ac:dyDescent="0.2">
      <c r="A351" s="1" t="s">
        <v>4956</v>
      </c>
      <c r="B351" s="1" t="s">
        <v>5029</v>
      </c>
      <c r="C351" s="1" t="s">
        <v>5699</v>
      </c>
      <c r="D351" s="48">
        <v>7</v>
      </c>
      <c r="E351" s="1">
        <v>3</v>
      </c>
      <c r="G351" s="1" t="s">
        <v>5030</v>
      </c>
      <c r="I351" s="1" t="s">
        <v>63</v>
      </c>
      <c r="J351" s="1" t="s">
        <v>57</v>
      </c>
      <c r="M351" s="18">
        <v>0</v>
      </c>
      <c r="V351" s="4" t="s">
        <v>5031</v>
      </c>
      <c r="AL351" s="60" t="s">
        <v>30</v>
      </c>
      <c r="AU351" s="1" t="s">
        <v>6153</v>
      </c>
    </row>
    <row r="352" spans="1:48" ht="24" x14ac:dyDescent="0.2">
      <c r="A352" s="1" t="s">
        <v>4956</v>
      </c>
      <c r="B352" s="1" t="s">
        <v>4980</v>
      </c>
      <c r="C352" s="1" t="s">
        <v>5699</v>
      </c>
      <c r="D352" s="48">
        <v>8</v>
      </c>
      <c r="E352" s="1">
        <v>3</v>
      </c>
      <c r="G352" s="1" t="s">
        <v>4981</v>
      </c>
      <c r="I352" s="1" t="s">
        <v>38</v>
      </c>
      <c r="J352" s="1" t="s">
        <v>39</v>
      </c>
      <c r="K352" s="1" t="s">
        <v>4982</v>
      </c>
      <c r="M352" s="18">
        <v>3</v>
      </c>
      <c r="P352" s="56">
        <v>0</v>
      </c>
      <c r="Q352" s="57">
        <v>1</v>
      </c>
      <c r="R352" s="58">
        <v>1</v>
      </c>
      <c r="S352" s="59">
        <v>3</v>
      </c>
      <c r="V352" s="4" t="s">
        <v>4983</v>
      </c>
      <c r="AL352" s="60" t="s">
        <v>30</v>
      </c>
    </row>
    <row r="353" spans="1:47" ht="36" x14ac:dyDescent="0.2">
      <c r="A353" s="1" t="s">
        <v>4956</v>
      </c>
      <c r="B353" s="1" t="s">
        <v>4977</v>
      </c>
      <c r="C353" s="1" t="s">
        <v>5699</v>
      </c>
      <c r="D353" s="48">
        <v>9</v>
      </c>
      <c r="E353" s="1">
        <v>3</v>
      </c>
      <c r="G353" s="1" t="s">
        <v>4978</v>
      </c>
      <c r="I353" s="1" t="s">
        <v>63</v>
      </c>
      <c r="J353" s="1" t="s">
        <v>39</v>
      </c>
      <c r="L353" s="2" t="s">
        <v>3043</v>
      </c>
      <c r="M353" s="18">
        <v>2</v>
      </c>
      <c r="V353" s="4" t="s">
        <v>4979</v>
      </c>
      <c r="AL353" s="60" t="s">
        <v>30</v>
      </c>
      <c r="AU353" s="1" t="s">
        <v>6154</v>
      </c>
    </row>
    <row r="354" spans="1:47" ht="24" x14ac:dyDescent="0.2">
      <c r="A354" s="1" t="s">
        <v>4956</v>
      </c>
      <c r="B354" s="1" t="s">
        <v>4993</v>
      </c>
      <c r="C354" s="1" t="s">
        <v>5699</v>
      </c>
      <c r="D354" s="48">
        <v>10</v>
      </c>
      <c r="E354" s="1">
        <v>3</v>
      </c>
      <c r="G354" s="1" t="s">
        <v>4994</v>
      </c>
      <c r="I354" s="1" t="s">
        <v>56</v>
      </c>
      <c r="J354" s="1" t="s">
        <v>44</v>
      </c>
      <c r="L354" s="2" t="s">
        <v>4995</v>
      </c>
      <c r="M354" s="18">
        <v>0</v>
      </c>
      <c r="V354" s="4" t="s">
        <v>4996</v>
      </c>
      <c r="AL354" s="60" t="s">
        <v>30</v>
      </c>
    </row>
    <row r="355" spans="1:47" ht="36" x14ac:dyDescent="0.2">
      <c r="A355" s="1" t="s">
        <v>4956</v>
      </c>
      <c r="B355" s="1" t="s">
        <v>4963</v>
      </c>
      <c r="C355" s="1" t="s">
        <v>5699</v>
      </c>
      <c r="D355" s="48">
        <v>11</v>
      </c>
      <c r="E355" s="1">
        <v>1</v>
      </c>
      <c r="F355" s="1" t="s">
        <v>4958</v>
      </c>
      <c r="G355" s="1" t="s">
        <v>9541</v>
      </c>
      <c r="I355" s="1" t="s">
        <v>125</v>
      </c>
      <c r="M355" s="18">
        <v>1</v>
      </c>
      <c r="N355" s="54" t="s">
        <v>9529</v>
      </c>
      <c r="V355" s="4" t="s">
        <v>10505</v>
      </c>
      <c r="X355" s="1" t="s">
        <v>4964</v>
      </c>
      <c r="Y355" s="1" t="s">
        <v>9541</v>
      </c>
      <c r="AA355" s="1" t="s">
        <v>125</v>
      </c>
      <c r="AE355" s="1">
        <v>1</v>
      </c>
      <c r="AF355" s="54" t="s">
        <v>9530</v>
      </c>
      <c r="AL355" s="60" t="s">
        <v>346</v>
      </c>
      <c r="AN355" s="4" t="s">
        <v>2379</v>
      </c>
    </row>
    <row r="356" spans="1:47" ht="60" x14ac:dyDescent="0.2">
      <c r="A356" s="1" t="s">
        <v>4956</v>
      </c>
      <c r="B356" s="1" t="s">
        <v>4991</v>
      </c>
      <c r="C356" s="1" t="s">
        <v>5699</v>
      </c>
      <c r="D356" s="48">
        <v>12</v>
      </c>
      <c r="E356" s="1">
        <v>1</v>
      </c>
      <c r="F356" s="1" t="s">
        <v>4958</v>
      </c>
      <c r="G356" s="1" t="s">
        <v>9600</v>
      </c>
      <c r="I356" s="1" t="s">
        <v>125</v>
      </c>
      <c r="M356" s="18">
        <v>2</v>
      </c>
      <c r="N356" s="54" t="s">
        <v>9529</v>
      </c>
      <c r="Y356" s="1" t="s">
        <v>9600</v>
      </c>
      <c r="AA356" s="1" t="s">
        <v>125</v>
      </c>
      <c r="AE356" s="1">
        <v>2</v>
      </c>
      <c r="AF356" s="54" t="s">
        <v>9530</v>
      </c>
      <c r="AL356" s="60" t="s">
        <v>31</v>
      </c>
      <c r="AN356" s="4" t="s">
        <v>4992</v>
      </c>
      <c r="AU356" s="1" t="s">
        <v>6155</v>
      </c>
    </row>
    <row r="357" spans="1:47" ht="84" x14ac:dyDescent="0.2">
      <c r="A357" s="1" t="s">
        <v>4956</v>
      </c>
      <c r="B357" s="1" t="s">
        <v>4957</v>
      </c>
      <c r="C357" s="1" t="s">
        <v>5699</v>
      </c>
      <c r="D357" s="48">
        <v>13</v>
      </c>
      <c r="E357" s="1">
        <v>1</v>
      </c>
      <c r="F357" s="1" t="s">
        <v>4958</v>
      </c>
      <c r="G357" s="1" t="s">
        <v>9667</v>
      </c>
      <c r="I357" s="1" t="s">
        <v>125</v>
      </c>
      <c r="M357" s="18">
        <v>3</v>
      </c>
      <c r="N357" s="54" t="s">
        <v>9529</v>
      </c>
      <c r="Y357" s="1" t="s">
        <v>9667</v>
      </c>
      <c r="AA357" s="1" t="s">
        <v>125</v>
      </c>
      <c r="AE357" s="1">
        <v>3</v>
      </c>
      <c r="AF357" s="54" t="s">
        <v>9530</v>
      </c>
      <c r="AL357" s="60" t="s">
        <v>809</v>
      </c>
      <c r="AN357" s="4" t="s">
        <v>4959</v>
      </c>
    </row>
    <row r="358" spans="1:47" ht="72" x14ac:dyDescent="0.2">
      <c r="A358" s="1" t="s">
        <v>4956</v>
      </c>
      <c r="B358" s="1" t="s">
        <v>4972</v>
      </c>
      <c r="C358" s="1" t="s">
        <v>5699</v>
      </c>
      <c r="D358" s="48">
        <v>14</v>
      </c>
      <c r="E358" s="1">
        <v>1</v>
      </c>
      <c r="F358" s="1" t="s">
        <v>4958</v>
      </c>
      <c r="G358" s="1" t="s">
        <v>5906</v>
      </c>
      <c r="H358" s="1" t="s">
        <v>26</v>
      </c>
      <c r="I358" s="1" t="s">
        <v>88</v>
      </c>
      <c r="K358" s="1" t="s">
        <v>3001</v>
      </c>
      <c r="P358" s="56">
        <v>2</v>
      </c>
      <c r="Q358" s="57">
        <v>0</v>
      </c>
      <c r="R358" s="58">
        <v>1</v>
      </c>
      <c r="S358" s="59">
        <v>2</v>
      </c>
      <c r="V358" s="4" t="s">
        <v>10506</v>
      </c>
      <c r="AL358" s="60" t="s">
        <v>30</v>
      </c>
      <c r="AU358" s="1" t="s">
        <v>6156</v>
      </c>
    </row>
    <row r="359" spans="1:47" ht="36" x14ac:dyDescent="0.2">
      <c r="A359" s="1" t="s">
        <v>4956</v>
      </c>
      <c r="B359" s="1" t="s">
        <v>5032</v>
      </c>
      <c r="C359" s="1" t="s">
        <v>5699</v>
      </c>
      <c r="D359" s="48">
        <v>15</v>
      </c>
      <c r="E359" s="1">
        <v>1</v>
      </c>
      <c r="F359" s="1" t="s">
        <v>4958</v>
      </c>
      <c r="G359" s="1" t="s">
        <v>5033</v>
      </c>
      <c r="H359" s="1" t="s">
        <v>26</v>
      </c>
      <c r="I359" s="1" t="s">
        <v>104</v>
      </c>
      <c r="K359" s="1" t="s">
        <v>4970</v>
      </c>
      <c r="O359" s="55">
        <v>3</v>
      </c>
      <c r="T359" s="60">
        <v>9</v>
      </c>
      <c r="U359" s="1">
        <v>3</v>
      </c>
      <c r="V359" s="4" t="s">
        <v>5034</v>
      </c>
      <c r="AL359" s="60" t="s">
        <v>30</v>
      </c>
    </row>
    <row r="360" spans="1:47" ht="24" x14ac:dyDescent="0.2">
      <c r="A360" s="1" t="s">
        <v>4956</v>
      </c>
      <c r="B360" s="1" t="s">
        <v>4988</v>
      </c>
      <c r="C360" s="1" t="s">
        <v>5699</v>
      </c>
      <c r="D360" s="48">
        <v>16</v>
      </c>
      <c r="E360" s="1">
        <v>1</v>
      </c>
      <c r="F360" s="1" t="s">
        <v>4958</v>
      </c>
      <c r="G360" s="1" t="s">
        <v>4989</v>
      </c>
      <c r="H360" s="1" t="s">
        <v>26</v>
      </c>
      <c r="I360" s="1" t="s">
        <v>104</v>
      </c>
      <c r="K360" s="1" t="s">
        <v>4970</v>
      </c>
      <c r="O360" s="55">
        <v>3</v>
      </c>
      <c r="T360" s="60">
        <v>7</v>
      </c>
      <c r="U360" s="1">
        <v>2</v>
      </c>
      <c r="V360" s="4" t="s">
        <v>4990</v>
      </c>
      <c r="AL360" s="60" t="s">
        <v>30</v>
      </c>
      <c r="AU360" s="1" t="s">
        <v>6157</v>
      </c>
    </row>
    <row r="361" spans="1:47" ht="24" x14ac:dyDescent="0.2">
      <c r="A361" s="1" t="s">
        <v>4956</v>
      </c>
      <c r="B361" s="1" t="s">
        <v>4968</v>
      </c>
      <c r="C361" s="1" t="s">
        <v>5699</v>
      </c>
      <c r="D361" s="48">
        <v>17</v>
      </c>
      <c r="E361" s="1">
        <v>1</v>
      </c>
      <c r="F361" s="1" t="s">
        <v>4958</v>
      </c>
      <c r="G361" s="1" t="s">
        <v>4969</v>
      </c>
      <c r="H361" s="1" t="s">
        <v>26</v>
      </c>
      <c r="I361" s="1" t="s">
        <v>104</v>
      </c>
      <c r="K361" s="1" t="s">
        <v>4970</v>
      </c>
      <c r="O361" s="55">
        <v>3</v>
      </c>
      <c r="T361" s="60">
        <v>7</v>
      </c>
      <c r="U361" s="1">
        <v>2</v>
      </c>
      <c r="V361" s="4" t="s">
        <v>4971</v>
      </c>
      <c r="AL361" s="60" t="s">
        <v>30</v>
      </c>
    </row>
    <row r="362" spans="1:47" ht="48" x14ac:dyDescent="0.2">
      <c r="A362" s="1" t="s">
        <v>4956</v>
      </c>
      <c r="B362" s="1" t="s">
        <v>4997</v>
      </c>
      <c r="C362" s="1" t="s">
        <v>5699</v>
      </c>
      <c r="D362" s="48">
        <v>18</v>
      </c>
      <c r="E362" s="1">
        <v>1</v>
      </c>
      <c r="F362" s="1" t="s">
        <v>4958</v>
      </c>
      <c r="G362" s="1" t="s">
        <v>4998</v>
      </c>
      <c r="H362" s="1" t="s">
        <v>26</v>
      </c>
      <c r="I362" s="1" t="s">
        <v>104</v>
      </c>
      <c r="K362" s="1" t="s">
        <v>4999</v>
      </c>
      <c r="O362" s="55">
        <v>2</v>
      </c>
      <c r="T362" s="60">
        <v>3</v>
      </c>
      <c r="U362" s="1">
        <v>1</v>
      </c>
      <c r="V362" s="4" t="s">
        <v>5000</v>
      </c>
      <c r="AL362" s="60" t="s">
        <v>30</v>
      </c>
    </row>
    <row r="363" spans="1:47" ht="24" x14ac:dyDescent="0.2">
      <c r="A363" s="1" t="s">
        <v>4956</v>
      </c>
      <c r="B363" s="1" t="s">
        <v>5035</v>
      </c>
      <c r="C363" s="1" t="s">
        <v>5699</v>
      </c>
      <c r="D363" s="48">
        <v>19</v>
      </c>
      <c r="E363" s="1">
        <v>3</v>
      </c>
      <c r="F363" s="1" t="s">
        <v>4958</v>
      </c>
      <c r="G363" s="1" t="s">
        <v>5036</v>
      </c>
      <c r="I363" s="1" t="s">
        <v>104</v>
      </c>
      <c r="K363" s="1" t="s">
        <v>1178</v>
      </c>
      <c r="O363" s="55">
        <v>4</v>
      </c>
      <c r="T363" s="60">
        <v>2</v>
      </c>
      <c r="V363" s="4" t="s">
        <v>5037</v>
      </c>
      <c r="W363" s="4" t="s">
        <v>4962</v>
      </c>
      <c r="AL363" s="60" t="s">
        <v>30</v>
      </c>
    </row>
    <row r="364" spans="1:47" ht="36" x14ac:dyDescent="0.2">
      <c r="A364" s="1" t="s">
        <v>4956</v>
      </c>
      <c r="B364" s="1" t="s">
        <v>4965</v>
      </c>
      <c r="C364" s="1" t="s">
        <v>5699</v>
      </c>
      <c r="D364" s="48">
        <v>20</v>
      </c>
      <c r="E364" s="1">
        <v>2</v>
      </c>
      <c r="F364" s="1" t="s">
        <v>4958</v>
      </c>
      <c r="G364" s="1" t="s">
        <v>4966</v>
      </c>
      <c r="I364" s="1" t="s">
        <v>82</v>
      </c>
      <c r="V364" s="4" t="s">
        <v>4967</v>
      </c>
      <c r="AL364" s="60" t="s">
        <v>30</v>
      </c>
    </row>
    <row r="365" spans="1:47" ht="36" x14ac:dyDescent="0.2">
      <c r="A365" s="1" t="s">
        <v>4956</v>
      </c>
      <c r="B365" s="1" t="s">
        <v>4960</v>
      </c>
      <c r="C365" s="1" t="s">
        <v>5699</v>
      </c>
      <c r="D365" s="48">
        <v>21</v>
      </c>
      <c r="E365" s="1">
        <v>2</v>
      </c>
      <c r="F365" s="1" t="s">
        <v>4958</v>
      </c>
      <c r="G365" s="1" t="s">
        <v>4587</v>
      </c>
      <c r="I365" s="1" t="s">
        <v>82</v>
      </c>
      <c r="V365" s="4" t="s">
        <v>4961</v>
      </c>
      <c r="W365" s="4" t="s">
        <v>4962</v>
      </c>
      <c r="AL365" s="60" t="s">
        <v>30</v>
      </c>
    </row>
    <row r="366" spans="1:47" ht="24" x14ac:dyDescent="0.2">
      <c r="A366" s="1" t="s">
        <v>4956</v>
      </c>
      <c r="B366" s="1" t="s">
        <v>5022</v>
      </c>
      <c r="C366" s="1" t="s">
        <v>5699</v>
      </c>
      <c r="D366" s="48">
        <v>22</v>
      </c>
      <c r="E366" s="1">
        <v>5</v>
      </c>
      <c r="F366" s="1" t="s">
        <v>4958</v>
      </c>
      <c r="G366" s="1" t="s">
        <v>5023</v>
      </c>
      <c r="I366" s="1" t="s">
        <v>82</v>
      </c>
      <c r="K366" s="1" t="s">
        <v>4986</v>
      </c>
      <c r="V366" s="4" t="s">
        <v>5024</v>
      </c>
      <c r="W366" s="4" t="s">
        <v>5025</v>
      </c>
      <c r="AL366" s="60" t="s">
        <v>30</v>
      </c>
    </row>
    <row r="367" spans="1:47" ht="60" x14ac:dyDescent="0.2">
      <c r="A367" s="1" t="s">
        <v>4956</v>
      </c>
      <c r="B367" s="1" t="s">
        <v>4984</v>
      </c>
      <c r="C367" s="1" t="s">
        <v>5699</v>
      </c>
      <c r="D367" s="48">
        <v>23</v>
      </c>
      <c r="E367" s="1">
        <v>3</v>
      </c>
      <c r="F367" s="1" t="s">
        <v>4958</v>
      </c>
      <c r="G367" s="1" t="s">
        <v>4985</v>
      </c>
      <c r="I367" s="1" t="s">
        <v>82</v>
      </c>
      <c r="K367" s="1" t="s">
        <v>4986</v>
      </c>
      <c r="V367" s="4" t="s">
        <v>4987</v>
      </c>
      <c r="AL367" s="60" t="s">
        <v>30</v>
      </c>
      <c r="AU367" s="1" t="s">
        <v>6158</v>
      </c>
    </row>
    <row r="368" spans="1:47" ht="24" x14ac:dyDescent="0.2">
      <c r="A368" s="1" t="s">
        <v>4956</v>
      </c>
      <c r="B368" s="1" t="s">
        <v>5026</v>
      </c>
      <c r="C368" s="1" t="s">
        <v>5699</v>
      </c>
      <c r="D368" s="48">
        <v>24</v>
      </c>
      <c r="E368" s="1">
        <v>1</v>
      </c>
      <c r="F368" s="1" t="s">
        <v>4958</v>
      </c>
      <c r="G368" s="1" t="s">
        <v>5027</v>
      </c>
      <c r="I368" s="1" t="s">
        <v>82</v>
      </c>
      <c r="K368" s="1" t="s">
        <v>4986</v>
      </c>
      <c r="V368" s="4" t="s">
        <v>5028</v>
      </c>
      <c r="AL368" s="60" t="s">
        <v>30</v>
      </c>
      <c r="AU368" s="1" t="s">
        <v>6159</v>
      </c>
    </row>
    <row r="369" spans="1:48" ht="24" x14ac:dyDescent="0.2">
      <c r="A369" s="1" t="s">
        <v>4956</v>
      </c>
      <c r="B369" s="1" t="s">
        <v>4973</v>
      </c>
      <c r="C369" s="1" t="s">
        <v>5699</v>
      </c>
      <c r="D369" s="48">
        <v>25</v>
      </c>
      <c r="E369" s="1">
        <v>3</v>
      </c>
      <c r="F369" s="1" t="s">
        <v>4958</v>
      </c>
      <c r="G369" s="1" t="s">
        <v>4974</v>
      </c>
      <c r="I369" s="1" t="s">
        <v>94</v>
      </c>
      <c r="K369" s="1" t="s">
        <v>604</v>
      </c>
      <c r="N369" s="54">
        <v>25</v>
      </c>
      <c r="O369" s="55">
        <v>1</v>
      </c>
      <c r="Q369" s="57">
        <v>2</v>
      </c>
      <c r="R369" s="58">
        <v>2</v>
      </c>
      <c r="S369" s="59">
        <v>3</v>
      </c>
      <c r="V369" s="4" t="s">
        <v>4975</v>
      </c>
      <c r="W369" s="4" t="s">
        <v>4976</v>
      </c>
      <c r="AL369" s="60" t="s">
        <v>30</v>
      </c>
    </row>
    <row r="370" spans="1:48" ht="24" x14ac:dyDescent="0.2">
      <c r="A370" s="1" t="s">
        <v>4956</v>
      </c>
      <c r="B370" s="1" t="s">
        <v>5016</v>
      </c>
      <c r="C370" s="1" t="s">
        <v>5699</v>
      </c>
      <c r="D370" s="48">
        <v>26</v>
      </c>
      <c r="E370" s="1">
        <v>2</v>
      </c>
      <c r="F370" s="1" t="s">
        <v>4958</v>
      </c>
      <c r="G370" s="1" t="s">
        <v>5017</v>
      </c>
      <c r="I370" s="1" t="s">
        <v>94</v>
      </c>
      <c r="K370" s="1" t="s">
        <v>287</v>
      </c>
      <c r="N370" s="54">
        <v>35</v>
      </c>
      <c r="O370" s="55">
        <v>2</v>
      </c>
      <c r="Q370" s="57">
        <v>5</v>
      </c>
      <c r="R370" s="58">
        <v>5</v>
      </c>
      <c r="S370" s="59">
        <v>7</v>
      </c>
      <c r="V370" s="4" t="s">
        <v>5018</v>
      </c>
      <c r="W370" s="4" t="s">
        <v>4976</v>
      </c>
      <c r="AL370" s="60" t="s">
        <v>30</v>
      </c>
    </row>
    <row r="371" spans="1:48" ht="48" x14ac:dyDescent="0.2">
      <c r="A371" s="1" t="s">
        <v>4956</v>
      </c>
      <c r="B371" s="1" t="s">
        <v>5001</v>
      </c>
      <c r="C371" s="1" t="s">
        <v>5699</v>
      </c>
      <c r="D371" s="48">
        <v>27</v>
      </c>
      <c r="E371" s="1">
        <v>3</v>
      </c>
      <c r="F371" s="1" t="s">
        <v>4958</v>
      </c>
      <c r="G371" s="1" t="s">
        <v>5002</v>
      </c>
      <c r="I371" s="1" t="s">
        <v>94</v>
      </c>
      <c r="K371" s="1" t="s">
        <v>5003</v>
      </c>
      <c r="N371" s="54">
        <v>28</v>
      </c>
      <c r="O371" s="55">
        <v>3</v>
      </c>
      <c r="Q371" s="57">
        <v>3</v>
      </c>
      <c r="R371" s="58">
        <v>1</v>
      </c>
      <c r="S371" s="59">
        <v>4</v>
      </c>
      <c r="V371" s="4" t="s">
        <v>5004</v>
      </c>
      <c r="AL371" s="60" t="s">
        <v>30</v>
      </c>
      <c r="AU371" s="1" t="s">
        <v>6160</v>
      </c>
    </row>
    <row r="372" spans="1:48" ht="48" x14ac:dyDescent="0.2">
      <c r="A372" s="109" t="s">
        <v>2995</v>
      </c>
      <c r="B372" s="109" t="s">
        <v>3013</v>
      </c>
      <c r="C372" s="109" t="s">
        <v>5700</v>
      </c>
      <c r="D372" s="110">
        <v>28</v>
      </c>
      <c r="E372" s="109">
        <v>1</v>
      </c>
      <c r="F372" s="109"/>
      <c r="G372" s="109" t="s">
        <v>3014</v>
      </c>
      <c r="H372" s="1" t="s">
        <v>26</v>
      </c>
      <c r="I372" s="1" t="s">
        <v>27</v>
      </c>
      <c r="J372" s="1" t="s">
        <v>50</v>
      </c>
      <c r="K372" s="1" t="s">
        <v>3015</v>
      </c>
      <c r="M372" s="18">
        <v>10</v>
      </c>
      <c r="P372" s="56">
        <v>2</v>
      </c>
      <c r="Q372" s="57">
        <v>1</v>
      </c>
      <c r="R372" s="58">
        <v>2</v>
      </c>
      <c r="S372" s="59">
        <v>4</v>
      </c>
      <c r="V372" s="4" t="s">
        <v>3016</v>
      </c>
      <c r="AL372" s="60" t="s">
        <v>30</v>
      </c>
    </row>
    <row r="373" spans="1:48" x14ac:dyDescent="0.2">
      <c r="A373" s="1" t="s">
        <v>2995</v>
      </c>
      <c r="B373" s="1" t="s">
        <v>3011</v>
      </c>
      <c r="C373" s="1" t="s">
        <v>5700</v>
      </c>
      <c r="D373" s="48">
        <v>29</v>
      </c>
      <c r="E373" s="1">
        <v>3</v>
      </c>
      <c r="G373" s="1" t="s">
        <v>5907</v>
      </c>
      <c r="I373" s="1" t="s">
        <v>38</v>
      </c>
      <c r="J373" s="1" t="s">
        <v>28</v>
      </c>
      <c r="K373" s="1" t="s">
        <v>380</v>
      </c>
      <c r="L373" s="2" t="s">
        <v>3012</v>
      </c>
      <c r="M373" s="18">
        <v>5</v>
      </c>
      <c r="P373" s="56">
        <v>1</v>
      </c>
      <c r="Q373" s="57">
        <v>2</v>
      </c>
      <c r="R373" s="58">
        <v>2</v>
      </c>
      <c r="S373" s="59">
        <v>2</v>
      </c>
      <c r="AL373" s="60" t="s">
        <v>30</v>
      </c>
    </row>
    <row r="374" spans="1:48" x14ac:dyDescent="0.2">
      <c r="A374" s="1" t="s">
        <v>2995</v>
      </c>
      <c r="B374" s="1" t="s">
        <v>3030</v>
      </c>
      <c r="C374" s="1" t="s">
        <v>5700</v>
      </c>
      <c r="D374" s="48">
        <v>30</v>
      </c>
      <c r="E374" s="1">
        <v>3</v>
      </c>
      <c r="G374" s="1" t="s">
        <v>3031</v>
      </c>
      <c r="I374" s="1" t="s">
        <v>63</v>
      </c>
      <c r="J374" s="1" t="s">
        <v>28</v>
      </c>
      <c r="M374" s="18">
        <v>3</v>
      </c>
      <c r="V374" s="4" t="s">
        <v>3032</v>
      </c>
      <c r="AL374" s="60" t="s">
        <v>30</v>
      </c>
    </row>
    <row r="375" spans="1:48" ht="24" x14ac:dyDescent="0.2">
      <c r="A375" s="1" t="s">
        <v>2995</v>
      </c>
      <c r="B375" s="1" t="s">
        <v>3052</v>
      </c>
      <c r="C375" s="1" t="s">
        <v>5700</v>
      </c>
      <c r="D375" s="48">
        <v>31</v>
      </c>
      <c r="E375" s="1">
        <v>3</v>
      </c>
      <c r="G375" s="1" t="s">
        <v>3053</v>
      </c>
      <c r="I375" s="1" t="s">
        <v>56</v>
      </c>
      <c r="J375" s="1" t="s">
        <v>50</v>
      </c>
      <c r="K375" s="1" t="s">
        <v>196</v>
      </c>
      <c r="L375" s="2" t="s">
        <v>3054</v>
      </c>
      <c r="M375" s="18">
        <v>1</v>
      </c>
      <c r="V375" s="4" t="s">
        <v>3055</v>
      </c>
      <c r="AL375" s="60" t="s">
        <v>30</v>
      </c>
    </row>
    <row r="376" spans="1:48" ht="24" x14ac:dyDescent="0.2">
      <c r="A376" s="1" t="s">
        <v>2995</v>
      </c>
      <c r="B376" s="1" t="s">
        <v>3027</v>
      </c>
      <c r="C376" s="1" t="s">
        <v>5700</v>
      </c>
      <c r="D376" s="48">
        <v>32</v>
      </c>
      <c r="E376" s="1">
        <v>3</v>
      </c>
      <c r="G376" s="1" t="s">
        <v>3028</v>
      </c>
      <c r="I376" s="1" t="s">
        <v>63</v>
      </c>
      <c r="J376" s="1" t="s">
        <v>50</v>
      </c>
      <c r="M376" s="18">
        <v>1</v>
      </c>
      <c r="V376" s="4" t="s">
        <v>3029</v>
      </c>
      <c r="AL376" s="60" t="s">
        <v>30</v>
      </c>
    </row>
    <row r="377" spans="1:48" ht="60" x14ac:dyDescent="0.2">
      <c r="A377" s="1" t="s">
        <v>2995</v>
      </c>
      <c r="B377" s="1" t="s">
        <v>3049</v>
      </c>
      <c r="C377" s="1" t="s">
        <v>5700</v>
      </c>
      <c r="D377" s="48">
        <v>33</v>
      </c>
      <c r="E377" s="1">
        <v>3</v>
      </c>
      <c r="G377" s="1" t="s">
        <v>3050</v>
      </c>
      <c r="I377" s="1" t="s">
        <v>38</v>
      </c>
      <c r="J377" s="1" t="s">
        <v>57</v>
      </c>
      <c r="K377" s="1" t="s">
        <v>75</v>
      </c>
      <c r="M377" s="18">
        <v>3</v>
      </c>
      <c r="P377" s="56">
        <v>2</v>
      </c>
      <c r="Q377" s="57">
        <v>1</v>
      </c>
      <c r="R377" s="58">
        <v>1</v>
      </c>
      <c r="S377" s="59">
        <v>2</v>
      </c>
      <c r="V377" s="4" t="s">
        <v>3051</v>
      </c>
      <c r="AL377" s="60" t="s">
        <v>30</v>
      </c>
      <c r="AU377" s="1" t="s">
        <v>6161</v>
      </c>
      <c r="AV377" s="1" t="s">
        <v>6162</v>
      </c>
    </row>
    <row r="378" spans="1:48" ht="48" x14ac:dyDescent="0.2">
      <c r="A378" s="1" t="s">
        <v>2995</v>
      </c>
      <c r="B378" s="1" t="s">
        <v>3064</v>
      </c>
      <c r="C378" s="1" t="s">
        <v>5700</v>
      </c>
      <c r="D378" s="48">
        <v>34</v>
      </c>
      <c r="E378" s="1">
        <v>3</v>
      </c>
      <c r="G378" s="1" t="s">
        <v>5908</v>
      </c>
      <c r="I378" s="1" t="s">
        <v>56</v>
      </c>
      <c r="J378" s="1" t="s">
        <v>57</v>
      </c>
      <c r="K378" s="1" t="s">
        <v>324</v>
      </c>
      <c r="L378" s="2" t="s">
        <v>189</v>
      </c>
      <c r="M378" s="18">
        <v>1</v>
      </c>
      <c r="V378" s="4" t="s">
        <v>3065</v>
      </c>
      <c r="AL378" s="60" t="s">
        <v>30</v>
      </c>
    </row>
    <row r="379" spans="1:48" ht="36" x14ac:dyDescent="0.2">
      <c r="A379" s="1" t="s">
        <v>2995</v>
      </c>
      <c r="B379" s="1" t="s">
        <v>3005</v>
      </c>
      <c r="C379" s="1" t="s">
        <v>5700</v>
      </c>
      <c r="D379" s="48">
        <v>35</v>
      </c>
      <c r="E379" s="1">
        <v>3</v>
      </c>
      <c r="G379" s="1" t="s">
        <v>3006</v>
      </c>
      <c r="H379" s="1" t="s">
        <v>26</v>
      </c>
      <c r="I379" s="1" t="s">
        <v>38</v>
      </c>
      <c r="J379" s="1" t="s">
        <v>39</v>
      </c>
      <c r="K379" s="1" t="s">
        <v>283</v>
      </c>
      <c r="M379" s="18">
        <v>3</v>
      </c>
      <c r="P379" s="56">
        <v>0</v>
      </c>
      <c r="Q379" s="57">
        <v>0</v>
      </c>
      <c r="R379" s="58">
        <v>1</v>
      </c>
      <c r="S379" s="59">
        <v>3</v>
      </c>
      <c r="V379" s="4" t="s">
        <v>3007</v>
      </c>
      <c r="AL379" s="60" t="s">
        <v>30</v>
      </c>
    </row>
    <row r="380" spans="1:48" ht="36" x14ac:dyDescent="0.2">
      <c r="A380" s="1" t="s">
        <v>2995</v>
      </c>
      <c r="B380" s="1" t="s">
        <v>3041</v>
      </c>
      <c r="C380" s="1" t="s">
        <v>5700</v>
      </c>
      <c r="D380" s="48">
        <v>36</v>
      </c>
      <c r="E380" s="1">
        <v>3</v>
      </c>
      <c r="G380" s="1" t="s">
        <v>3042</v>
      </c>
      <c r="I380" s="1" t="s">
        <v>63</v>
      </c>
      <c r="J380" s="1" t="s">
        <v>39</v>
      </c>
      <c r="L380" s="2" t="s">
        <v>3043</v>
      </c>
      <c r="M380" s="18">
        <v>3</v>
      </c>
      <c r="V380" s="4" t="s">
        <v>3044</v>
      </c>
      <c r="AL380" s="60" t="s">
        <v>30</v>
      </c>
    </row>
    <row r="381" spans="1:48" ht="24" x14ac:dyDescent="0.2">
      <c r="A381" s="1" t="s">
        <v>2995</v>
      </c>
      <c r="B381" s="1" t="s">
        <v>3066</v>
      </c>
      <c r="C381" s="1" t="s">
        <v>5700</v>
      </c>
      <c r="D381" s="48">
        <v>37</v>
      </c>
      <c r="E381" s="1">
        <v>3</v>
      </c>
      <c r="G381" s="1" t="s">
        <v>3067</v>
      </c>
      <c r="I381" s="1" t="s">
        <v>63</v>
      </c>
      <c r="J381" s="1" t="s">
        <v>44</v>
      </c>
      <c r="M381" s="18">
        <v>0</v>
      </c>
      <c r="V381" s="4" t="s">
        <v>3068</v>
      </c>
      <c r="AL381" s="60" t="s">
        <v>30</v>
      </c>
    </row>
    <row r="382" spans="1:48" ht="36" x14ac:dyDescent="0.2">
      <c r="A382" s="1" t="s">
        <v>2995</v>
      </c>
      <c r="B382" s="1" t="s">
        <v>2996</v>
      </c>
      <c r="C382" s="1" t="s">
        <v>5700</v>
      </c>
      <c r="D382" s="48">
        <v>38</v>
      </c>
      <c r="E382" s="1">
        <v>1</v>
      </c>
      <c r="F382" s="1" t="s">
        <v>2997</v>
      </c>
      <c r="G382" s="1" t="s">
        <v>9542</v>
      </c>
      <c r="I382" s="1" t="s">
        <v>125</v>
      </c>
      <c r="M382" s="18">
        <v>1</v>
      </c>
      <c r="N382" s="54" t="s">
        <v>9529</v>
      </c>
      <c r="V382" s="4" t="s">
        <v>10507</v>
      </c>
      <c r="X382" s="1" t="s">
        <v>1681</v>
      </c>
      <c r="Y382" s="1" t="s">
        <v>9542</v>
      </c>
      <c r="AA382" s="1" t="s">
        <v>125</v>
      </c>
      <c r="AE382" s="1">
        <v>1</v>
      </c>
      <c r="AF382" s="54" t="s">
        <v>9530</v>
      </c>
      <c r="AL382" s="60" t="s">
        <v>122</v>
      </c>
    </row>
    <row r="383" spans="1:48" ht="36" x14ac:dyDescent="0.2">
      <c r="A383" s="1" t="s">
        <v>2995</v>
      </c>
      <c r="B383" s="1" t="s">
        <v>3036</v>
      </c>
      <c r="C383" s="1" t="s">
        <v>5700</v>
      </c>
      <c r="D383" s="48">
        <v>39</v>
      </c>
      <c r="E383" s="1">
        <v>1</v>
      </c>
      <c r="F383" s="1" t="s">
        <v>2997</v>
      </c>
      <c r="G383" s="1" t="s">
        <v>9601</v>
      </c>
      <c r="I383" s="1" t="s">
        <v>125</v>
      </c>
      <c r="M383" s="18">
        <v>2</v>
      </c>
      <c r="N383" s="54" t="s">
        <v>9529</v>
      </c>
      <c r="Y383" s="1" t="s">
        <v>9601</v>
      </c>
      <c r="AA383" s="1" t="s">
        <v>125</v>
      </c>
      <c r="AE383" s="1">
        <v>2</v>
      </c>
      <c r="AF383" s="54" t="s">
        <v>9530</v>
      </c>
      <c r="AL383" s="60" t="s">
        <v>243</v>
      </c>
      <c r="AN383" s="4" t="s">
        <v>3037</v>
      </c>
    </row>
    <row r="384" spans="1:48" ht="72" x14ac:dyDescent="0.2">
      <c r="A384" s="1" t="s">
        <v>2995</v>
      </c>
      <c r="B384" s="1" t="s">
        <v>2998</v>
      </c>
      <c r="C384" s="1" t="s">
        <v>5700</v>
      </c>
      <c r="D384" s="48">
        <v>40</v>
      </c>
      <c r="E384" s="1">
        <v>1</v>
      </c>
      <c r="F384" s="1" t="s">
        <v>2997</v>
      </c>
      <c r="G384" s="1" t="s">
        <v>9668</v>
      </c>
      <c r="I384" s="1" t="s">
        <v>125</v>
      </c>
      <c r="M384" s="18">
        <v>3</v>
      </c>
      <c r="N384" s="54" t="s">
        <v>9529</v>
      </c>
      <c r="Y384" s="1" t="s">
        <v>9668</v>
      </c>
      <c r="AA384" s="1" t="s">
        <v>125</v>
      </c>
      <c r="AE384" s="1">
        <v>3</v>
      </c>
      <c r="AF384" s="54" t="s">
        <v>9530</v>
      </c>
      <c r="AL384" s="60" t="s">
        <v>809</v>
      </c>
      <c r="AN384" s="4" t="s">
        <v>2999</v>
      </c>
    </row>
    <row r="385" spans="1:48" ht="72" x14ac:dyDescent="0.2">
      <c r="A385" s="1" t="s">
        <v>2995</v>
      </c>
      <c r="B385" s="1" t="s">
        <v>3000</v>
      </c>
      <c r="C385" s="1" t="s">
        <v>5700</v>
      </c>
      <c r="D385" s="48">
        <v>41</v>
      </c>
      <c r="E385" s="1">
        <v>1</v>
      </c>
      <c r="F385" s="1" t="s">
        <v>2997</v>
      </c>
      <c r="G385" s="1" t="s">
        <v>5906</v>
      </c>
      <c r="H385" s="1" t="s">
        <v>26</v>
      </c>
      <c r="I385" s="1" t="s">
        <v>88</v>
      </c>
      <c r="K385" s="1" t="s">
        <v>3001</v>
      </c>
      <c r="P385" s="56">
        <v>2</v>
      </c>
      <c r="Q385" s="57">
        <v>0</v>
      </c>
      <c r="R385" s="58">
        <v>1</v>
      </c>
      <c r="S385" s="59">
        <v>2</v>
      </c>
      <c r="V385" s="4" t="s">
        <v>10506</v>
      </c>
      <c r="AL385" s="60" t="s">
        <v>30</v>
      </c>
    </row>
    <row r="386" spans="1:48" ht="24" x14ac:dyDescent="0.2">
      <c r="A386" s="1" t="s">
        <v>2995</v>
      </c>
      <c r="B386" s="1" t="s">
        <v>3056</v>
      </c>
      <c r="C386" s="1" t="s">
        <v>5700</v>
      </c>
      <c r="D386" s="48">
        <v>42</v>
      </c>
      <c r="E386" s="1">
        <v>2</v>
      </c>
      <c r="F386" s="1" t="s">
        <v>2997</v>
      </c>
      <c r="G386" s="1" t="s">
        <v>3057</v>
      </c>
      <c r="I386" s="1" t="s">
        <v>104</v>
      </c>
      <c r="K386" s="1" t="s">
        <v>3058</v>
      </c>
      <c r="O386" s="55">
        <v>1</v>
      </c>
      <c r="T386" s="60">
        <v>5</v>
      </c>
      <c r="V386" s="4" t="s">
        <v>3059</v>
      </c>
      <c r="W386" s="4" t="s">
        <v>2508</v>
      </c>
      <c r="AL386" s="60" t="s">
        <v>30</v>
      </c>
    </row>
    <row r="387" spans="1:48" ht="48" x14ac:dyDescent="0.2">
      <c r="A387" s="1" t="s">
        <v>2995</v>
      </c>
      <c r="B387" s="1" t="s">
        <v>3020</v>
      </c>
      <c r="C387" s="1" t="s">
        <v>5700</v>
      </c>
      <c r="D387" s="48">
        <v>43</v>
      </c>
      <c r="E387" s="1">
        <v>1</v>
      </c>
      <c r="F387" s="1" t="s">
        <v>2997</v>
      </c>
      <c r="G387" s="1" t="s">
        <v>3021</v>
      </c>
      <c r="I387" s="1" t="s">
        <v>104</v>
      </c>
      <c r="K387" s="1" t="s">
        <v>2756</v>
      </c>
      <c r="O387" s="55">
        <v>5</v>
      </c>
      <c r="T387" s="60">
        <v>4</v>
      </c>
      <c r="V387" s="4" t="s">
        <v>3022</v>
      </c>
      <c r="AL387" s="60" t="s">
        <v>30</v>
      </c>
    </row>
    <row r="388" spans="1:48" ht="24" x14ac:dyDescent="0.2">
      <c r="A388" s="1" t="s">
        <v>2995</v>
      </c>
      <c r="B388" s="1" t="s">
        <v>3045</v>
      </c>
      <c r="C388" s="1" t="s">
        <v>5700</v>
      </c>
      <c r="D388" s="48">
        <v>44</v>
      </c>
      <c r="E388" s="1">
        <v>3</v>
      </c>
      <c r="F388" s="1" t="s">
        <v>2997</v>
      </c>
      <c r="G388" s="1" t="s">
        <v>3046</v>
      </c>
      <c r="I388" s="1" t="s">
        <v>104</v>
      </c>
      <c r="K388" s="1" t="s">
        <v>1217</v>
      </c>
      <c r="O388" s="55">
        <v>3</v>
      </c>
      <c r="T388" s="60">
        <v>5</v>
      </c>
      <c r="V388" s="4" t="s">
        <v>3047</v>
      </c>
      <c r="W388" s="4" t="s">
        <v>3048</v>
      </c>
      <c r="AL388" s="60" t="s">
        <v>30</v>
      </c>
    </row>
    <row r="389" spans="1:48" ht="24" x14ac:dyDescent="0.2">
      <c r="A389" s="1" t="s">
        <v>2995</v>
      </c>
      <c r="B389" s="1" t="s">
        <v>3002</v>
      </c>
      <c r="C389" s="1" t="s">
        <v>5700</v>
      </c>
      <c r="D389" s="48">
        <v>45</v>
      </c>
      <c r="E389" s="1">
        <v>2</v>
      </c>
      <c r="F389" s="1" t="s">
        <v>2997</v>
      </c>
      <c r="G389" s="1" t="s">
        <v>3003</v>
      </c>
      <c r="I389" s="1" t="s">
        <v>104</v>
      </c>
      <c r="K389" s="1" t="s">
        <v>1217</v>
      </c>
      <c r="O389" s="55">
        <v>2</v>
      </c>
      <c r="T389" s="60">
        <v>4</v>
      </c>
      <c r="V389" s="4" t="s">
        <v>3004</v>
      </c>
      <c r="W389" s="4" t="s">
        <v>2508</v>
      </c>
      <c r="AL389" s="60" t="s">
        <v>30</v>
      </c>
    </row>
    <row r="390" spans="1:48" ht="24" x14ac:dyDescent="0.2">
      <c r="A390" s="1" t="s">
        <v>2995</v>
      </c>
      <c r="B390" s="1" t="s">
        <v>3060</v>
      </c>
      <c r="C390" s="1" t="s">
        <v>5700</v>
      </c>
      <c r="D390" s="48">
        <v>46</v>
      </c>
      <c r="E390" s="1">
        <v>2</v>
      </c>
      <c r="F390" s="1" t="s">
        <v>2997</v>
      </c>
      <c r="G390" s="1" t="s">
        <v>3061</v>
      </c>
      <c r="I390" s="1" t="s">
        <v>82</v>
      </c>
      <c r="V390" s="4" t="s">
        <v>3062</v>
      </c>
      <c r="W390" s="4" t="s">
        <v>3063</v>
      </c>
      <c r="AL390" s="60" t="s">
        <v>30</v>
      </c>
    </row>
    <row r="391" spans="1:48" ht="36" x14ac:dyDescent="0.2">
      <c r="A391" s="1" t="s">
        <v>2995</v>
      </c>
      <c r="B391" s="1" t="s">
        <v>3017</v>
      </c>
      <c r="C391" s="1" t="s">
        <v>5700</v>
      </c>
      <c r="D391" s="48">
        <v>47</v>
      </c>
      <c r="E391" s="1">
        <v>3</v>
      </c>
      <c r="F391" s="1" t="s">
        <v>2997</v>
      </c>
      <c r="G391" s="1" t="s">
        <v>3018</v>
      </c>
      <c r="I391" s="1" t="s">
        <v>82</v>
      </c>
      <c r="V391" s="4" t="s">
        <v>3019</v>
      </c>
      <c r="W391" s="4" t="s">
        <v>2508</v>
      </c>
      <c r="AL391" s="60" t="s">
        <v>30</v>
      </c>
    </row>
    <row r="392" spans="1:48" ht="36" x14ac:dyDescent="0.2">
      <c r="A392" s="1" t="s">
        <v>2995</v>
      </c>
      <c r="B392" s="1" t="s">
        <v>3033</v>
      </c>
      <c r="C392" s="1" t="s">
        <v>5700</v>
      </c>
      <c r="D392" s="48">
        <v>48</v>
      </c>
      <c r="E392" s="1">
        <v>2</v>
      </c>
      <c r="F392" s="1" t="s">
        <v>2997</v>
      </c>
      <c r="G392" s="1" t="s">
        <v>3034</v>
      </c>
      <c r="I392" s="1" t="s">
        <v>82</v>
      </c>
      <c r="L392" s="2" t="s">
        <v>155</v>
      </c>
      <c r="V392" s="4" t="s">
        <v>3035</v>
      </c>
      <c r="AL392" s="60" t="s">
        <v>30</v>
      </c>
    </row>
    <row r="393" spans="1:48" ht="24" x14ac:dyDescent="0.2">
      <c r="A393" s="1" t="s">
        <v>2995</v>
      </c>
      <c r="B393" s="1" t="s">
        <v>3023</v>
      </c>
      <c r="C393" s="1" t="s">
        <v>5700</v>
      </c>
      <c r="D393" s="48">
        <v>49</v>
      </c>
      <c r="E393" s="1">
        <v>4</v>
      </c>
      <c r="F393" s="1" t="s">
        <v>2997</v>
      </c>
      <c r="G393" s="1" t="s">
        <v>3024</v>
      </c>
      <c r="I393" s="1" t="s">
        <v>94</v>
      </c>
      <c r="K393" s="1" t="s">
        <v>604</v>
      </c>
      <c r="L393" s="2" t="s">
        <v>3025</v>
      </c>
      <c r="N393" s="54">
        <v>27</v>
      </c>
      <c r="O393" s="55">
        <v>2</v>
      </c>
      <c r="Q393" s="57">
        <v>2</v>
      </c>
      <c r="R393" s="58">
        <v>2</v>
      </c>
      <c r="S393" s="59">
        <v>4</v>
      </c>
      <c r="V393" s="4" t="s">
        <v>3026</v>
      </c>
      <c r="AL393" s="60" t="s">
        <v>30</v>
      </c>
    </row>
    <row r="394" spans="1:48" ht="24" x14ac:dyDescent="0.2">
      <c r="A394" s="1" t="s">
        <v>2995</v>
      </c>
      <c r="B394" s="1" t="s">
        <v>3038</v>
      </c>
      <c r="C394" s="1" t="s">
        <v>5700</v>
      </c>
      <c r="D394" s="48">
        <v>50</v>
      </c>
      <c r="E394" s="1">
        <v>3</v>
      </c>
      <c r="F394" s="1" t="s">
        <v>2997</v>
      </c>
      <c r="G394" s="1" t="s">
        <v>3039</v>
      </c>
      <c r="I394" s="1" t="s">
        <v>94</v>
      </c>
      <c r="K394" s="1" t="s">
        <v>944</v>
      </c>
      <c r="L394" s="2" t="s">
        <v>3025</v>
      </c>
      <c r="N394" s="54">
        <v>21</v>
      </c>
      <c r="O394" s="55">
        <v>1</v>
      </c>
      <c r="Q394" s="57">
        <v>3</v>
      </c>
      <c r="R394" s="58">
        <v>1</v>
      </c>
      <c r="S394" s="59">
        <v>3</v>
      </c>
      <c r="V394" s="4" t="s">
        <v>3040</v>
      </c>
      <c r="AL394" s="60" t="s">
        <v>30</v>
      </c>
    </row>
    <row r="395" spans="1:48" ht="24" x14ac:dyDescent="0.2">
      <c r="A395" s="1" t="s">
        <v>2995</v>
      </c>
      <c r="B395" s="1" t="s">
        <v>3008</v>
      </c>
      <c r="C395" s="1" t="s">
        <v>5700</v>
      </c>
      <c r="D395" s="48">
        <v>51</v>
      </c>
      <c r="E395" s="1">
        <v>3</v>
      </c>
      <c r="F395" s="1" t="s">
        <v>2997</v>
      </c>
      <c r="G395" s="1" t="s">
        <v>3009</v>
      </c>
      <c r="I395" s="1" t="s">
        <v>94</v>
      </c>
      <c r="K395" s="1" t="s">
        <v>95</v>
      </c>
      <c r="L395" s="2" t="s">
        <v>155</v>
      </c>
      <c r="N395" s="54">
        <v>35</v>
      </c>
      <c r="O395" s="55">
        <v>2</v>
      </c>
      <c r="Q395" s="57">
        <v>0</v>
      </c>
      <c r="R395" s="58">
        <v>0</v>
      </c>
      <c r="S395" s="59">
        <v>3</v>
      </c>
      <c r="V395" s="4" t="s">
        <v>3010</v>
      </c>
      <c r="W395" s="4" t="s">
        <v>2508</v>
      </c>
      <c r="AL395" s="60" t="s">
        <v>30</v>
      </c>
    </row>
    <row r="396" spans="1:48" ht="24" x14ac:dyDescent="0.2">
      <c r="A396" s="1" t="s">
        <v>2995</v>
      </c>
      <c r="B396" s="1" t="s">
        <v>3069</v>
      </c>
      <c r="C396" s="1" t="s">
        <v>5700</v>
      </c>
      <c r="D396" s="48">
        <v>52</v>
      </c>
      <c r="E396" s="1">
        <v>3</v>
      </c>
      <c r="F396" s="1" t="s">
        <v>2997</v>
      </c>
      <c r="G396" s="1" t="s">
        <v>3070</v>
      </c>
      <c r="I396" s="1" t="s">
        <v>94</v>
      </c>
      <c r="K396" s="1" t="s">
        <v>95</v>
      </c>
      <c r="L396" s="2" t="s">
        <v>3025</v>
      </c>
      <c r="N396" s="54">
        <v>34</v>
      </c>
      <c r="O396" s="55">
        <v>0</v>
      </c>
      <c r="Q396" s="57">
        <v>2</v>
      </c>
      <c r="R396" s="58">
        <v>3</v>
      </c>
      <c r="S396" s="59">
        <v>5</v>
      </c>
      <c r="V396" s="4" t="s">
        <v>3071</v>
      </c>
      <c r="AL396" s="60" t="s">
        <v>30</v>
      </c>
    </row>
    <row r="397" spans="1:48" ht="24" x14ac:dyDescent="0.2">
      <c r="A397" s="109" t="s">
        <v>5241</v>
      </c>
      <c r="B397" s="109" t="s">
        <v>5242</v>
      </c>
      <c r="C397" s="109" t="s">
        <v>5701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5243</v>
      </c>
      <c r="AL397" s="60" t="s">
        <v>30</v>
      </c>
    </row>
    <row r="398" spans="1:48" ht="24" x14ac:dyDescent="0.2">
      <c r="A398" s="1" t="s">
        <v>5241</v>
      </c>
      <c r="B398" s="1" t="s">
        <v>5259</v>
      </c>
      <c r="C398" s="1" t="s">
        <v>5701</v>
      </c>
      <c r="D398" s="48">
        <v>54</v>
      </c>
      <c r="E398" s="1">
        <v>3</v>
      </c>
      <c r="G398" s="1" t="s">
        <v>5260</v>
      </c>
      <c r="I398" s="1" t="s">
        <v>63</v>
      </c>
      <c r="J398" s="1" t="s">
        <v>28</v>
      </c>
      <c r="M398" s="18">
        <v>1</v>
      </c>
      <c r="V398" s="4" t="s">
        <v>5261</v>
      </c>
      <c r="AL398" s="60" t="s">
        <v>30</v>
      </c>
    </row>
    <row r="399" spans="1:48" ht="36" x14ac:dyDescent="0.2">
      <c r="A399" s="1" t="s">
        <v>5241</v>
      </c>
      <c r="B399" s="1" t="s">
        <v>5295</v>
      </c>
      <c r="C399" s="1" t="s">
        <v>5701</v>
      </c>
      <c r="D399" s="48">
        <v>55</v>
      </c>
      <c r="E399" s="1">
        <v>3</v>
      </c>
      <c r="G399" s="1" t="s">
        <v>5296</v>
      </c>
      <c r="H399" s="1" t="s">
        <v>26</v>
      </c>
      <c r="I399" s="1" t="s">
        <v>56</v>
      </c>
      <c r="J399" s="1" t="s">
        <v>28</v>
      </c>
      <c r="K399" s="1" t="s">
        <v>5297</v>
      </c>
      <c r="L399" s="2" t="s">
        <v>71</v>
      </c>
      <c r="M399" s="18">
        <v>3</v>
      </c>
      <c r="V399" s="4" t="s">
        <v>5298</v>
      </c>
      <c r="AL399" s="60" t="s">
        <v>30</v>
      </c>
      <c r="AU399" s="1" t="s">
        <v>6163</v>
      </c>
      <c r="AV399" s="1" t="s">
        <v>6164</v>
      </c>
    </row>
    <row r="400" spans="1:48" ht="48" x14ac:dyDescent="0.2">
      <c r="A400" s="1" t="s">
        <v>5241</v>
      </c>
      <c r="B400" s="1" t="s">
        <v>5312</v>
      </c>
      <c r="C400" s="1" t="s">
        <v>5701</v>
      </c>
      <c r="D400" s="48">
        <v>56</v>
      </c>
      <c r="E400" s="1">
        <v>3</v>
      </c>
      <c r="G400" s="1" t="s">
        <v>5313</v>
      </c>
      <c r="I400" s="1" t="s">
        <v>38</v>
      </c>
      <c r="J400" s="1" t="s">
        <v>50</v>
      </c>
      <c r="K400" s="1" t="s">
        <v>1067</v>
      </c>
      <c r="L400" s="2" t="s">
        <v>52</v>
      </c>
      <c r="M400" s="18">
        <v>2</v>
      </c>
      <c r="P400" s="56">
        <v>0</v>
      </c>
      <c r="Q400" s="57">
        <v>1</v>
      </c>
      <c r="R400" s="58">
        <v>2</v>
      </c>
      <c r="S400" s="59">
        <v>2</v>
      </c>
      <c r="V400" s="4" t="s">
        <v>5314</v>
      </c>
      <c r="AL400" s="60" t="s">
        <v>30</v>
      </c>
      <c r="AS400" s="1" t="s">
        <v>6165</v>
      </c>
    </row>
    <row r="401" spans="1:48" ht="84" x14ac:dyDescent="0.2">
      <c r="A401" s="1" t="s">
        <v>5241</v>
      </c>
      <c r="B401" s="1" t="s">
        <v>5280</v>
      </c>
      <c r="C401" s="1" t="s">
        <v>5701</v>
      </c>
      <c r="D401" s="48">
        <v>57</v>
      </c>
      <c r="E401" s="1">
        <v>3</v>
      </c>
      <c r="G401" s="1" t="s">
        <v>5281</v>
      </c>
      <c r="I401" s="1" t="s">
        <v>56</v>
      </c>
      <c r="J401" s="1" t="s">
        <v>50</v>
      </c>
      <c r="K401" s="1" t="s">
        <v>196</v>
      </c>
      <c r="M401" s="18">
        <v>1</v>
      </c>
      <c r="V401" s="4" t="s">
        <v>5282</v>
      </c>
      <c r="AL401" s="60" t="s">
        <v>30</v>
      </c>
      <c r="AU401" s="1" t="s">
        <v>6166</v>
      </c>
      <c r="AV401" s="1" t="s">
        <v>6167</v>
      </c>
    </row>
    <row r="402" spans="1:48" ht="24" x14ac:dyDescent="0.2">
      <c r="A402" s="1" t="s">
        <v>5241</v>
      </c>
      <c r="B402" s="1" t="s">
        <v>5244</v>
      </c>
      <c r="C402" s="1" t="s">
        <v>5701</v>
      </c>
      <c r="D402" s="48">
        <v>58</v>
      </c>
      <c r="E402" s="1">
        <v>3</v>
      </c>
      <c r="G402" s="1" t="s">
        <v>5906</v>
      </c>
      <c r="H402" s="1" t="s">
        <v>26</v>
      </c>
      <c r="I402" s="1" t="s">
        <v>38</v>
      </c>
      <c r="J402" s="1" t="s">
        <v>57</v>
      </c>
      <c r="K402" s="1" t="s">
        <v>3088</v>
      </c>
      <c r="M402" s="18">
        <v>2</v>
      </c>
      <c r="P402" s="56">
        <v>2</v>
      </c>
      <c r="Q402" s="57">
        <v>0</v>
      </c>
      <c r="R402" s="58">
        <v>1</v>
      </c>
      <c r="S402" s="59">
        <v>2</v>
      </c>
      <c r="V402" s="4" t="s">
        <v>10508</v>
      </c>
      <c r="AL402" s="60" t="s">
        <v>30</v>
      </c>
    </row>
    <row r="403" spans="1:48" ht="24" x14ac:dyDescent="0.2">
      <c r="A403" s="1" t="s">
        <v>5241</v>
      </c>
      <c r="B403" s="1" t="s">
        <v>5252</v>
      </c>
      <c r="C403" s="1" t="s">
        <v>5701</v>
      </c>
      <c r="D403" s="48">
        <v>59</v>
      </c>
      <c r="E403" s="1">
        <v>3</v>
      </c>
      <c r="G403" s="1" t="s">
        <v>5253</v>
      </c>
      <c r="I403" s="1" t="s">
        <v>63</v>
      </c>
      <c r="J403" s="1" t="s">
        <v>57</v>
      </c>
      <c r="M403" s="18">
        <v>0</v>
      </c>
      <c r="V403" s="4" t="s">
        <v>5254</v>
      </c>
      <c r="AL403" s="60" t="s">
        <v>30</v>
      </c>
      <c r="AU403" s="1" t="s">
        <v>6153</v>
      </c>
    </row>
    <row r="404" spans="1:48" ht="36" x14ac:dyDescent="0.2">
      <c r="A404" s="1" t="s">
        <v>5241</v>
      </c>
      <c r="B404" s="1" t="s">
        <v>5283</v>
      </c>
      <c r="C404" s="1" t="s">
        <v>5701</v>
      </c>
      <c r="D404" s="48">
        <v>60</v>
      </c>
      <c r="E404" s="1">
        <v>3</v>
      </c>
      <c r="G404" s="1" t="s">
        <v>5284</v>
      </c>
      <c r="I404" s="1" t="s">
        <v>63</v>
      </c>
      <c r="J404" s="1" t="s">
        <v>39</v>
      </c>
      <c r="M404" s="18">
        <v>1</v>
      </c>
      <c r="V404" s="4" t="s">
        <v>5285</v>
      </c>
      <c r="AL404" s="60" t="s">
        <v>30</v>
      </c>
    </row>
    <row r="405" spans="1:48" ht="24" x14ac:dyDescent="0.2">
      <c r="A405" s="1" t="s">
        <v>5241</v>
      </c>
      <c r="B405" s="1" t="s">
        <v>5266</v>
      </c>
      <c r="C405" s="1" t="s">
        <v>5701</v>
      </c>
      <c r="D405" s="48">
        <v>61</v>
      </c>
      <c r="E405" s="1">
        <v>3</v>
      </c>
      <c r="G405" s="1" t="s">
        <v>5267</v>
      </c>
      <c r="H405" s="1" t="s">
        <v>26</v>
      </c>
      <c r="I405" s="1" t="s">
        <v>56</v>
      </c>
      <c r="J405" s="1" t="s">
        <v>39</v>
      </c>
      <c r="K405" s="1" t="s">
        <v>261</v>
      </c>
      <c r="L405" s="2" t="s">
        <v>2832</v>
      </c>
      <c r="M405" s="18">
        <v>1</v>
      </c>
      <c r="V405" s="4" t="s">
        <v>5268</v>
      </c>
      <c r="AL405" s="60" t="s">
        <v>30</v>
      </c>
      <c r="AU405" s="1" t="s">
        <v>6168</v>
      </c>
    </row>
    <row r="406" spans="1:48" ht="48" x14ac:dyDescent="0.2">
      <c r="A406" s="1" t="s">
        <v>5241</v>
      </c>
      <c r="B406" s="1" t="s">
        <v>5277</v>
      </c>
      <c r="C406" s="1" t="s">
        <v>5701</v>
      </c>
      <c r="D406" s="48">
        <v>62</v>
      </c>
      <c r="E406" s="1">
        <v>3</v>
      </c>
      <c r="G406" s="1" t="s">
        <v>5278</v>
      </c>
      <c r="I406" s="1" t="s">
        <v>56</v>
      </c>
      <c r="J406" s="1" t="s">
        <v>44</v>
      </c>
      <c r="L406" s="2" t="s">
        <v>3143</v>
      </c>
      <c r="M406" s="18">
        <v>4</v>
      </c>
      <c r="V406" s="4" t="s">
        <v>5279</v>
      </c>
      <c r="AL406" s="60" t="s">
        <v>30</v>
      </c>
    </row>
    <row r="407" spans="1:48" ht="36" x14ac:dyDescent="0.2">
      <c r="A407" s="1" t="s">
        <v>5241</v>
      </c>
      <c r="B407" s="1" t="s">
        <v>5309</v>
      </c>
      <c r="C407" s="1" t="s">
        <v>5701</v>
      </c>
      <c r="D407" s="48">
        <v>63</v>
      </c>
      <c r="E407" s="1">
        <v>1</v>
      </c>
      <c r="F407" s="1" t="s">
        <v>5248</v>
      </c>
      <c r="G407" s="1" t="s">
        <v>9543</v>
      </c>
      <c r="I407" s="1" t="s">
        <v>125</v>
      </c>
      <c r="M407" s="18">
        <v>1</v>
      </c>
      <c r="N407" s="54" t="s">
        <v>9529</v>
      </c>
      <c r="V407" s="4" t="s">
        <v>5310</v>
      </c>
      <c r="X407" s="1" t="s">
        <v>1672</v>
      </c>
      <c r="Y407" s="1" t="s">
        <v>9543</v>
      </c>
      <c r="AA407" s="1" t="s">
        <v>125</v>
      </c>
      <c r="AE407" s="1">
        <v>1</v>
      </c>
      <c r="AF407" s="54" t="s">
        <v>9530</v>
      </c>
      <c r="AL407" s="60" t="s">
        <v>809</v>
      </c>
      <c r="AN407" s="4" t="s">
        <v>5311</v>
      </c>
    </row>
    <row r="408" spans="1:48" ht="84" x14ac:dyDescent="0.2">
      <c r="A408" s="1" t="s">
        <v>5241</v>
      </c>
      <c r="B408" s="1" t="s">
        <v>5299</v>
      </c>
      <c r="C408" s="1" t="s">
        <v>5701</v>
      </c>
      <c r="D408" s="48">
        <v>64</v>
      </c>
      <c r="E408" s="1">
        <v>1</v>
      </c>
      <c r="F408" s="1" t="s">
        <v>5248</v>
      </c>
      <c r="G408" s="1" t="s">
        <v>9602</v>
      </c>
      <c r="I408" s="1" t="s">
        <v>125</v>
      </c>
      <c r="M408" s="18">
        <v>2</v>
      </c>
      <c r="N408" s="54" t="s">
        <v>9529</v>
      </c>
      <c r="Y408" s="1" t="s">
        <v>9602</v>
      </c>
      <c r="AA408" s="1" t="s">
        <v>125</v>
      </c>
      <c r="AE408" s="1">
        <v>2</v>
      </c>
      <c r="AF408" s="54" t="s">
        <v>9530</v>
      </c>
      <c r="AL408" s="60" t="s">
        <v>46</v>
      </c>
      <c r="AN408" s="4" t="s">
        <v>5300</v>
      </c>
    </row>
    <row r="409" spans="1:48" ht="96" x14ac:dyDescent="0.2">
      <c r="A409" s="1" t="s">
        <v>5241</v>
      </c>
      <c r="B409" s="1" t="s">
        <v>5249</v>
      </c>
      <c r="C409" s="1" t="s">
        <v>5701</v>
      </c>
      <c r="D409" s="48">
        <v>65</v>
      </c>
      <c r="E409" s="1">
        <v>1</v>
      </c>
      <c r="F409" s="1" t="s">
        <v>5248</v>
      </c>
      <c r="G409" s="1" t="s">
        <v>5250</v>
      </c>
      <c r="H409" s="1" t="s">
        <v>26</v>
      </c>
      <c r="I409" s="1" t="s">
        <v>104</v>
      </c>
      <c r="K409" s="1" t="s">
        <v>2756</v>
      </c>
      <c r="O409" s="55">
        <v>2</v>
      </c>
      <c r="T409" s="60">
        <v>0</v>
      </c>
      <c r="U409" s="1">
        <v>3</v>
      </c>
      <c r="V409" s="4" t="s">
        <v>5251</v>
      </c>
      <c r="AL409" s="60" t="s">
        <v>30</v>
      </c>
    </row>
    <row r="410" spans="1:48" x14ac:dyDescent="0.2">
      <c r="A410" s="1" t="s">
        <v>5241</v>
      </c>
      <c r="B410" s="1" t="s">
        <v>5289</v>
      </c>
      <c r="C410" s="1" t="s">
        <v>5701</v>
      </c>
      <c r="D410" s="48">
        <v>66</v>
      </c>
      <c r="E410" s="1">
        <v>1</v>
      </c>
      <c r="F410" s="1" t="s">
        <v>5248</v>
      </c>
      <c r="G410" s="1" t="s">
        <v>5290</v>
      </c>
      <c r="H410" s="1" t="s">
        <v>26</v>
      </c>
      <c r="I410" s="1" t="s">
        <v>104</v>
      </c>
      <c r="K410" s="1" t="s">
        <v>4999</v>
      </c>
      <c r="O410" s="55">
        <v>2</v>
      </c>
      <c r="T410" s="60">
        <v>4</v>
      </c>
      <c r="V410" s="4" t="s">
        <v>5291</v>
      </c>
      <c r="W410" s="4" t="s">
        <v>5276</v>
      </c>
      <c r="AL410" s="60" t="s">
        <v>30</v>
      </c>
    </row>
    <row r="411" spans="1:48" ht="24" x14ac:dyDescent="0.2">
      <c r="A411" s="1" t="s">
        <v>5241</v>
      </c>
      <c r="B411" s="1" t="s">
        <v>5273</v>
      </c>
      <c r="C411" s="1" t="s">
        <v>5701</v>
      </c>
      <c r="D411" s="48">
        <v>67</v>
      </c>
      <c r="E411" s="1">
        <v>2</v>
      </c>
      <c r="F411" s="1" t="s">
        <v>5248</v>
      </c>
      <c r="G411" s="1" t="s">
        <v>5274</v>
      </c>
      <c r="I411" s="1" t="s">
        <v>104</v>
      </c>
      <c r="K411" s="1" t="s">
        <v>5271</v>
      </c>
      <c r="O411" s="55">
        <v>4</v>
      </c>
      <c r="T411" s="60">
        <v>2</v>
      </c>
      <c r="V411" s="4" t="s">
        <v>5275</v>
      </c>
      <c r="W411" s="4" t="s">
        <v>5276</v>
      </c>
      <c r="AL411" s="60" t="s">
        <v>30</v>
      </c>
    </row>
    <row r="412" spans="1:48" ht="24" x14ac:dyDescent="0.2">
      <c r="A412" s="1" t="s">
        <v>5241</v>
      </c>
      <c r="B412" s="1" t="s">
        <v>5269</v>
      </c>
      <c r="C412" s="1" t="s">
        <v>5701</v>
      </c>
      <c r="D412" s="48">
        <v>68</v>
      </c>
      <c r="E412" s="1">
        <v>2</v>
      </c>
      <c r="F412" s="1" t="s">
        <v>5248</v>
      </c>
      <c r="G412" s="1" t="s">
        <v>5270</v>
      </c>
      <c r="I412" s="1" t="s">
        <v>104</v>
      </c>
      <c r="K412" s="1" t="s">
        <v>5271</v>
      </c>
      <c r="O412" s="55">
        <v>1</v>
      </c>
      <c r="T412" s="60">
        <v>5</v>
      </c>
      <c r="V412" s="4" t="s">
        <v>5272</v>
      </c>
      <c r="AL412" s="60" t="s">
        <v>30</v>
      </c>
    </row>
    <row r="413" spans="1:48" ht="36" x14ac:dyDescent="0.2">
      <c r="A413" s="1" t="s">
        <v>5241</v>
      </c>
      <c r="B413" s="1" t="s">
        <v>5286</v>
      </c>
      <c r="C413" s="1" t="s">
        <v>5701</v>
      </c>
      <c r="D413" s="48">
        <v>69</v>
      </c>
      <c r="E413" s="1">
        <v>3</v>
      </c>
      <c r="F413" s="1" t="s">
        <v>5248</v>
      </c>
      <c r="G413" s="1" t="s">
        <v>5287</v>
      </c>
      <c r="I413" s="1" t="s">
        <v>104</v>
      </c>
      <c r="K413" s="1" t="s">
        <v>5271</v>
      </c>
      <c r="O413" s="55">
        <v>3</v>
      </c>
      <c r="T413" s="60">
        <v>3</v>
      </c>
      <c r="V413" s="4" t="s">
        <v>5288</v>
      </c>
      <c r="AL413" s="60" t="s">
        <v>30</v>
      </c>
    </row>
    <row r="414" spans="1:48" ht="36" x14ac:dyDescent="0.2">
      <c r="A414" s="1" t="s">
        <v>5241</v>
      </c>
      <c r="B414" s="1" t="s">
        <v>5262</v>
      </c>
      <c r="C414" s="1" t="s">
        <v>5701</v>
      </c>
      <c r="D414" s="48">
        <v>70</v>
      </c>
      <c r="E414" s="1">
        <v>1</v>
      </c>
      <c r="F414" s="1" t="s">
        <v>5248</v>
      </c>
      <c r="G414" s="1" t="s">
        <v>5263</v>
      </c>
      <c r="I414" s="1" t="s">
        <v>82</v>
      </c>
      <c r="V414" s="4" t="s">
        <v>5264</v>
      </c>
      <c r="W414" s="4" t="s">
        <v>5265</v>
      </c>
      <c r="AL414" s="60" t="s">
        <v>30</v>
      </c>
    </row>
    <row r="415" spans="1:48" x14ac:dyDescent="0.2">
      <c r="A415" s="1" t="s">
        <v>5241</v>
      </c>
      <c r="B415" s="1" t="s">
        <v>5245</v>
      </c>
      <c r="C415" s="1" t="s">
        <v>5701</v>
      </c>
      <c r="D415" s="48">
        <v>71</v>
      </c>
      <c r="E415" s="1">
        <v>3</v>
      </c>
      <c r="F415" s="1" t="s">
        <v>5248</v>
      </c>
      <c r="G415" s="1" t="s">
        <v>5246</v>
      </c>
      <c r="I415" s="1" t="s">
        <v>82</v>
      </c>
      <c r="L415" s="2" t="s">
        <v>5247</v>
      </c>
      <c r="AL415" s="60" t="s">
        <v>30</v>
      </c>
    </row>
    <row r="416" spans="1:48" ht="60" x14ac:dyDescent="0.2">
      <c r="A416" s="1" t="s">
        <v>5241</v>
      </c>
      <c r="B416" s="1" t="s">
        <v>5301</v>
      </c>
      <c r="C416" s="1" t="s">
        <v>5701</v>
      </c>
      <c r="D416" s="48">
        <v>72</v>
      </c>
      <c r="E416" s="1">
        <v>1</v>
      </c>
      <c r="F416" s="1" t="s">
        <v>5248</v>
      </c>
      <c r="G416" s="1" t="s">
        <v>5302</v>
      </c>
      <c r="H416" s="1" t="s">
        <v>26</v>
      </c>
      <c r="I416" s="1" t="s">
        <v>94</v>
      </c>
      <c r="K416" s="1" t="s">
        <v>5303</v>
      </c>
      <c r="L416" s="2" t="s">
        <v>5304</v>
      </c>
      <c r="N416" s="54">
        <v>48</v>
      </c>
      <c r="O416" s="55">
        <v>4</v>
      </c>
      <c r="Q416" s="57">
        <v>5</v>
      </c>
      <c r="R416" s="58">
        <v>7</v>
      </c>
      <c r="S416" s="59">
        <v>9</v>
      </c>
      <c r="U416" s="1">
        <v>3</v>
      </c>
      <c r="V416" s="4" t="s">
        <v>5305</v>
      </c>
      <c r="AL416" s="60" t="s">
        <v>30</v>
      </c>
    </row>
    <row r="417" spans="1:48" ht="60" x14ac:dyDescent="0.2">
      <c r="A417" s="1" t="s">
        <v>5241</v>
      </c>
      <c r="B417" s="1" t="s">
        <v>5255</v>
      </c>
      <c r="C417" s="1" t="s">
        <v>5701</v>
      </c>
      <c r="D417" s="48">
        <v>73</v>
      </c>
      <c r="E417" s="1">
        <v>4</v>
      </c>
      <c r="F417" s="1" t="s">
        <v>5248</v>
      </c>
      <c r="G417" s="1" t="s">
        <v>5256</v>
      </c>
      <c r="I417" s="1" t="s">
        <v>94</v>
      </c>
      <c r="K417" s="1" t="s">
        <v>5257</v>
      </c>
      <c r="N417" s="54">
        <v>12</v>
      </c>
      <c r="O417" s="55">
        <v>2</v>
      </c>
      <c r="Q417" s="57">
        <v>3</v>
      </c>
      <c r="R417" s="58">
        <v>0</v>
      </c>
      <c r="S417" s="59">
        <v>3</v>
      </c>
      <c r="V417" s="4" t="s">
        <v>5258</v>
      </c>
      <c r="AL417" s="60" t="s">
        <v>30</v>
      </c>
      <c r="AU417" s="1" t="s">
        <v>6169</v>
      </c>
      <c r="AV417" s="1" t="s">
        <v>6170</v>
      </c>
    </row>
    <row r="418" spans="1:48" ht="36" x14ac:dyDescent="0.2">
      <c r="A418" s="1" t="s">
        <v>5241</v>
      </c>
      <c r="B418" s="1" t="s">
        <v>5292</v>
      </c>
      <c r="C418" s="1" t="s">
        <v>5701</v>
      </c>
      <c r="D418" s="48">
        <v>75</v>
      </c>
      <c r="E418" s="1">
        <v>4</v>
      </c>
      <c r="F418" s="1" t="s">
        <v>5248</v>
      </c>
      <c r="G418" s="1" t="s">
        <v>5293</v>
      </c>
      <c r="I418" s="1" t="s">
        <v>94</v>
      </c>
      <c r="K418" s="1" t="s">
        <v>5257</v>
      </c>
      <c r="N418" s="54">
        <v>18</v>
      </c>
      <c r="O418" s="55">
        <v>2</v>
      </c>
      <c r="Q418" s="57">
        <v>4</v>
      </c>
      <c r="R418" s="58">
        <v>1</v>
      </c>
      <c r="S418" s="59">
        <v>3</v>
      </c>
      <c r="V418" s="4" t="s">
        <v>5294</v>
      </c>
      <c r="AL418" s="60" t="s">
        <v>30</v>
      </c>
    </row>
    <row r="419" spans="1:48" ht="48" x14ac:dyDescent="0.2">
      <c r="A419" s="1" t="s">
        <v>5241</v>
      </c>
      <c r="B419" s="1" t="s">
        <v>5306</v>
      </c>
      <c r="C419" s="1" t="s">
        <v>5701</v>
      </c>
      <c r="D419" s="48">
        <v>75</v>
      </c>
      <c r="E419" s="1">
        <v>4</v>
      </c>
      <c r="F419" s="1" t="s">
        <v>5248</v>
      </c>
      <c r="G419" s="1" t="s">
        <v>5307</v>
      </c>
      <c r="I419" s="1" t="s">
        <v>94</v>
      </c>
      <c r="K419" s="1" t="s">
        <v>5257</v>
      </c>
      <c r="N419" s="54">
        <v>12</v>
      </c>
      <c r="O419" s="55">
        <v>2</v>
      </c>
      <c r="Q419" s="57">
        <v>3</v>
      </c>
      <c r="R419" s="58">
        <v>0</v>
      </c>
      <c r="S419" s="59">
        <v>3</v>
      </c>
      <c r="V419" s="4" t="s">
        <v>5308</v>
      </c>
      <c r="AL419" s="60" t="s">
        <v>30</v>
      </c>
    </row>
    <row r="420" spans="1:48" ht="60" x14ac:dyDescent="0.2">
      <c r="A420" s="1" t="s">
        <v>5241</v>
      </c>
      <c r="B420" s="1" t="s">
        <v>5315</v>
      </c>
      <c r="C420" s="1" t="s">
        <v>5701</v>
      </c>
      <c r="D420" s="48">
        <v>76</v>
      </c>
      <c r="E420" s="1">
        <v>4</v>
      </c>
      <c r="F420" s="1" t="s">
        <v>5248</v>
      </c>
      <c r="G420" s="1" t="s">
        <v>5316</v>
      </c>
      <c r="I420" s="1" t="s">
        <v>82</v>
      </c>
      <c r="K420" s="1" t="s">
        <v>5257</v>
      </c>
      <c r="V420" s="4" t="s">
        <v>5317</v>
      </c>
      <c r="AL420" s="60" t="s">
        <v>30</v>
      </c>
    </row>
    <row r="421" spans="1:48" ht="36" x14ac:dyDescent="0.2">
      <c r="A421" s="109" t="s">
        <v>4697</v>
      </c>
      <c r="B421" s="109" t="s">
        <v>4746</v>
      </c>
      <c r="C421" s="109" t="s">
        <v>5702</v>
      </c>
      <c r="D421" s="110">
        <v>76</v>
      </c>
      <c r="E421" s="109">
        <v>1</v>
      </c>
      <c r="F421" s="109"/>
      <c r="G421" s="109" t="s">
        <v>4747</v>
      </c>
      <c r="H421" s="1" t="s">
        <v>26</v>
      </c>
      <c r="I421" s="1" t="s">
        <v>27</v>
      </c>
      <c r="J421" s="1" t="s">
        <v>50</v>
      </c>
      <c r="K421" s="1" t="s">
        <v>368</v>
      </c>
      <c r="M421" s="18">
        <v>9</v>
      </c>
      <c r="P421" s="56">
        <v>1</v>
      </c>
      <c r="Q421" s="57">
        <v>3</v>
      </c>
      <c r="R421" s="58">
        <v>1</v>
      </c>
      <c r="S421" s="59">
        <v>4</v>
      </c>
      <c r="V421" s="4" t="s">
        <v>4748</v>
      </c>
      <c r="AL421" s="60" t="s">
        <v>30</v>
      </c>
      <c r="AU421" s="1" t="s">
        <v>6171</v>
      </c>
      <c r="AV421" s="1" t="s">
        <v>6172</v>
      </c>
    </row>
    <row r="422" spans="1:48" ht="24" x14ac:dyDescent="0.2">
      <c r="A422" s="1" t="s">
        <v>4697</v>
      </c>
      <c r="B422" s="1" t="s">
        <v>4719</v>
      </c>
      <c r="C422" s="1" t="s">
        <v>5702</v>
      </c>
      <c r="D422" s="48">
        <v>77</v>
      </c>
      <c r="E422" s="1">
        <v>3</v>
      </c>
      <c r="G422" s="1" t="s">
        <v>2105</v>
      </c>
      <c r="H422" s="1" t="s">
        <v>26</v>
      </c>
      <c r="I422" s="1" t="s">
        <v>38</v>
      </c>
      <c r="J422" s="1" t="s">
        <v>28</v>
      </c>
      <c r="K422" s="1" t="s">
        <v>1136</v>
      </c>
      <c r="M422" s="18">
        <v>4</v>
      </c>
      <c r="P422" s="56">
        <v>2</v>
      </c>
      <c r="Q422" s="57">
        <v>0</v>
      </c>
      <c r="R422" s="58">
        <v>1</v>
      </c>
      <c r="S422" s="59">
        <v>3</v>
      </c>
      <c r="V422" s="4" t="s">
        <v>4720</v>
      </c>
      <c r="AL422" s="60" t="s">
        <v>30</v>
      </c>
    </row>
    <row r="423" spans="1:48" ht="36" x14ac:dyDescent="0.2">
      <c r="A423" s="1" t="s">
        <v>4697</v>
      </c>
      <c r="B423" s="1" t="s">
        <v>4732</v>
      </c>
      <c r="C423" s="1" t="s">
        <v>5702</v>
      </c>
      <c r="D423" s="48">
        <v>78</v>
      </c>
      <c r="E423" s="1">
        <v>3</v>
      </c>
      <c r="G423" s="1" t="s">
        <v>4733</v>
      </c>
      <c r="I423" s="1" t="s">
        <v>63</v>
      </c>
      <c r="J423" s="1" t="s">
        <v>28</v>
      </c>
      <c r="M423" s="18">
        <v>1</v>
      </c>
      <c r="V423" s="4" t="s">
        <v>4734</v>
      </c>
      <c r="AL423" s="60" t="s">
        <v>30</v>
      </c>
      <c r="AU423" s="1" t="s">
        <v>6173</v>
      </c>
      <c r="AV423" s="1" t="s">
        <v>6174</v>
      </c>
    </row>
    <row r="424" spans="1:48" ht="24" x14ac:dyDescent="0.2">
      <c r="A424" s="1" t="s">
        <v>4697</v>
      </c>
      <c r="B424" s="1" t="s">
        <v>4716</v>
      </c>
      <c r="C424" s="1" t="s">
        <v>5702</v>
      </c>
      <c r="D424" s="48">
        <v>79</v>
      </c>
      <c r="E424" s="1">
        <v>3</v>
      </c>
      <c r="G424" s="1" t="s">
        <v>4717</v>
      </c>
      <c r="I424" s="1" t="s">
        <v>38</v>
      </c>
      <c r="J424" s="1" t="s">
        <v>50</v>
      </c>
      <c r="K424" s="1" t="s">
        <v>358</v>
      </c>
      <c r="M424" s="18">
        <v>3</v>
      </c>
      <c r="P424" s="56">
        <v>0</v>
      </c>
      <c r="Q424" s="57">
        <v>1</v>
      </c>
      <c r="R424" s="58">
        <v>1</v>
      </c>
      <c r="S424" s="59">
        <v>2</v>
      </c>
      <c r="V424" s="4" t="s">
        <v>4718</v>
      </c>
      <c r="AL424" s="60" t="s">
        <v>30</v>
      </c>
    </row>
    <row r="425" spans="1:48" ht="24" x14ac:dyDescent="0.2">
      <c r="A425" s="1" t="s">
        <v>4697</v>
      </c>
      <c r="B425" s="1" t="s">
        <v>4759</v>
      </c>
      <c r="C425" s="1" t="s">
        <v>5702</v>
      </c>
      <c r="D425" s="48">
        <v>80</v>
      </c>
      <c r="E425" s="1">
        <v>3</v>
      </c>
      <c r="G425" s="1" t="s">
        <v>4760</v>
      </c>
      <c r="I425" s="1" t="s">
        <v>56</v>
      </c>
      <c r="J425" s="1" t="s">
        <v>50</v>
      </c>
      <c r="K425" s="1" t="s">
        <v>467</v>
      </c>
      <c r="L425" s="2" t="s">
        <v>4761</v>
      </c>
      <c r="M425" s="18">
        <v>2</v>
      </c>
      <c r="V425" s="4" t="s">
        <v>4762</v>
      </c>
      <c r="AL425" s="60" t="s">
        <v>30</v>
      </c>
    </row>
    <row r="426" spans="1:48" x14ac:dyDescent="0.2">
      <c r="A426" s="1" t="s">
        <v>4697</v>
      </c>
      <c r="B426" s="1" t="s">
        <v>4756</v>
      </c>
      <c r="C426" s="1" t="s">
        <v>5702</v>
      </c>
      <c r="D426" s="48">
        <v>81</v>
      </c>
      <c r="E426" s="1">
        <v>3</v>
      </c>
      <c r="G426" s="1" t="s">
        <v>4757</v>
      </c>
      <c r="I426" s="1" t="s">
        <v>63</v>
      </c>
      <c r="J426" s="1" t="s">
        <v>57</v>
      </c>
      <c r="L426" s="2" t="s">
        <v>3143</v>
      </c>
      <c r="M426" s="18">
        <v>5</v>
      </c>
      <c r="V426" s="4" t="s">
        <v>4758</v>
      </c>
      <c r="AL426" s="60" t="s">
        <v>30</v>
      </c>
      <c r="AU426" s="1" t="s">
        <v>6175</v>
      </c>
    </row>
    <row r="427" spans="1:48" ht="24" x14ac:dyDescent="0.2">
      <c r="A427" s="1" t="s">
        <v>4697</v>
      </c>
      <c r="B427" s="1" t="s">
        <v>4721</v>
      </c>
      <c r="C427" s="1" t="s">
        <v>5702</v>
      </c>
      <c r="D427" s="48">
        <v>82</v>
      </c>
      <c r="E427" s="1">
        <v>3</v>
      </c>
      <c r="G427" s="1" t="s">
        <v>4722</v>
      </c>
      <c r="I427" s="1" t="s">
        <v>56</v>
      </c>
      <c r="J427" s="1" t="s">
        <v>57</v>
      </c>
      <c r="K427" s="1" t="s">
        <v>261</v>
      </c>
      <c r="L427" s="2" t="s">
        <v>4723</v>
      </c>
      <c r="M427" s="18">
        <v>0</v>
      </c>
      <c r="V427" s="4" t="s">
        <v>4724</v>
      </c>
      <c r="AL427" s="60" t="s">
        <v>30</v>
      </c>
    </row>
    <row r="428" spans="1:48" ht="36" x14ac:dyDescent="0.2">
      <c r="A428" s="1" t="s">
        <v>4697</v>
      </c>
      <c r="B428" s="1" t="s">
        <v>4776</v>
      </c>
      <c r="C428" s="1" t="s">
        <v>5702</v>
      </c>
      <c r="D428" s="48">
        <v>83</v>
      </c>
      <c r="E428" s="1">
        <v>3</v>
      </c>
      <c r="G428" s="1" t="s">
        <v>4777</v>
      </c>
      <c r="I428" s="1" t="s">
        <v>38</v>
      </c>
      <c r="J428" s="1" t="s">
        <v>39</v>
      </c>
      <c r="K428" s="1" t="s">
        <v>4778</v>
      </c>
      <c r="M428" s="18">
        <v>2</v>
      </c>
      <c r="P428" s="56">
        <v>1</v>
      </c>
      <c r="Q428" s="57">
        <v>0</v>
      </c>
      <c r="R428" s="58">
        <v>1</v>
      </c>
      <c r="S428" s="59">
        <v>1</v>
      </c>
      <c r="V428" s="4" t="s">
        <v>4779</v>
      </c>
      <c r="AL428" s="60" t="s">
        <v>30</v>
      </c>
    </row>
    <row r="429" spans="1:48" ht="24" x14ac:dyDescent="0.2">
      <c r="A429" s="1" t="s">
        <v>4697</v>
      </c>
      <c r="B429" s="1" t="s">
        <v>4780</v>
      </c>
      <c r="C429" s="1" t="s">
        <v>5702</v>
      </c>
      <c r="D429" s="48">
        <v>84</v>
      </c>
      <c r="E429" s="1">
        <v>3</v>
      </c>
      <c r="G429" s="1" t="s">
        <v>4781</v>
      </c>
      <c r="I429" s="1" t="s">
        <v>63</v>
      </c>
      <c r="J429" s="1" t="s">
        <v>39</v>
      </c>
      <c r="M429" s="18">
        <v>1</v>
      </c>
      <c r="V429" s="4" t="s">
        <v>4782</v>
      </c>
      <c r="AL429" s="60" t="s">
        <v>30</v>
      </c>
    </row>
    <row r="430" spans="1:48" ht="24" x14ac:dyDescent="0.2">
      <c r="A430" s="1" t="s">
        <v>4697</v>
      </c>
      <c r="B430" s="1" t="s">
        <v>4752</v>
      </c>
      <c r="C430" s="1" t="s">
        <v>5702</v>
      </c>
      <c r="D430" s="48">
        <v>85</v>
      </c>
      <c r="E430" s="1">
        <v>3</v>
      </c>
      <c r="G430" s="1" t="s">
        <v>4753</v>
      </c>
      <c r="I430" s="1" t="s">
        <v>56</v>
      </c>
      <c r="J430" s="1" t="s">
        <v>39</v>
      </c>
      <c r="K430" s="1" t="s">
        <v>261</v>
      </c>
      <c r="L430" s="2" t="s">
        <v>4754</v>
      </c>
      <c r="M430" s="18">
        <v>0</v>
      </c>
      <c r="V430" s="4" t="s">
        <v>4755</v>
      </c>
      <c r="AL430" s="60" t="s">
        <v>30</v>
      </c>
    </row>
    <row r="431" spans="1:48" ht="84" x14ac:dyDescent="0.2">
      <c r="A431" s="1" t="s">
        <v>4697</v>
      </c>
      <c r="B431" s="1" t="s">
        <v>4749</v>
      </c>
      <c r="C431" s="1" t="s">
        <v>5702</v>
      </c>
      <c r="D431" s="48">
        <v>86</v>
      </c>
      <c r="E431" s="1">
        <v>1</v>
      </c>
      <c r="F431" s="1" t="s">
        <v>4701</v>
      </c>
      <c r="G431" s="1" t="s">
        <v>9544</v>
      </c>
      <c r="I431" s="1" t="s">
        <v>125</v>
      </c>
      <c r="M431" s="18">
        <v>1</v>
      </c>
      <c r="N431" s="54" t="s">
        <v>9529</v>
      </c>
      <c r="V431" s="4" t="s">
        <v>4750</v>
      </c>
      <c r="X431" s="1" t="s">
        <v>1681</v>
      </c>
      <c r="Y431" s="1" t="s">
        <v>9544</v>
      </c>
      <c r="AA431" s="1" t="s">
        <v>125</v>
      </c>
      <c r="AE431" s="1">
        <v>1</v>
      </c>
      <c r="AF431" s="54" t="s">
        <v>9530</v>
      </c>
      <c r="AL431" s="60" t="s">
        <v>809</v>
      </c>
      <c r="AN431" s="4" t="s">
        <v>4751</v>
      </c>
    </row>
    <row r="432" spans="1:48" ht="72" x14ac:dyDescent="0.2">
      <c r="A432" s="1" t="s">
        <v>4697</v>
      </c>
      <c r="B432" s="1" t="s">
        <v>4707</v>
      </c>
      <c r="C432" s="1" t="s">
        <v>5702</v>
      </c>
      <c r="D432" s="48">
        <v>87</v>
      </c>
      <c r="E432" s="1">
        <v>1</v>
      </c>
      <c r="F432" s="1" t="s">
        <v>4701</v>
      </c>
      <c r="G432" s="1" t="s">
        <v>9603</v>
      </c>
      <c r="I432" s="1" t="s">
        <v>125</v>
      </c>
      <c r="M432" s="18">
        <v>2</v>
      </c>
      <c r="N432" s="54" t="s">
        <v>9529</v>
      </c>
      <c r="Y432" s="1" t="s">
        <v>9603</v>
      </c>
      <c r="AA432" s="1" t="s">
        <v>125</v>
      </c>
      <c r="AE432" s="1">
        <v>2</v>
      </c>
      <c r="AF432" s="54" t="s">
        <v>9530</v>
      </c>
      <c r="AL432" s="60" t="s">
        <v>2658</v>
      </c>
      <c r="AN432" s="4" t="s">
        <v>4708</v>
      </c>
    </row>
    <row r="433" spans="1:38" ht="48" x14ac:dyDescent="0.2">
      <c r="A433" s="1" t="s">
        <v>4697</v>
      </c>
      <c r="B433" s="1" t="s">
        <v>4709</v>
      </c>
      <c r="C433" s="1" t="s">
        <v>5702</v>
      </c>
      <c r="D433" s="48">
        <v>88</v>
      </c>
      <c r="E433" s="1">
        <v>1</v>
      </c>
      <c r="F433" s="1" t="s">
        <v>4701</v>
      </c>
      <c r="G433" s="1" t="s">
        <v>4710</v>
      </c>
      <c r="H433" s="1" t="s">
        <v>26</v>
      </c>
      <c r="I433" s="1" t="s">
        <v>88</v>
      </c>
      <c r="K433" s="1" t="s">
        <v>4711</v>
      </c>
      <c r="V433" s="4" t="s">
        <v>4712</v>
      </c>
      <c r="AL433" s="60" t="s">
        <v>30</v>
      </c>
    </row>
    <row r="434" spans="1:38" ht="24" x14ac:dyDescent="0.2">
      <c r="A434" s="1" t="s">
        <v>4697</v>
      </c>
      <c r="B434" s="1" t="s">
        <v>4698</v>
      </c>
      <c r="C434" s="1" t="s">
        <v>5702</v>
      </c>
      <c r="D434" s="48">
        <v>89</v>
      </c>
      <c r="E434" s="1">
        <v>3</v>
      </c>
      <c r="F434" s="1" t="s">
        <v>4701</v>
      </c>
      <c r="G434" s="1" t="s">
        <v>4699</v>
      </c>
      <c r="I434" s="1" t="s">
        <v>104</v>
      </c>
      <c r="K434" s="1" t="s">
        <v>1592</v>
      </c>
      <c r="O434" s="55">
        <v>3</v>
      </c>
      <c r="T434" s="60">
        <v>3</v>
      </c>
      <c r="U434" s="1" t="s">
        <v>4702</v>
      </c>
      <c r="V434" s="4" t="s">
        <v>4700</v>
      </c>
      <c r="AL434" s="60" t="s">
        <v>30</v>
      </c>
    </row>
    <row r="435" spans="1:38" x14ac:dyDescent="0.2">
      <c r="A435" s="1" t="s">
        <v>4697</v>
      </c>
      <c r="B435" s="1" t="s">
        <v>4713</v>
      </c>
      <c r="C435" s="1" t="s">
        <v>5702</v>
      </c>
      <c r="D435" s="48">
        <v>90</v>
      </c>
      <c r="E435" s="1">
        <v>2</v>
      </c>
      <c r="F435" s="1" t="s">
        <v>4701</v>
      </c>
      <c r="G435" s="1" t="s">
        <v>4714</v>
      </c>
      <c r="I435" s="1" t="s">
        <v>104</v>
      </c>
      <c r="K435" s="1" t="s">
        <v>1592</v>
      </c>
      <c r="O435" s="55">
        <v>2</v>
      </c>
      <c r="T435" s="60">
        <v>4</v>
      </c>
      <c r="U435" s="1" t="s">
        <v>4702</v>
      </c>
      <c r="V435" s="4" t="s">
        <v>4715</v>
      </c>
      <c r="AL435" s="60" t="s">
        <v>30</v>
      </c>
    </row>
    <row r="436" spans="1:38" x14ac:dyDescent="0.2">
      <c r="A436" s="1" t="s">
        <v>4697</v>
      </c>
      <c r="B436" s="1" t="s">
        <v>4767</v>
      </c>
      <c r="C436" s="1" t="s">
        <v>5702</v>
      </c>
      <c r="D436" s="48">
        <v>91</v>
      </c>
      <c r="E436" s="1">
        <v>2</v>
      </c>
      <c r="F436" s="1" t="s">
        <v>4701</v>
      </c>
      <c r="G436" s="1" t="s">
        <v>4768</v>
      </c>
      <c r="I436" s="1" t="s">
        <v>104</v>
      </c>
      <c r="K436" s="1" t="s">
        <v>1112</v>
      </c>
      <c r="O436" s="55">
        <v>1</v>
      </c>
      <c r="T436" s="60">
        <v>3</v>
      </c>
      <c r="U436" s="1" t="s">
        <v>4702</v>
      </c>
      <c r="V436" s="4" t="s">
        <v>4769</v>
      </c>
      <c r="AL436" s="60" t="s">
        <v>30</v>
      </c>
    </row>
    <row r="437" spans="1:38" ht="48" x14ac:dyDescent="0.2">
      <c r="A437" s="1" t="s">
        <v>4697</v>
      </c>
      <c r="B437" s="1" t="s">
        <v>4770</v>
      </c>
      <c r="C437" s="1" t="s">
        <v>5702</v>
      </c>
      <c r="D437" s="48">
        <v>92</v>
      </c>
      <c r="E437" s="1">
        <v>2</v>
      </c>
      <c r="F437" s="1" t="s">
        <v>4701</v>
      </c>
      <c r="G437" s="1" t="s">
        <v>4771</v>
      </c>
      <c r="I437" s="1" t="s">
        <v>104</v>
      </c>
      <c r="K437" s="1" t="s">
        <v>1592</v>
      </c>
      <c r="O437" s="55">
        <v>3</v>
      </c>
      <c r="T437" s="60">
        <v>5</v>
      </c>
      <c r="U437" s="1" t="s">
        <v>4702</v>
      </c>
      <c r="V437" s="4" t="s">
        <v>4772</v>
      </c>
      <c r="AL437" s="60" t="s">
        <v>30</v>
      </c>
    </row>
    <row r="438" spans="1:38" ht="36" x14ac:dyDescent="0.2">
      <c r="A438" s="1" t="s">
        <v>4697</v>
      </c>
      <c r="B438" s="1" t="s">
        <v>4725</v>
      </c>
      <c r="C438" s="1" t="s">
        <v>5702</v>
      </c>
      <c r="D438" s="48">
        <v>93</v>
      </c>
      <c r="E438" s="1">
        <v>2</v>
      </c>
      <c r="F438" s="1" t="s">
        <v>4701</v>
      </c>
      <c r="G438" s="1" t="s">
        <v>4726</v>
      </c>
      <c r="I438" s="1" t="s">
        <v>82</v>
      </c>
      <c r="V438" s="4" t="s">
        <v>4727</v>
      </c>
      <c r="W438" s="4" t="s">
        <v>4728</v>
      </c>
      <c r="AL438" s="60" t="s">
        <v>30</v>
      </c>
    </row>
    <row r="439" spans="1:38" ht="36" x14ac:dyDescent="0.2">
      <c r="A439" s="1" t="s">
        <v>4697</v>
      </c>
      <c r="B439" s="1" t="s">
        <v>4729</v>
      </c>
      <c r="C439" s="1" t="s">
        <v>5702</v>
      </c>
      <c r="D439" s="48">
        <v>94</v>
      </c>
      <c r="E439" s="1">
        <v>4</v>
      </c>
      <c r="F439" s="1" t="s">
        <v>4701</v>
      </c>
      <c r="G439" s="1" t="s">
        <v>4730</v>
      </c>
      <c r="I439" s="1" t="s">
        <v>82</v>
      </c>
      <c r="U439" s="1" t="s">
        <v>4702</v>
      </c>
      <c r="V439" s="4" t="s">
        <v>4731</v>
      </c>
      <c r="AL439" s="60" t="s">
        <v>30</v>
      </c>
    </row>
    <row r="440" spans="1:38" ht="48" x14ac:dyDescent="0.2">
      <c r="A440" s="1" t="s">
        <v>4697</v>
      </c>
      <c r="B440" s="1" t="s">
        <v>4735</v>
      </c>
      <c r="C440" s="1" t="s">
        <v>5702</v>
      </c>
      <c r="D440" s="48">
        <v>95</v>
      </c>
      <c r="E440" s="1">
        <v>1</v>
      </c>
      <c r="F440" s="1" t="s">
        <v>4701</v>
      </c>
      <c r="G440" s="1" t="s">
        <v>4736</v>
      </c>
      <c r="I440" s="1" t="s">
        <v>82</v>
      </c>
      <c r="U440" s="1" t="s">
        <v>4702</v>
      </c>
      <c r="V440" s="4" t="s">
        <v>4737</v>
      </c>
      <c r="AL440" s="60" t="s">
        <v>30</v>
      </c>
    </row>
    <row r="441" spans="1:38" ht="36" x14ac:dyDescent="0.2">
      <c r="A441" s="1" t="s">
        <v>4697</v>
      </c>
      <c r="B441" s="1" t="s">
        <v>4773</v>
      </c>
      <c r="C441" s="1" t="s">
        <v>5702</v>
      </c>
      <c r="D441" s="48">
        <v>96</v>
      </c>
      <c r="E441" s="1">
        <v>2</v>
      </c>
      <c r="F441" s="1" t="s">
        <v>4701</v>
      </c>
      <c r="G441" s="1" t="s">
        <v>4774</v>
      </c>
      <c r="I441" s="1" t="s">
        <v>82</v>
      </c>
      <c r="V441" s="4" t="s">
        <v>4775</v>
      </c>
      <c r="AL441" s="60" t="s">
        <v>30</v>
      </c>
    </row>
    <row r="442" spans="1:38" ht="60" x14ac:dyDescent="0.2">
      <c r="A442" s="1" t="s">
        <v>4697</v>
      </c>
      <c r="B442" s="1" t="s">
        <v>4703</v>
      </c>
      <c r="C442" s="1" t="s">
        <v>5702</v>
      </c>
      <c r="D442" s="48">
        <v>97</v>
      </c>
      <c r="E442" s="1">
        <v>3</v>
      </c>
      <c r="F442" s="1" t="s">
        <v>4701</v>
      </c>
      <c r="G442" s="1" t="s">
        <v>4704</v>
      </c>
      <c r="I442" s="1" t="s">
        <v>94</v>
      </c>
      <c r="K442" s="1" t="s">
        <v>4705</v>
      </c>
      <c r="N442" s="54">
        <v>31</v>
      </c>
      <c r="O442" s="55">
        <v>3</v>
      </c>
      <c r="Q442" s="57">
        <v>2</v>
      </c>
      <c r="R442" s="58">
        <v>1</v>
      </c>
      <c r="S442" s="59">
        <v>4</v>
      </c>
      <c r="V442" s="4" t="s">
        <v>4706</v>
      </c>
      <c r="AL442" s="60" t="s">
        <v>30</v>
      </c>
    </row>
    <row r="443" spans="1:38" ht="36" x14ac:dyDescent="0.2">
      <c r="A443" s="1" t="s">
        <v>4697</v>
      </c>
      <c r="B443" s="1" t="s">
        <v>4738</v>
      </c>
      <c r="C443" s="1" t="s">
        <v>5702</v>
      </c>
      <c r="D443" s="48">
        <v>98</v>
      </c>
      <c r="E443" s="1">
        <v>4</v>
      </c>
      <c r="F443" s="1" t="s">
        <v>4701</v>
      </c>
      <c r="G443" s="1" t="s">
        <v>4739</v>
      </c>
      <c r="I443" s="1" t="s">
        <v>94</v>
      </c>
      <c r="K443" s="1" t="s">
        <v>604</v>
      </c>
      <c r="N443" s="54">
        <v>15</v>
      </c>
      <c r="O443" s="55">
        <v>2</v>
      </c>
      <c r="Q443" s="57">
        <v>1</v>
      </c>
      <c r="R443" s="58">
        <v>1</v>
      </c>
      <c r="S443" s="59">
        <v>2</v>
      </c>
      <c r="V443" s="4" t="s">
        <v>4740</v>
      </c>
      <c r="W443" s="4" t="s">
        <v>4741</v>
      </c>
      <c r="AL443" s="60" t="s">
        <v>30</v>
      </c>
    </row>
    <row r="444" spans="1:38" ht="24" x14ac:dyDescent="0.2">
      <c r="A444" s="1" t="s">
        <v>4697</v>
      </c>
      <c r="B444" s="1" t="s">
        <v>4742</v>
      </c>
      <c r="C444" s="1" t="s">
        <v>5702</v>
      </c>
      <c r="D444" s="48">
        <v>99</v>
      </c>
      <c r="E444" s="1">
        <v>1</v>
      </c>
      <c r="F444" s="1" t="s">
        <v>4701</v>
      </c>
      <c r="G444" s="1" t="s">
        <v>4743</v>
      </c>
      <c r="I444" s="1" t="s">
        <v>94</v>
      </c>
      <c r="K444" s="1" t="s">
        <v>604</v>
      </c>
      <c r="N444" s="54">
        <v>39</v>
      </c>
      <c r="O444" s="55">
        <v>4</v>
      </c>
      <c r="Q444" s="57">
        <v>3</v>
      </c>
      <c r="R444" s="58">
        <v>3</v>
      </c>
      <c r="S444" s="59">
        <v>5</v>
      </c>
      <c r="V444" s="4" t="s">
        <v>4744</v>
      </c>
      <c r="W444" s="4" t="s">
        <v>4745</v>
      </c>
      <c r="AL444" s="60" t="s">
        <v>30</v>
      </c>
    </row>
    <row r="445" spans="1:38" ht="24" x14ac:dyDescent="0.2">
      <c r="A445" s="1" t="s">
        <v>4697</v>
      </c>
      <c r="B445" s="1" t="s">
        <v>4763</v>
      </c>
      <c r="C445" s="1" t="s">
        <v>5702</v>
      </c>
      <c r="D445" s="48">
        <v>100</v>
      </c>
      <c r="E445" s="1">
        <v>3</v>
      </c>
      <c r="F445" s="1" t="s">
        <v>4701</v>
      </c>
      <c r="G445" s="1" t="s">
        <v>4764</v>
      </c>
      <c r="I445" s="1" t="s">
        <v>94</v>
      </c>
      <c r="K445" s="1" t="s">
        <v>95</v>
      </c>
      <c r="N445" s="54">
        <v>20</v>
      </c>
      <c r="O445" s="55">
        <v>1</v>
      </c>
      <c r="Q445" s="57">
        <v>3</v>
      </c>
      <c r="R445" s="58">
        <v>0</v>
      </c>
      <c r="S445" s="59">
        <v>3</v>
      </c>
      <c r="V445" s="4" t="s">
        <v>4765</v>
      </c>
      <c r="W445" s="4" t="s">
        <v>4766</v>
      </c>
      <c r="AL445" s="60" t="s">
        <v>30</v>
      </c>
    </row>
    <row r="446" spans="1:38" ht="24" x14ac:dyDescent="0.2">
      <c r="A446" s="109" t="s">
        <v>2303</v>
      </c>
      <c r="B446" s="109" t="s">
        <v>2340</v>
      </c>
      <c r="C446" s="109" t="s">
        <v>5703</v>
      </c>
      <c r="D446" s="110">
        <v>101</v>
      </c>
      <c r="E446" s="109">
        <v>1</v>
      </c>
      <c r="F446" s="109"/>
      <c r="G446" s="109" t="s">
        <v>375</v>
      </c>
      <c r="H446" s="1" t="s">
        <v>26</v>
      </c>
      <c r="I446" s="1" t="s">
        <v>27</v>
      </c>
      <c r="J446" s="1" t="s">
        <v>57</v>
      </c>
      <c r="K446" s="1" t="s">
        <v>2341</v>
      </c>
      <c r="M446" s="18">
        <v>5</v>
      </c>
      <c r="P446" s="56">
        <v>3</v>
      </c>
      <c r="Q446" s="57">
        <v>3</v>
      </c>
      <c r="R446" s="58">
        <v>1</v>
      </c>
      <c r="S446" s="59">
        <v>5</v>
      </c>
      <c r="V446" s="4" t="s">
        <v>2342</v>
      </c>
      <c r="AL446" s="60" t="s">
        <v>30</v>
      </c>
    </row>
    <row r="447" spans="1:38" ht="48" x14ac:dyDescent="0.2">
      <c r="A447" s="1" t="s">
        <v>2303</v>
      </c>
      <c r="B447" s="1" t="s">
        <v>2356</v>
      </c>
      <c r="C447" s="1" t="s">
        <v>5703</v>
      </c>
      <c r="D447" s="48">
        <v>102</v>
      </c>
      <c r="E447" s="1">
        <v>3</v>
      </c>
      <c r="G447" s="1" t="s">
        <v>2357</v>
      </c>
      <c r="I447" s="1" t="s">
        <v>38</v>
      </c>
      <c r="J447" s="1" t="s">
        <v>28</v>
      </c>
      <c r="K447" s="1" t="s">
        <v>283</v>
      </c>
      <c r="M447" s="18">
        <v>3</v>
      </c>
      <c r="P447" s="56">
        <v>2</v>
      </c>
      <c r="Q447" s="57">
        <v>1</v>
      </c>
      <c r="R447" s="58">
        <v>1</v>
      </c>
      <c r="S447" s="59">
        <v>2</v>
      </c>
      <c r="V447" s="4" t="s">
        <v>2358</v>
      </c>
      <c r="AL447" s="60" t="s">
        <v>30</v>
      </c>
    </row>
    <row r="448" spans="1:38" ht="24" x14ac:dyDescent="0.2">
      <c r="A448" s="1" t="s">
        <v>2303</v>
      </c>
      <c r="B448" s="1" t="s">
        <v>2373</v>
      </c>
      <c r="C448" s="1" t="s">
        <v>5703</v>
      </c>
      <c r="D448" s="48">
        <v>103</v>
      </c>
      <c r="E448" s="1">
        <v>3</v>
      </c>
      <c r="G448" s="1" t="s">
        <v>2374</v>
      </c>
      <c r="I448" s="1" t="s">
        <v>56</v>
      </c>
      <c r="J448" s="1" t="s">
        <v>28</v>
      </c>
      <c r="K448" s="1" t="s">
        <v>261</v>
      </c>
      <c r="L448" s="2" t="s">
        <v>2375</v>
      </c>
      <c r="M448" s="18">
        <v>4</v>
      </c>
      <c r="V448" s="4" t="s">
        <v>2376</v>
      </c>
      <c r="AL448" s="60" t="s">
        <v>30</v>
      </c>
    </row>
    <row r="449" spans="1:48" ht="48" x14ac:dyDescent="0.2">
      <c r="A449" s="1" t="s">
        <v>2303</v>
      </c>
      <c r="B449" s="1" t="s">
        <v>2382</v>
      </c>
      <c r="C449" s="1" t="s">
        <v>5703</v>
      </c>
      <c r="D449" s="48">
        <v>104</v>
      </c>
      <c r="E449" s="1">
        <v>3</v>
      </c>
      <c r="G449" s="1" t="s">
        <v>2383</v>
      </c>
      <c r="I449" s="1" t="s">
        <v>38</v>
      </c>
      <c r="J449" s="1" t="s">
        <v>50</v>
      </c>
      <c r="K449" s="1" t="s">
        <v>2384</v>
      </c>
      <c r="L449" s="2" t="s">
        <v>171</v>
      </c>
      <c r="M449" s="18">
        <v>2</v>
      </c>
      <c r="P449" s="56">
        <v>0</v>
      </c>
      <c r="Q449" s="57">
        <v>2</v>
      </c>
      <c r="R449" s="58">
        <v>1</v>
      </c>
      <c r="S449" s="59">
        <v>2</v>
      </c>
      <c r="V449" s="4" t="s">
        <v>2385</v>
      </c>
      <c r="AL449" s="60" t="s">
        <v>30</v>
      </c>
    </row>
    <row r="450" spans="1:48" ht="36" x14ac:dyDescent="0.2">
      <c r="A450" s="1" t="s">
        <v>2303</v>
      </c>
      <c r="B450" s="1" t="s">
        <v>2347</v>
      </c>
      <c r="C450" s="1" t="s">
        <v>5703</v>
      </c>
      <c r="D450" s="48">
        <v>105</v>
      </c>
      <c r="E450" s="1">
        <v>3</v>
      </c>
      <c r="G450" s="1" t="s">
        <v>2348</v>
      </c>
      <c r="I450" s="1" t="s">
        <v>63</v>
      </c>
      <c r="J450" s="1" t="s">
        <v>50</v>
      </c>
      <c r="M450" s="18">
        <v>1</v>
      </c>
      <c r="V450" s="4" t="s">
        <v>2349</v>
      </c>
      <c r="AL450" s="60" t="s">
        <v>30</v>
      </c>
      <c r="AU450" s="1" t="s">
        <v>6176</v>
      </c>
      <c r="AV450" s="1" t="s">
        <v>6177</v>
      </c>
    </row>
    <row r="451" spans="1:48" ht="36" x14ac:dyDescent="0.2">
      <c r="A451" s="1" t="s">
        <v>2303</v>
      </c>
      <c r="B451" s="1" t="s">
        <v>2350</v>
      </c>
      <c r="C451" s="1" t="s">
        <v>5703</v>
      </c>
      <c r="D451" s="48">
        <v>106</v>
      </c>
      <c r="E451" s="1">
        <v>3</v>
      </c>
      <c r="G451" s="1" t="s">
        <v>2351</v>
      </c>
      <c r="I451" s="1" t="s">
        <v>38</v>
      </c>
      <c r="J451" s="1" t="s">
        <v>57</v>
      </c>
      <c r="K451" s="1" t="s">
        <v>1136</v>
      </c>
      <c r="M451" s="18">
        <v>2</v>
      </c>
      <c r="P451" s="56">
        <v>0</v>
      </c>
      <c r="Q451" s="57">
        <v>0</v>
      </c>
      <c r="R451" s="58">
        <v>1</v>
      </c>
      <c r="S451" s="59">
        <v>1</v>
      </c>
      <c r="V451" s="4" t="s">
        <v>2352</v>
      </c>
      <c r="AL451" s="60" t="s">
        <v>30</v>
      </c>
    </row>
    <row r="452" spans="1:48" x14ac:dyDescent="0.2">
      <c r="A452" s="1" t="s">
        <v>2303</v>
      </c>
      <c r="B452" s="1" t="s">
        <v>2353</v>
      </c>
      <c r="C452" s="1" t="s">
        <v>5703</v>
      </c>
      <c r="D452" s="48">
        <v>107</v>
      </c>
      <c r="E452" s="1">
        <v>3</v>
      </c>
      <c r="G452" s="1" t="s">
        <v>2354</v>
      </c>
      <c r="H452" s="1" t="s">
        <v>26</v>
      </c>
      <c r="I452" s="1" t="s">
        <v>56</v>
      </c>
      <c r="J452" s="1" t="s">
        <v>57</v>
      </c>
      <c r="K452" s="1" t="s">
        <v>261</v>
      </c>
      <c r="L452" s="2" t="s">
        <v>2306</v>
      </c>
      <c r="M452" s="18">
        <v>1</v>
      </c>
      <c r="V452" s="4" t="s">
        <v>2355</v>
      </c>
      <c r="AL452" s="60" t="s">
        <v>30</v>
      </c>
    </row>
    <row r="453" spans="1:48" x14ac:dyDescent="0.2">
      <c r="A453" s="1" t="s">
        <v>2303</v>
      </c>
      <c r="B453" s="1" t="s">
        <v>2317</v>
      </c>
      <c r="C453" s="1" t="s">
        <v>5703</v>
      </c>
      <c r="D453" s="48">
        <v>108</v>
      </c>
      <c r="E453" s="1">
        <v>3</v>
      </c>
      <c r="G453" s="1" t="s">
        <v>2318</v>
      </c>
      <c r="I453" s="1" t="s">
        <v>63</v>
      </c>
      <c r="J453" s="1" t="s">
        <v>39</v>
      </c>
      <c r="M453" s="18">
        <v>0</v>
      </c>
      <c r="V453" s="4" t="s">
        <v>2319</v>
      </c>
      <c r="AL453" s="60" t="s">
        <v>30</v>
      </c>
    </row>
    <row r="454" spans="1:48" ht="24" x14ac:dyDescent="0.2">
      <c r="A454" s="1" t="s">
        <v>2303</v>
      </c>
      <c r="B454" s="1" t="s">
        <v>2343</v>
      </c>
      <c r="C454" s="1" t="s">
        <v>5703</v>
      </c>
      <c r="D454" s="48">
        <v>109</v>
      </c>
      <c r="E454" s="1">
        <v>3</v>
      </c>
      <c r="G454" s="1" t="s">
        <v>2344</v>
      </c>
      <c r="I454" s="1" t="s">
        <v>56</v>
      </c>
      <c r="J454" s="1" t="s">
        <v>39</v>
      </c>
      <c r="L454" s="2" t="s">
        <v>2345</v>
      </c>
      <c r="M454" s="18">
        <v>0</v>
      </c>
      <c r="V454" s="4" t="s">
        <v>2346</v>
      </c>
      <c r="AL454" s="60" t="s">
        <v>30</v>
      </c>
    </row>
    <row r="455" spans="1:48" ht="24" x14ac:dyDescent="0.2">
      <c r="A455" s="1" t="s">
        <v>2303</v>
      </c>
      <c r="B455" s="1" t="s">
        <v>2304</v>
      </c>
      <c r="C455" s="1" t="s">
        <v>5703</v>
      </c>
      <c r="D455" s="48">
        <v>110</v>
      </c>
      <c r="E455" s="1">
        <v>3</v>
      </c>
      <c r="G455" s="1" t="s">
        <v>2305</v>
      </c>
      <c r="H455" s="1" t="s">
        <v>26</v>
      </c>
      <c r="I455" s="1" t="s">
        <v>56</v>
      </c>
      <c r="J455" s="1" t="s">
        <v>39</v>
      </c>
      <c r="K455" s="1" t="s">
        <v>1084</v>
      </c>
      <c r="L455" s="2" t="s">
        <v>2306</v>
      </c>
      <c r="M455" s="18">
        <v>2</v>
      </c>
      <c r="V455" s="4" t="s">
        <v>2307</v>
      </c>
      <c r="AL455" s="60" t="s">
        <v>30</v>
      </c>
    </row>
    <row r="456" spans="1:48" ht="24" x14ac:dyDescent="0.2">
      <c r="A456" s="1" t="s">
        <v>2303</v>
      </c>
      <c r="B456" s="1" t="s">
        <v>2377</v>
      </c>
      <c r="C456" s="1" t="s">
        <v>5703</v>
      </c>
      <c r="D456" s="48">
        <v>111</v>
      </c>
      <c r="E456" s="1">
        <v>1</v>
      </c>
      <c r="F456" s="1" t="s">
        <v>2309</v>
      </c>
      <c r="G456" s="1" t="s">
        <v>9545</v>
      </c>
      <c r="I456" s="1" t="s">
        <v>125</v>
      </c>
      <c r="M456" s="18">
        <v>1</v>
      </c>
      <c r="N456" s="54" t="s">
        <v>9529</v>
      </c>
      <c r="V456" s="4" t="s">
        <v>2378</v>
      </c>
      <c r="X456" s="1" t="s">
        <v>1681</v>
      </c>
      <c r="Y456" s="1" t="s">
        <v>9545</v>
      </c>
      <c r="AA456" s="1" t="s">
        <v>125</v>
      </c>
      <c r="AE456" s="1">
        <v>1</v>
      </c>
      <c r="AF456" s="54" t="s">
        <v>9530</v>
      </c>
      <c r="AL456" s="60" t="s">
        <v>346</v>
      </c>
      <c r="AN456" s="4" t="s">
        <v>2379</v>
      </c>
    </row>
    <row r="457" spans="1:48" ht="24" x14ac:dyDescent="0.2">
      <c r="A457" s="1" t="s">
        <v>2303</v>
      </c>
      <c r="B457" s="1" t="s">
        <v>2380</v>
      </c>
      <c r="C457" s="1" t="s">
        <v>5703</v>
      </c>
      <c r="D457" s="48">
        <v>112</v>
      </c>
      <c r="E457" s="1">
        <v>1</v>
      </c>
      <c r="F457" s="1" t="s">
        <v>2309</v>
      </c>
      <c r="G457" s="1" t="s">
        <v>9604</v>
      </c>
      <c r="I457" s="1" t="s">
        <v>125</v>
      </c>
      <c r="M457" s="18">
        <v>2</v>
      </c>
      <c r="N457" s="54" t="s">
        <v>9529</v>
      </c>
      <c r="Y457" s="1" t="s">
        <v>9604</v>
      </c>
      <c r="AA457" s="1" t="s">
        <v>125</v>
      </c>
      <c r="AE457" s="1">
        <v>2</v>
      </c>
      <c r="AF457" s="54" t="s">
        <v>9530</v>
      </c>
      <c r="AL457" s="60" t="s">
        <v>337</v>
      </c>
      <c r="AN457" s="4" t="s">
        <v>2381</v>
      </c>
    </row>
    <row r="458" spans="1:48" ht="84" x14ac:dyDescent="0.2">
      <c r="A458" s="1" t="s">
        <v>2303</v>
      </c>
      <c r="B458" s="1" t="s">
        <v>2386</v>
      </c>
      <c r="C458" s="1" t="s">
        <v>5703</v>
      </c>
      <c r="D458" s="48">
        <v>113</v>
      </c>
      <c r="E458" s="1">
        <v>1</v>
      </c>
      <c r="F458" s="1" t="s">
        <v>2309</v>
      </c>
      <c r="G458" s="1" t="s">
        <v>9669</v>
      </c>
      <c r="I458" s="1" t="s">
        <v>125</v>
      </c>
      <c r="M458" s="18">
        <v>3</v>
      </c>
      <c r="N458" s="54" t="s">
        <v>9529</v>
      </c>
      <c r="Y458" s="1" t="s">
        <v>9669</v>
      </c>
      <c r="AA458" s="1" t="s">
        <v>125</v>
      </c>
      <c r="AE458" s="1">
        <v>3</v>
      </c>
      <c r="AF458" s="54" t="s">
        <v>9530</v>
      </c>
      <c r="AL458" s="60" t="s">
        <v>67</v>
      </c>
      <c r="AN458" s="4" t="s">
        <v>2387</v>
      </c>
    </row>
    <row r="459" spans="1:48" ht="72" x14ac:dyDescent="0.2">
      <c r="A459" s="1" t="s">
        <v>2303</v>
      </c>
      <c r="B459" s="1" t="s">
        <v>2311</v>
      </c>
      <c r="C459" s="1" t="s">
        <v>5703</v>
      </c>
      <c r="D459" s="48">
        <v>114</v>
      </c>
      <c r="E459" s="1">
        <v>1</v>
      </c>
      <c r="F459" s="1" t="s">
        <v>2309</v>
      </c>
      <c r="G459" s="1" t="s">
        <v>9708</v>
      </c>
      <c r="I459" s="1" t="s">
        <v>125</v>
      </c>
      <c r="M459" s="18">
        <v>4</v>
      </c>
      <c r="N459" s="54" t="s">
        <v>9529</v>
      </c>
      <c r="Y459" s="1" t="s">
        <v>9716</v>
      </c>
      <c r="AA459" s="1" t="s">
        <v>125</v>
      </c>
      <c r="AE459" s="1">
        <v>4</v>
      </c>
      <c r="AF459" s="54" t="s">
        <v>9530</v>
      </c>
      <c r="AL459" s="60" t="s">
        <v>31</v>
      </c>
      <c r="AN459" s="4" t="s">
        <v>2312</v>
      </c>
    </row>
    <row r="460" spans="1:48" ht="72" x14ac:dyDescent="0.2">
      <c r="A460" s="1" t="s">
        <v>2303</v>
      </c>
      <c r="B460" s="1" t="s">
        <v>2313</v>
      </c>
      <c r="C460" s="1" t="s">
        <v>5703</v>
      </c>
      <c r="D460" s="48">
        <v>115</v>
      </c>
      <c r="E460" s="1">
        <v>1</v>
      </c>
      <c r="F460" s="1" t="s">
        <v>2309</v>
      </c>
      <c r="G460" s="1" t="s">
        <v>9708</v>
      </c>
      <c r="I460" s="1" t="s">
        <v>125</v>
      </c>
      <c r="M460" s="18">
        <v>4</v>
      </c>
      <c r="N460" s="54" t="s">
        <v>9529</v>
      </c>
      <c r="Y460" s="1" t="s">
        <v>9717</v>
      </c>
      <c r="AA460" s="1" t="s">
        <v>125</v>
      </c>
      <c r="AE460" s="1">
        <v>4</v>
      </c>
      <c r="AF460" s="54" t="s">
        <v>9530</v>
      </c>
      <c r="AL460" s="60" t="s">
        <v>2658</v>
      </c>
      <c r="AN460" s="4" t="s">
        <v>2314</v>
      </c>
    </row>
    <row r="461" spans="1:48" ht="72" x14ac:dyDescent="0.2">
      <c r="A461" s="1" t="s">
        <v>2303</v>
      </c>
      <c r="B461" s="1" t="s">
        <v>2315</v>
      </c>
      <c r="C461" s="1" t="s">
        <v>5703</v>
      </c>
      <c r="D461" s="48">
        <v>116</v>
      </c>
      <c r="E461" s="1">
        <v>1</v>
      </c>
      <c r="F461" s="1" t="s">
        <v>2309</v>
      </c>
      <c r="G461" s="1" t="s">
        <v>9708</v>
      </c>
      <c r="I461" s="1" t="s">
        <v>125</v>
      </c>
      <c r="M461" s="18">
        <v>4</v>
      </c>
      <c r="N461" s="54" t="s">
        <v>9529</v>
      </c>
      <c r="Y461" s="1" t="s">
        <v>9718</v>
      </c>
      <c r="AA461" s="1" t="s">
        <v>125</v>
      </c>
      <c r="AE461" s="1">
        <v>4</v>
      </c>
      <c r="AF461" s="54" t="s">
        <v>9530</v>
      </c>
      <c r="AL461" s="60" t="s">
        <v>243</v>
      </c>
      <c r="AN461" s="4" t="s">
        <v>2316</v>
      </c>
    </row>
    <row r="462" spans="1:48" ht="72" x14ac:dyDescent="0.2">
      <c r="A462" s="1" t="s">
        <v>2303</v>
      </c>
      <c r="B462" s="1" t="s">
        <v>2308</v>
      </c>
      <c r="C462" s="1" t="s">
        <v>5703</v>
      </c>
      <c r="D462" s="48">
        <v>117</v>
      </c>
      <c r="E462" s="1">
        <v>1</v>
      </c>
      <c r="F462" s="1" t="s">
        <v>2309</v>
      </c>
      <c r="G462" s="1" t="s">
        <v>9708</v>
      </c>
      <c r="I462" s="1" t="s">
        <v>125</v>
      </c>
      <c r="M462" s="18">
        <v>4</v>
      </c>
      <c r="N462" s="54" t="s">
        <v>9529</v>
      </c>
      <c r="Y462" s="1" t="s">
        <v>9719</v>
      </c>
      <c r="AA462" s="1" t="s">
        <v>125</v>
      </c>
      <c r="AE462" s="1">
        <v>4</v>
      </c>
      <c r="AF462" s="54" t="s">
        <v>9530</v>
      </c>
      <c r="AL462" s="60" t="s">
        <v>46</v>
      </c>
      <c r="AN462" s="4" t="s">
        <v>2310</v>
      </c>
    </row>
    <row r="463" spans="1:48" ht="84" x14ac:dyDescent="0.2">
      <c r="A463" s="1" t="s">
        <v>2303</v>
      </c>
      <c r="B463" s="1" t="s">
        <v>2371</v>
      </c>
      <c r="C463" s="1" t="s">
        <v>5703</v>
      </c>
      <c r="D463" s="48">
        <v>118</v>
      </c>
      <c r="E463" s="1">
        <v>1</v>
      </c>
      <c r="F463" s="1" t="s">
        <v>2309</v>
      </c>
      <c r="G463" s="1" t="s">
        <v>9720</v>
      </c>
      <c r="I463" s="1" t="s">
        <v>125</v>
      </c>
      <c r="M463" s="18">
        <v>5</v>
      </c>
      <c r="N463" s="54" t="s">
        <v>9529</v>
      </c>
      <c r="Y463" s="1" t="s">
        <v>9720</v>
      </c>
      <c r="AA463" s="1" t="s">
        <v>125</v>
      </c>
      <c r="AE463" s="1">
        <v>5</v>
      </c>
      <c r="AF463" s="54" t="s">
        <v>9530</v>
      </c>
      <c r="AL463" s="60" t="s">
        <v>31</v>
      </c>
      <c r="AN463" s="4" t="s">
        <v>2372</v>
      </c>
    </row>
    <row r="464" spans="1:48" ht="48" x14ac:dyDescent="0.2">
      <c r="A464" s="1" t="s">
        <v>2303</v>
      </c>
      <c r="B464" s="1" t="s">
        <v>2328</v>
      </c>
      <c r="C464" s="1" t="s">
        <v>5703</v>
      </c>
      <c r="D464" s="48">
        <v>119</v>
      </c>
      <c r="E464" s="1">
        <v>1</v>
      </c>
      <c r="F464" s="1" t="s">
        <v>2309</v>
      </c>
      <c r="G464" s="1" t="s">
        <v>2329</v>
      </c>
      <c r="H464" s="1" t="s">
        <v>26</v>
      </c>
      <c r="I464" s="1" t="s">
        <v>88</v>
      </c>
      <c r="K464" s="1" t="s">
        <v>2330</v>
      </c>
      <c r="L464" s="2" t="s">
        <v>2331</v>
      </c>
      <c r="V464" s="4" t="s">
        <v>2332</v>
      </c>
      <c r="AL464" s="60" t="s">
        <v>30</v>
      </c>
    </row>
    <row r="465" spans="1:48" ht="60" x14ac:dyDescent="0.2">
      <c r="A465" s="1" t="s">
        <v>2303</v>
      </c>
      <c r="B465" s="1" t="s">
        <v>2333</v>
      </c>
      <c r="C465" s="1" t="s">
        <v>5703</v>
      </c>
      <c r="D465" s="48">
        <v>120</v>
      </c>
      <c r="E465" s="1">
        <v>1</v>
      </c>
      <c r="F465" s="1" t="s">
        <v>2309</v>
      </c>
      <c r="G465" s="1" t="s">
        <v>2334</v>
      </c>
      <c r="H465" s="1" t="s">
        <v>26</v>
      </c>
      <c r="I465" s="1" t="s">
        <v>88</v>
      </c>
      <c r="K465" s="1" t="s">
        <v>1784</v>
      </c>
      <c r="L465" s="2" t="s">
        <v>155</v>
      </c>
      <c r="V465" s="4" t="s">
        <v>2335</v>
      </c>
      <c r="AL465" s="60" t="s">
        <v>30</v>
      </c>
    </row>
    <row r="466" spans="1:48" ht="60" x14ac:dyDescent="0.2">
      <c r="A466" s="1" t="s">
        <v>2303</v>
      </c>
      <c r="B466" s="1" t="s">
        <v>2324</v>
      </c>
      <c r="C466" s="1" t="s">
        <v>5703</v>
      </c>
      <c r="D466" s="48">
        <v>121</v>
      </c>
      <c r="E466" s="1">
        <v>3</v>
      </c>
      <c r="F466" s="1" t="s">
        <v>2309</v>
      </c>
      <c r="G466" s="1" t="s">
        <v>2325</v>
      </c>
      <c r="I466" s="1" t="s">
        <v>104</v>
      </c>
      <c r="K466" s="1" t="s">
        <v>2326</v>
      </c>
      <c r="O466" s="55">
        <v>2</v>
      </c>
      <c r="T466" s="60">
        <v>3</v>
      </c>
      <c r="V466" s="4" t="s">
        <v>2327</v>
      </c>
      <c r="AL466" s="60" t="s">
        <v>30</v>
      </c>
    </row>
    <row r="467" spans="1:48" ht="48" x14ac:dyDescent="0.2">
      <c r="A467" s="1" t="s">
        <v>2303</v>
      </c>
      <c r="B467" s="1" t="s">
        <v>2362</v>
      </c>
      <c r="C467" s="1" t="s">
        <v>5703</v>
      </c>
      <c r="D467" s="48">
        <v>122</v>
      </c>
      <c r="E467" s="1">
        <v>1</v>
      </c>
      <c r="F467" s="1" t="s">
        <v>2309</v>
      </c>
      <c r="G467" s="1" t="s">
        <v>2363</v>
      </c>
      <c r="I467" s="1" t="s">
        <v>104</v>
      </c>
      <c r="K467" s="1" t="s">
        <v>1112</v>
      </c>
      <c r="L467" s="2" t="s">
        <v>685</v>
      </c>
      <c r="O467" s="55">
        <v>2</v>
      </c>
      <c r="T467" s="60">
        <v>5</v>
      </c>
      <c r="V467" s="4" t="s">
        <v>2364</v>
      </c>
      <c r="AL467" s="60" t="s">
        <v>30</v>
      </c>
    </row>
    <row r="468" spans="1:48" ht="24" x14ac:dyDescent="0.2">
      <c r="A468" s="1" t="s">
        <v>2303</v>
      </c>
      <c r="B468" s="1" t="s">
        <v>2320</v>
      </c>
      <c r="C468" s="1" t="s">
        <v>5703</v>
      </c>
      <c r="D468" s="48">
        <v>123</v>
      </c>
      <c r="E468" s="1">
        <v>4</v>
      </c>
      <c r="F468" s="1" t="s">
        <v>2309</v>
      </c>
      <c r="G468" s="1" t="s">
        <v>2321</v>
      </c>
      <c r="I468" s="1" t="s">
        <v>82</v>
      </c>
      <c r="L468" s="2" t="s">
        <v>698</v>
      </c>
      <c r="V468" s="4" t="s">
        <v>2322</v>
      </c>
      <c r="W468" s="4" t="s">
        <v>2323</v>
      </c>
      <c r="AL468" s="60" t="s">
        <v>30</v>
      </c>
    </row>
    <row r="469" spans="1:48" ht="24" x14ac:dyDescent="0.2">
      <c r="A469" s="1" t="s">
        <v>2303</v>
      </c>
      <c r="B469" s="1" t="s">
        <v>2359</v>
      </c>
      <c r="C469" s="1" t="s">
        <v>5703</v>
      </c>
      <c r="D469" s="48">
        <v>124</v>
      </c>
      <c r="E469" s="1">
        <v>2</v>
      </c>
      <c r="F469" s="1" t="s">
        <v>2309</v>
      </c>
      <c r="G469" s="1" t="s">
        <v>2360</v>
      </c>
      <c r="I469" s="1" t="s">
        <v>82</v>
      </c>
      <c r="V469" s="4" t="s">
        <v>2361</v>
      </c>
      <c r="W469" s="4" t="s">
        <v>2323</v>
      </c>
      <c r="AL469" s="60" t="s">
        <v>30</v>
      </c>
    </row>
    <row r="470" spans="1:48" ht="60" x14ac:dyDescent="0.2">
      <c r="A470" s="1" t="s">
        <v>2303</v>
      </c>
      <c r="B470" s="1" t="s">
        <v>2368</v>
      </c>
      <c r="C470" s="1" t="s">
        <v>5703</v>
      </c>
      <c r="D470" s="48">
        <v>125</v>
      </c>
      <c r="E470" s="1">
        <v>5</v>
      </c>
      <c r="F470" s="1" t="s">
        <v>2309</v>
      </c>
      <c r="G470" s="1" t="s">
        <v>2369</v>
      </c>
      <c r="I470" s="1" t="s">
        <v>94</v>
      </c>
      <c r="K470" s="1" t="s">
        <v>2338</v>
      </c>
      <c r="N470" s="54">
        <v>27</v>
      </c>
      <c r="O470" s="55">
        <v>3</v>
      </c>
      <c r="Q470" s="57" t="s">
        <v>113</v>
      </c>
      <c r="R470" s="58">
        <v>3</v>
      </c>
      <c r="S470" s="59" t="s">
        <v>113</v>
      </c>
      <c r="U470" s="1">
        <v>1</v>
      </c>
      <c r="V470" s="4" t="s">
        <v>2370</v>
      </c>
      <c r="AL470" s="60" t="s">
        <v>30</v>
      </c>
    </row>
    <row r="471" spans="1:48" ht="60" x14ac:dyDescent="0.2">
      <c r="A471" s="1" t="s">
        <v>2303</v>
      </c>
      <c r="B471" s="1" t="s">
        <v>2336</v>
      </c>
      <c r="C471" s="1" t="s">
        <v>5703</v>
      </c>
      <c r="D471" s="48">
        <v>126</v>
      </c>
      <c r="E471" s="1">
        <v>3</v>
      </c>
      <c r="F471" s="1" t="s">
        <v>2309</v>
      </c>
      <c r="G471" s="1" t="s">
        <v>2337</v>
      </c>
      <c r="I471" s="1" t="s">
        <v>94</v>
      </c>
      <c r="K471" s="1" t="s">
        <v>2338</v>
      </c>
      <c r="N471" s="54">
        <v>40</v>
      </c>
      <c r="O471" s="55">
        <v>4</v>
      </c>
      <c r="Q471" s="57" t="s">
        <v>113</v>
      </c>
      <c r="R471" s="58">
        <v>4</v>
      </c>
      <c r="S471" s="59" t="s">
        <v>113</v>
      </c>
      <c r="U471" s="1">
        <v>3</v>
      </c>
      <c r="V471" s="4" t="s">
        <v>2339</v>
      </c>
      <c r="AL471" s="60" t="s">
        <v>30</v>
      </c>
    </row>
    <row r="472" spans="1:48" ht="48" x14ac:dyDescent="0.2">
      <c r="A472" s="1" t="s">
        <v>2303</v>
      </c>
      <c r="B472" s="1" t="s">
        <v>2365</v>
      </c>
      <c r="C472" s="1" t="s">
        <v>5703</v>
      </c>
      <c r="D472" s="48">
        <v>127</v>
      </c>
      <c r="E472" s="1">
        <v>4</v>
      </c>
      <c r="F472" s="1" t="s">
        <v>2309</v>
      </c>
      <c r="G472" s="1" t="s">
        <v>2366</v>
      </c>
      <c r="I472" s="1" t="s">
        <v>94</v>
      </c>
      <c r="K472" s="1" t="s">
        <v>95</v>
      </c>
      <c r="N472" s="54">
        <v>33</v>
      </c>
      <c r="O472" s="55">
        <v>1</v>
      </c>
      <c r="Q472" s="57">
        <v>1</v>
      </c>
      <c r="R472" s="58">
        <v>2</v>
      </c>
      <c r="S472" s="59">
        <v>1</v>
      </c>
      <c r="V472" s="4" t="s">
        <v>2367</v>
      </c>
      <c r="AL472" s="60" t="s">
        <v>30</v>
      </c>
    </row>
    <row r="473" spans="1:48" ht="60" x14ac:dyDescent="0.2">
      <c r="A473" s="109" t="s">
        <v>3072</v>
      </c>
      <c r="B473" s="109" t="s">
        <v>3086</v>
      </c>
      <c r="C473" s="109" t="s">
        <v>5704</v>
      </c>
      <c r="D473" s="110">
        <v>128</v>
      </c>
      <c r="E473" s="109">
        <v>1</v>
      </c>
      <c r="F473" s="109"/>
      <c r="G473" s="109" t="s">
        <v>3087</v>
      </c>
      <c r="H473" s="1" t="s">
        <v>26</v>
      </c>
      <c r="I473" s="1" t="s">
        <v>27</v>
      </c>
      <c r="J473" s="1" t="s">
        <v>39</v>
      </c>
      <c r="K473" s="1" t="s">
        <v>3088</v>
      </c>
      <c r="M473" s="18">
        <v>13</v>
      </c>
      <c r="P473" s="56">
        <v>3</v>
      </c>
      <c r="Q473" s="57">
        <v>2</v>
      </c>
      <c r="R473" s="58">
        <v>3</v>
      </c>
      <c r="S473" s="59">
        <v>4</v>
      </c>
      <c r="V473" s="4" t="s">
        <v>3089</v>
      </c>
      <c r="AL473" s="60" t="s">
        <v>30</v>
      </c>
    </row>
    <row r="474" spans="1:48" ht="24" x14ac:dyDescent="0.2">
      <c r="A474" s="1" t="s">
        <v>3072</v>
      </c>
      <c r="B474" s="1" t="s">
        <v>3158</v>
      </c>
      <c r="C474" s="1" t="s">
        <v>5704</v>
      </c>
      <c r="D474" s="48">
        <v>129</v>
      </c>
      <c r="E474" s="1">
        <v>3</v>
      </c>
      <c r="G474" s="1" t="s">
        <v>3159</v>
      </c>
      <c r="I474" s="1" t="s">
        <v>63</v>
      </c>
      <c r="J474" s="1" t="s">
        <v>28</v>
      </c>
      <c r="M474" s="18">
        <v>0</v>
      </c>
      <c r="V474" s="4" t="s">
        <v>3160</v>
      </c>
      <c r="AL474" s="60" t="s">
        <v>30</v>
      </c>
    </row>
    <row r="475" spans="1:48" x14ac:dyDescent="0.2">
      <c r="A475" s="1" t="s">
        <v>3072</v>
      </c>
      <c r="B475" s="1" t="s">
        <v>3101</v>
      </c>
      <c r="C475" s="1" t="s">
        <v>5704</v>
      </c>
      <c r="D475" s="48">
        <v>130</v>
      </c>
      <c r="E475" s="1">
        <v>3</v>
      </c>
      <c r="G475" s="1" t="s">
        <v>3102</v>
      </c>
      <c r="H475" s="1" t="s">
        <v>26</v>
      </c>
      <c r="I475" s="1" t="s">
        <v>56</v>
      </c>
      <c r="J475" s="1" t="s">
        <v>28</v>
      </c>
      <c r="L475" s="2" t="s">
        <v>3103</v>
      </c>
      <c r="M475" s="18">
        <v>2</v>
      </c>
      <c r="V475" s="4" t="s">
        <v>3104</v>
      </c>
      <c r="AL475" s="60" t="s">
        <v>30</v>
      </c>
    </row>
    <row r="476" spans="1:48" ht="36" x14ac:dyDescent="0.2">
      <c r="A476" s="1" t="s">
        <v>3072</v>
      </c>
      <c r="B476" s="1" t="s">
        <v>3098</v>
      </c>
      <c r="C476" s="1" t="s">
        <v>5704</v>
      </c>
      <c r="D476" s="48">
        <v>131</v>
      </c>
      <c r="E476" s="1">
        <v>3</v>
      </c>
      <c r="G476" s="1" t="s">
        <v>3099</v>
      </c>
      <c r="I476" s="1" t="s">
        <v>63</v>
      </c>
      <c r="J476" s="1" t="s">
        <v>50</v>
      </c>
      <c r="M476" s="18">
        <v>1</v>
      </c>
      <c r="V476" s="4" t="s">
        <v>3100</v>
      </c>
      <c r="AL476" s="60" t="s">
        <v>30</v>
      </c>
      <c r="AU476" s="1" t="s">
        <v>6178</v>
      </c>
      <c r="AV476" s="1" t="s">
        <v>6179</v>
      </c>
    </row>
    <row r="477" spans="1:48" ht="48" x14ac:dyDescent="0.2">
      <c r="A477" s="1" t="s">
        <v>3072</v>
      </c>
      <c r="B477" s="1" t="s">
        <v>3131</v>
      </c>
      <c r="C477" s="1" t="s">
        <v>5704</v>
      </c>
      <c r="D477" s="48">
        <v>132</v>
      </c>
      <c r="E477" s="1">
        <v>3</v>
      </c>
      <c r="G477" s="1" t="s">
        <v>3132</v>
      </c>
      <c r="I477" s="1" t="s">
        <v>63</v>
      </c>
      <c r="J477" s="1" t="s">
        <v>57</v>
      </c>
      <c r="L477" s="2" t="s">
        <v>3133</v>
      </c>
      <c r="M477" s="18">
        <v>4</v>
      </c>
      <c r="V477" s="4" t="s">
        <v>3134</v>
      </c>
      <c r="AL477" s="60" t="s">
        <v>30</v>
      </c>
      <c r="AU477" s="1" t="s">
        <v>6180</v>
      </c>
    </row>
    <row r="478" spans="1:48" ht="36" x14ac:dyDescent="0.2">
      <c r="A478" s="1" t="s">
        <v>3072</v>
      </c>
      <c r="B478" s="1" t="s">
        <v>3124</v>
      </c>
      <c r="C478" s="1" t="s">
        <v>5704</v>
      </c>
      <c r="D478" s="48">
        <v>133</v>
      </c>
      <c r="E478" s="1">
        <v>3</v>
      </c>
      <c r="G478" s="1" t="s">
        <v>3125</v>
      </c>
      <c r="I478" s="1" t="s">
        <v>56</v>
      </c>
      <c r="J478" s="1" t="s">
        <v>57</v>
      </c>
      <c r="K478" s="1" t="s">
        <v>89</v>
      </c>
      <c r="L478" s="2" t="s">
        <v>71</v>
      </c>
      <c r="M478" s="18">
        <v>1</v>
      </c>
      <c r="V478" s="4" t="s">
        <v>3126</v>
      </c>
      <c r="AL478" s="60" t="s">
        <v>30</v>
      </c>
    </row>
    <row r="479" spans="1:48" ht="36" x14ac:dyDescent="0.2">
      <c r="A479" s="1" t="s">
        <v>3072</v>
      </c>
      <c r="B479" s="1" t="s">
        <v>3120</v>
      </c>
      <c r="C479" s="1" t="s">
        <v>5704</v>
      </c>
      <c r="D479" s="48">
        <v>134</v>
      </c>
      <c r="E479" s="1">
        <v>3</v>
      </c>
      <c r="G479" s="1" t="s">
        <v>3121</v>
      </c>
      <c r="I479" s="1" t="s">
        <v>38</v>
      </c>
      <c r="J479" s="1" t="s">
        <v>39</v>
      </c>
      <c r="K479" s="1" t="s">
        <v>3122</v>
      </c>
      <c r="M479" s="18">
        <v>2</v>
      </c>
      <c r="P479" s="56">
        <v>0</v>
      </c>
      <c r="Q479" s="57">
        <v>0</v>
      </c>
      <c r="R479" s="58">
        <v>1</v>
      </c>
      <c r="S479" s="59">
        <v>1</v>
      </c>
      <c r="V479" s="4" t="s">
        <v>3123</v>
      </c>
      <c r="AL479" s="60" t="s">
        <v>30</v>
      </c>
    </row>
    <row r="480" spans="1:48" x14ac:dyDescent="0.2">
      <c r="A480" s="1" t="s">
        <v>3072</v>
      </c>
      <c r="B480" s="1" t="s">
        <v>3135</v>
      </c>
      <c r="C480" s="1" t="s">
        <v>5704</v>
      </c>
      <c r="D480" s="48">
        <v>135</v>
      </c>
      <c r="E480" s="1">
        <v>3</v>
      </c>
      <c r="G480" s="1" t="s">
        <v>3136</v>
      </c>
      <c r="I480" s="1" t="s">
        <v>63</v>
      </c>
      <c r="J480" s="1" t="s">
        <v>39</v>
      </c>
      <c r="M480" s="18">
        <v>1</v>
      </c>
      <c r="V480" s="4" t="s">
        <v>3137</v>
      </c>
      <c r="AL480" s="60" t="s">
        <v>30</v>
      </c>
      <c r="AU480" s="1" t="s">
        <v>6181</v>
      </c>
    </row>
    <row r="481" spans="1:47" ht="36" x14ac:dyDescent="0.2">
      <c r="A481" s="1" t="s">
        <v>3072</v>
      </c>
      <c r="B481" s="1" t="s">
        <v>3141</v>
      </c>
      <c r="C481" s="1" t="s">
        <v>5704</v>
      </c>
      <c r="D481" s="48">
        <v>136</v>
      </c>
      <c r="E481" s="1">
        <v>3</v>
      </c>
      <c r="G481" s="1" t="s">
        <v>3142</v>
      </c>
      <c r="I481" s="1" t="s">
        <v>63</v>
      </c>
      <c r="J481" s="1" t="s">
        <v>39</v>
      </c>
      <c r="L481" s="2" t="s">
        <v>3143</v>
      </c>
      <c r="M481" s="18">
        <v>3</v>
      </c>
      <c r="V481" s="4" t="s">
        <v>3144</v>
      </c>
      <c r="AL481" s="60" t="s">
        <v>30</v>
      </c>
    </row>
    <row r="482" spans="1:47" ht="48" x14ac:dyDescent="0.2">
      <c r="A482" s="1" t="s">
        <v>3072</v>
      </c>
      <c r="B482" s="1" t="s">
        <v>3153</v>
      </c>
      <c r="C482" s="1" t="s">
        <v>5704</v>
      </c>
      <c r="D482" s="48">
        <v>137</v>
      </c>
      <c r="E482" s="1">
        <v>3</v>
      </c>
      <c r="G482" s="1" t="s">
        <v>3154</v>
      </c>
      <c r="H482" s="1" t="s">
        <v>26</v>
      </c>
      <c r="I482" s="1" t="s">
        <v>56</v>
      </c>
      <c r="J482" s="1" t="s">
        <v>44</v>
      </c>
      <c r="K482" s="1" t="s">
        <v>3155</v>
      </c>
      <c r="L482" s="2" t="s">
        <v>3156</v>
      </c>
      <c r="M482" s="18">
        <v>2</v>
      </c>
      <c r="V482" s="4" t="s">
        <v>3157</v>
      </c>
      <c r="AL482" s="60" t="s">
        <v>30</v>
      </c>
      <c r="AU482" s="1" t="s">
        <v>6182</v>
      </c>
    </row>
    <row r="483" spans="1:47" ht="36" x14ac:dyDescent="0.2">
      <c r="A483" s="1" t="s">
        <v>3072</v>
      </c>
      <c r="B483" s="1" t="s">
        <v>3127</v>
      </c>
      <c r="C483" s="1" t="s">
        <v>5704</v>
      </c>
      <c r="D483" s="48">
        <v>138</v>
      </c>
      <c r="E483" s="1">
        <v>1</v>
      </c>
      <c r="F483" s="1" t="s">
        <v>3077</v>
      </c>
      <c r="G483" s="1" t="s">
        <v>9546</v>
      </c>
      <c r="I483" s="1" t="s">
        <v>125</v>
      </c>
      <c r="M483" s="18">
        <v>1</v>
      </c>
      <c r="N483" s="54" t="s">
        <v>9529</v>
      </c>
      <c r="V483" s="4" t="s">
        <v>3128</v>
      </c>
      <c r="X483" s="1" t="s">
        <v>3129</v>
      </c>
      <c r="Y483" s="1" t="s">
        <v>9546</v>
      </c>
      <c r="AA483" s="1" t="s">
        <v>125</v>
      </c>
      <c r="AE483" s="1">
        <v>1</v>
      </c>
      <c r="AF483" s="54" t="s">
        <v>9530</v>
      </c>
      <c r="AL483" s="60" t="s">
        <v>346</v>
      </c>
      <c r="AN483" s="4" t="s">
        <v>3130</v>
      </c>
    </row>
    <row r="484" spans="1:47" ht="72" x14ac:dyDescent="0.2">
      <c r="A484" s="1" t="s">
        <v>3072</v>
      </c>
      <c r="B484" s="1" t="s">
        <v>3151</v>
      </c>
      <c r="C484" s="1" t="s">
        <v>5704</v>
      </c>
      <c r="D484" s="48">
        <v>139</v>
      </c>
      <c r="E484" s="1">
        <v>1</v>
      </c>
      <c r="F484" s="1" t="s">
        <v>3077</v>
      </c>
      <c r="G484" s="1" t="s">
        <v>9605</v>
      </c>
      <c r="I484" s="1" t="s">
        <v>125</v>
      </c>
      <c r="M484" s="18">
        <v>2</v>
      </c>
      <c r="N484" s="54" t="s">
        <v>9529</v>
      </c>
      <c r="Y484" s="1" t="s">
        <v>9605</v>
      </c>
      <c r="AA484" s="1" t="s">
        <v>125</v>
      </c>
      <c r="AE484" s="1">
        <v>2</v>
      </c>
      <c r="AF484" s="54" t="s">
        <v>9530</v>
      </c>
      <c r="AL484" s="60" t="s">
        <v>1982</v>
      </c>
      <c r="AN484" s="4" t="s">
        <v>3152</v>
      </c>
    </row>
    <row r="485" spans="1:47" ht="60" x14ac:dyDescent="0.2">
      <c r="A485" s="1" t="s">
        <v>3072</v>
      </c>
      <c r="B485" s="1" t="s">
        <v>3112</v>
      </c>
      <c r="C485" s="1" t="s">
        <v>5704</v>
      </c>
      <c r="D485" s="48">
        <v>140</v>
      </c>
      <c r="E485" s="1">
        <v>1</v>
      </c>
      <c r="F485" s="1" t="s">
        <v>3077</v>
      </c>
      <c r="G485" s="1" t="s">
        <v>9670</v>
      </c>
      <c r="I485" s="1" t="s">
        <v>125</v>
      </c>
      <c r="M485" s="18">
        <v>3</v>
      </c>
      <c r="N485" s="54" t="s">
        <v>9529</v>
      </c>
      <c r="Y485" s="1" t="s">
        <v>9670</v>
      </c>
      <c r="AA485" s="1" t="s">
        <v>125</v>
      </c>
      <c r="AE485" s="1">
        <v>3</v>
      </c>
      <c r="AF485" s="54" t="s">
        <v>9530</v>
      </c>
      <c r="AL485" s="60" t="s">
        <v>36</v>
      </c>
      <c r="AN485" s="4" t="s">
        <v>3113</v>
      </c>
    </row>
    <row r="486" spans="1:47" ht="60" x14ac:dyDescent="0.2">
      <c r="A486" s="1" t="s">
        <v>3072</v>
      </c>
      <c r="B486" s="1" t="s">
        <v>3078</v>
      </c>
      <c r="C486" s="1" t="s">
        <v>5704</v>
      </c>
      <c r="D486" s="48">
        <v>141</v>
      </c>
      <c r="E486" s="1">
        <v>1</v>
      </c>
      <c r="F486" s="1" t="s">
        <v>3077</v>
      </c>
      <c r="G486" s="1" t="s">
        <v>3079</v>
      </c>
      <c r="I486" s="1" t="s">
        <v>104</v>
      </c>
      <c r="K486" s="1" t="s">
        <v>1592</v>
      </c>
      <c r="O486" s="55">
        <v>0</v>
      </c>
      <c r="T486" s="60">
        <v>11</v>
      </c>
      <c r="V486" s="4" t="s">
        <v>3080</v>
      </c>
      <c r="AL486" s="60" t="s">
        <v>30</v>
      </c>
      <c r="AU486" s="1" t="s">
        <v>6183</v>
      </c>
    </row>
    <row r="487" spans="1:47" ht="36" x14ac:dyDescent="0.2">
      <c r="A487" s="1" t="s">
        <v>3072</v>
      </c>
      <c r="B487" s="1" t="s">
        <v>3148</v>
      </c>
      <c r="C487" s="1" t="s">
        <v>5704</v>
      </c>
      <c r="D487" s="48">
        <v>142</v>
      </c>
      <c r="E487" s="1">
        <v>1</v>
      </c>
      <c r="F487" s="1" t="s">
        <v>3077</v>
      </c>
      <c r="G487" s="1" t="s">
        <v>3149</v>
      </c>
      <c r="H487" s="1" t="s">
        <v>26</v>
      </c>
      <c r="I487" s="1" t="s">
        <v>104</v>
      </c>
      <c r="K487" s="1" t="s">
        <v>1112</v>
      </c>
      <c r="O487" s="55">
        <v>4</v>
      </c>
      <c r="T487" s="60">
        <v>2</v>
      </c>
      <c r="V487" s="4" t="s">
        <v>3150</v>
      </c>
      <c r="AL487" s="60" t="s">
        <v>30</v>
      </c>
    </row>
    <row r="488" spans="1:47" ht="24" x14ac:dyDescent="0.2">
      <c r="A488" s="1" t="s">
        <v>3072</v>
      </c>
      <c r="B488" s="1" t="s">
        <v>3145</v>
      </c>
      <c r="C488" s="1" t="s">
        <v>5704</v>
      </c>
      <c r="D488" s="48">
        <v>143</v>
      </c>
      <c r="E488" s="1">
        <v>3</v>
      </c>
      <c r="F488" s="1" t="s">
        <v>3077</v>
      </c>
      <c r="G488" s="1" t="s">
        <v>3146</v>
      </c>
      <c r="I488" s="1" t="s">
        <v>104</v>
      </c>
      <c r="K488" s="1" t="s">
        <v>1112</v>
      </c>
      <c r="O488" s="55">
        <v>3</v>
      </c>
      <c r="T488" s="60">
        <v>3</v>
      </c>
      <c r="V488" s="4" t="s">
        <v>3147</v>
      </c>
      <c r="AL488" s="60" t="s">
        <v>30</v>
      </c>
    </row>
    <row r="489" spans="1:47" ht="24" x14ac:dyDescent="0.2">
      <c r="A489" s="1" t="s">
        <v>3072</v>
      </c>
      <c r="B489" s="1" t="s">
        <v>3094</v>
      </c>
      <c r="C489" s="1" t="s">
        <v>5704</v>
      </c>
      <c r="D489" s="48">
        <v>144</v>
      </c>
      <c r="E489" s="1">
        <v>2</v>
      </c>
      <c r="F489" s="1" t="s">
        <v>3077</v>
      </c>
      <c r="G489" s="1" t="s">
        <v>3095</v>
      </c>
      <c r="I489" s="1" t="s">
        <v>82</v>
      </c>
      <c r="V489" s="4" t="s">
        <v>3096</v>
      </c>
      <c r="W489" s="4" t="s">
        <v>3097</v>
      </c>
      <c r="AL489" s="60" t="s">
        <v>30</v>
      </c>
    </row>
    <row r="490" spans="1:47" ht="60" x14ac:dyDescent="0.2">
      <c r="A490" s="1" t="s">
        <v>3072</v>
      </c>
      <c r="B490" s="1" t="s">
        <v>3073</v>
      </c>
      <c r="C490" s="1" t="s">
        <v>5704</v>
      </c>
      <c r="D490" s="48">
        <v>145</v>
      </c>
      <c r="E490" s="1">
        <v>3</v>
      </c>
      <c r="F490" s="1" t="s">
        <v>3077</v>
      </c>
      <c r="G490" s="1" t="s">
        <v>3074</v>
      </c>
      <c r="I490" s="1" t="s">
        <v>82</v>
      </c>
      <c r="K490" s="1" t="s">
        <v>3075</v>
      </c>
      <c r="V490" s="4" t="s">
        <v>3076</v>
      </c>
      <c r="AL490" s="60" t="s">
        <v>30</v>
      </c>
    </row>
    <row r="491" spans="1:47" ht="36" x14ac:dyDescent="0.2">
      <c r="A491" s="1" t="s">
        <v>3072</v>
      </c>
      <c r="B491" s="1" t="s">
        <v>3105</v>
      </c>
      <c r="C491" s="1" t="s">
        <v>5704</v>
      </c>
      <c r="D491" s="48">
        <v>146</v>
      </c>
      <c r="E491" s="1">
        <v>3</v>
      </c>
      <c r="F491" s="1" t="s">
        <v>3077</v>
      </c>
      <c r="G491" s="1" t="s">
        <v>3106</v>
      </c>
      <c r="I491" s="1" t="s">
        <v>82</v>
      </c>
      <c r="V491" s="4" t="s">
        <v>3107</v>
      </c>
      <c r="W491" s="4" t="s">
        <v>3108</v>
      </c>
      <c r="AL491" s="60" t="s">
        <v>30</v>
      </c>
    </row>
    <row r="492" spans="1:47" ht="36" x14ac:dyDescent="0.2">
      <c r="A492" s="1" t="s">
        <v>3072</v>
      </c>
      <c r="B492" s="1" t="s">
        <v>3109</v>
      </c>
      <c r="C492" s="1" t="s">
        <v>5704</v>
      </c>
      <c r="D492" s="48">
        <v>147</v>
      </c>
      <c r="E492" s="1">
        <v>3</v>
      </c>
      <c r="F492" s="1" t="s">
        <v>3077</v>
      </c>
      <c r="G492" s="1" t="s">
        <v>3110</v>
      </c>
      <c r="I492" s="1" t="s">
        <v>82</v>
      </c>
      <c r="L492" s="2" t="s">
        <v>155</v>
      </c>
      <c r="V492" s="4" t="s">
        <v>3111</v>
      </c>
      <c r="AL492" s="60" t="s">
        <v>30</v>
      </c>
    </row>
    <row r="493" spans="1:47" ht="24" x14ac:dyDescent="0.2">
      <c r="A493" s="1" t="s">
        <v>3072</v>
      </c>
      <c r="B493" s="1" t="s">
        <v>3161</v>
      </c>
      <c r="C493" s="1" t="s">
        <v>5704</v>
      </c>
      <c r="D493" s="48">
        <v>148</v>
      </c>
      <c r="E493" s="1">
        <v>2</v>
      </c>
      <c r="F493" s="1" t="s">
        <v>3077</v>
      </c>
      <c r="G493" s="1" t="s">
        <v>3162</v>
      </c>
      <c r="I493" s="1" t="s">
        <v>82</v>
      </c>
      <c r="V493" s="4" t="s">
        <v>3163</v>
      </c>
      <c r="W493" s="4" t="s">
        <v>3164</v>
      </c>
      <c r="AL493" s="60" t="s">
        <v>30</v>
      </c>
    </row>
    <row r="494" spans="1:47" ht="24" x14ac:dyDescent="0.2">
      <c r="A494" s="1" t="s">
        <v>3072</v>
      </c>
      <c r="B494" s="1" t="s">
        <v>3114</v>
      </c>
      <c r="C494" s="1" t="s">
        <v>5704</v>
      </c>
      <c r="D494" s="48">
        <v>149</v>
      </c>
      <c r="E494" s="1">
        <v>3</v>
      </c>
      <c r="F494" s="1" t="s">
        <v>3077</v>
      </c>
      <c r="G494" s="1" t="s">
        <v>3115</v>
      </c>
      <c r="I494" s="1" t="s">
        <v>82</v>
      </c>
      <c r="V494" s="4" t="s">
        <v>3116</v>
      </c>
      <c r="W494" s="4" t="s">
        <v>3108</v>
      </c>
      <c r="AL494" s="60" t="s">
        <v>30</v>
      </c>
    </row>
    <row r="495" spans="1:47" ht="72" x14ac:dyDescent="0.2">
      <c r="A495" s="1" t="s">
        <v>3072</v>
      </c>
      <c r="B495" s="1" t="s">
        <v>3081</v>
      </c>
      <c r="C495" s="1" t="s">
        <v>5704</v>
      </c>
      <c r="D495" s="48">
        <v>150</v>
      </c>
      <c r="E495" s="1">
        <v>1</v>
      </c>
      <c r="F495" s="1" t="s">
        <v>3077</v>
      </c>
      <c r="G495" s="1" t="s">
        <v>3082</v>
      </c>
      <c r="H495" s="1" t="s">
        <v>26</v>
      </c>
      <c r="I495" s="1" t="s">
        <v>94</v>
      </c>
      <c r="K495" s="1" t="s">
        <v>3083</v>
      </c>
      <c r="L495" s="2" t="s">
        <v>3084</v>
      </c>
      <c r="N495" s="54">
        <v>1</v>
      </c>
      <c r="O495" s="55">
        <v>4</v>
      </c>
      <c r="Q495" s="57">
        <v>6</v>
      </c>
      <c r="R495" s="58">
        <v>3</v>
      </c>
      <c r="S495" s="59">
        <v>27</v>
      </c>
      <c r="V495" s="4" t="s">
        <v>3085</v>
      </c>
      <c r="AL495" s="60" t="s">
        <v>30</v>
      </c>
      <c r="AU495" s="1" t="s">
        <v>6184</v>
      </c>
    </row>
    <row r="496" spans="1:47" ht="60" x14ac:dyDescent="0.2">
      <c r="A496" s="1" t="s">
        <v>3072</v>
      </c>
      <c r="B496" s="1" t="s">
        <v>3138</v>
      </c>
      <c r="C496" s="1" t="s">
        <v>5704</v>
      </c>
      <c r="D496" s="48">
        <v>151</v>
      </c>
      <c r="E496" s="1">
        <v>3</v>
      </c>
      <c r="F496" s="1" t="s">
        <v>3077</v>
      </c>
      <c r="G496" s="1" t="s">
        <v>3139</v>
      </c>
      <c r="I496" s="1" t="s">
        <v>94</v>
      </c>
      <c r="K496" s="1" t="s">
        <v>604</v>
      </c>
      <c r="N496" s="54">
        <v>35</v>
      </c>
      <c r="O496" s="55">
        <v>2</v>
      </c>
      <c r="Q496" s="57">
        <v>1</v>
      </c>
      <c r="R496" s="58">
        <v>1</v>
      </c>
      <c r="S496" s="59">
        <v>2</v>
      </c>
      <c r="V496" s="4" t="s">
        <v>3140</v>
      </c>
      <c r="AL496" s="60" t="s">
        <v>30</v>
      </c>
    </row>
    <row r="497" spans="1:48" ht="24" x14ac:dyDescent="0.2">
      <c r="A497" s="1" t="s">
        <v>3072</v>
      </c>
      <c r="B497" s="1" t="s">
        <v>3090</v>
      </c>
      <c r="C497" s="1" t="s">
        <v>5704</v>
      </c>
      <c r="D497" s="48">
        <v>152</v>
      </c>
      <c r="E497" s="1">
        <v>2</v>
      </c>
      <c r="F497" s="1" t="s">
        <v>3077</v>
      </c>
      <c r="G497" s="1" t="s">
        <v>3091</v>
      </c>
      <c r="H497" s="1" t="s">
        <v>26</v>
      </c>
      <c r="I497" s="1" t="s">
        <v>82</v>
      </c>
      <c r="K497" s="1" t="s">
        <v>3092</v>
      </c>
      <c r="V497" s="4" t="s">
        <v>3093</v>
      </c>
      <c r="AL497" s="60" t="s">
        <v>30</v>
      </c>
    </row>
    <row r="498" spans="1:48" ht="48" x14ac:dyDescent="0.2">
      <c r="A498" s="1" t="s">
        <v>3072</v>
      </c>
      <c r="B498" s="1" t="s">
        <v>3117</v>
      </c>
      <c r="C498" s="1" t="s">
        <v>5704</v>
      </c>
      <c r="D498" s="48">
        <v>153</v>
      </c>
      <c r="E498" s="1">
        <v>2</v>
      </c>
      <c r="F498" s="1" t="s">
        <v>3077</v>
      </c>
      <c r="G498" s="1" t="s">
        <v>3118</v>
      </c>
      <c r="H498" s="1" t="s">
        <v>26</v>
      </c>
      <c r="I498" s="1" t="s">
        <v>82</v>
      </c>
      <c r="K498" s="1" t="s">
        <v>3092</v>
      </c>
      <c r="V498" s="4" t="s">
        <v>3119</v>
      </c>
      <c r="AL498" s="60" t="s">
        <v>30</v>
      </c>
    </row>
    <row r="499" spans="1:48" ht="24" x14ac:dyDescent="0.2">
      <c r="A499" s="132" t="s">
        <v>2388</v>
      </c>
      <c r="B499" s="132" t="s">
        <v>2406</v>
      </c>
      <c r="C499" s="132" t="s">
        <v>5705</v>
      </c>
      <c r="D499" s="133">
        <v>1</v>
      </c>
      <c r="E499" s="132">
        <v>1</v>
      </c>
      <c r="F499" s="132"/>
      <c r="G499" s="132" t="s">
        <v>2407</v>
      </c>
      <c r="H499" s="1" t="s">
        <v>26</v>
      </c>
      <c r="I499" s="1" t="s">
        <v>27</v>
      </c>
      <c r="J499" s="1" t="s">
        <v>50</v>
      </c>
      <c r="K499" s="1" t="s">
        <v>159</v>
      </c>
      <c r="L499" s="2" t="s">
        <v>52</v>
      </c>
      <c r="M499" s="18">
        <v>10</v>
      </c>
      <c r="P499" s="56">
        <v>0</v>
      </c>
      <c r="Q499" s="57">
        <v>1</v>
      </c>
      <c r="R499" s="58">
        <v>4</v>
      </c>
      <c r="S499" s="59">
        <v>4</v>
      </c>
      <c r="V499" s="4" t="s">
        <v>2408</v>
      </c>
      <c r="AL499" s="60" t="s">
        <v>30</v>
      </c>
      <c r="AS499" s="1" t="s">
        <v>6185</v>
      </c>
    </row>
    <row r="500" spans="1:48" ht="24" x14ac:dyDescent="0.2">
      <c r="A500" s="1" t="s">
        <v>2388</v>
      </c>
      <c r="B500" s="1" t="s">
        <v>2416</v>
      </c>
      <c r="C500" s="1" t="s">
        <v>5705</v>
      </c>
      <c r="D500" s="48">
        <v>2</v>
      </c>
      <c r="E500" s="1">
        <v>1</v>
      </c>
      <c r="G500" s="1" t="s">
        <v>2417</v>
      </c>
      <c r="H500" s="1" t="s">
        <v>26</v>
      </c>
      <c r="I500" s="1" t="s">
        <v>27</v>
      </c>
      <c r="J500" s="1" t="s">
        <v>28</v>
      </c>
      <c r="K500" s="1" t="s">
        <v>2418</v>
      </c>
      <c r="M500" s="18">
        <v>11</v>
      </c>
      <c r="P500" s="56">
        <v>1</v>
      </c>
      <c r="Q500" s="57">
        <v>3</v>
      </c>
      <c r="R500" s="58">
        <v>2</v>
      </c>
      <c r="S500" s="59">
        <v>5</v>
      </c>
      <c r="V500" s="4" t="s">
        <v>2419</v>
      </c>
      <c r="AL500" s="60" t="s">
        <v>30</v>
      </c>
      <c r="AS500" s="1" t="s">
        <v>6186</v>
      </c>
    </row>
    <row r="501" spans="1:48" ht="24" x14ac:dyDescent="0.2">
      <c r="A501" s="1" t="s">
        <v>2388</v>
      </c>
      <c r="B501" s="1" t="s">
        <v>2444</v>
      </c>
      <c r="C501" s="1" t="s">
        <v>5705</v>
      </c>
      <c r="D501" s="48">
        <v>3</v>
      </c>
      <c r="E501" s="1">
        <v>3</v>
      </c>
      <c r="G501" s="1" t="s">
        <v>2445</v>
      </c>
      <c r="I501" s="1" t="s">
        <v>38</v>
      </c>
      <c r="J501" s="1" t="s">
        <v>28</v>
      </c>
      <c r="K501" s="1" t="s">
        <v>205</v>
      </c>
      <c r="M501" s="18">
        <v>1</v>
      </c>
      <c r="P501" s="56">
        <v>0</v>
      </c>
      <c r="Q501" s="57">
        <v>0</v>
      </c>
      <c r="R501" s="58">
        <v>0</v>
      </c>
      <c r="S501" s="59">
        <v>2</v>
      </c>
      <c r="V501" s="4" t="s">
        <v>2446</v>
      </c>
      <c r="AL501" s="60" t="s">
        <v>30</v>
      </c>
      <c r="AS501" s="1" t="s">
        <v>6187</v>
      </c>
      <c r="AU501" s="1" t="s">
        <v>6188</v>
      </c>
      <c r="AV501" s="1" t="s">
        <v>6189</v>
      </c>
    </row>
    <row r="502" spans="1:48" ht="24" x14ac:dyDescent="0.2">
      <c r="A502" s="1" t="s">
        <v>2388</v>
      </c>
      <c r="B502" s="1" t="s">
        <v>2423</v>
      </c>
      <c r="C502" s="1" t="s">
        <v>5705</v>
      </c>
      <c r="D502" s="48">
        <v>4</v>
      </c>
      <c r="E502" s="1">
        <v>3</v>
      </c>
      <c r="G502" s="1" t="s">
        <v>2424</v>
      </c>
      <c r="I502" s="1" t="s">
        <v>38</v>
      </c>
      <c r="J502" s="1" t="s">
        <v>28</v>
      </c>
      <c r="K502" s="1" t="s">
        <v>205</v>
      </c>
      <c r="M502" s="18">
        <v>5</v>
      </c>
      <c r="P502" s="56">
        <v>1</v>
      </c>
      <c r="Q502" s="57">
        <v>0</v>
      </c>
      <c r="R502" s="58">
        <v>1</v>
      </c>
      <c r="S502" s="59">
        <v>3</v>
      </c>
      <c r="V502" s="4" t="s">
        <v>2425</v>
      </c>
      <c r="AL502" s="60" t="s">
        <v>30</v>
      </c>
      <c r="AS502" s="1" t="s">
        <v>6190</v>
      </c>
    </row>
    <row r="503" spans="1:48" ht="24" x14ac:dyDescent="0.2">
      <c r="A503" s="1" t="s">
        <v>2388</v>
      </c>
      <c r="B503" s="1" t="s">
        <v>2553</v>
      </c>
      <c r="C503" s="1" t="s">
        <v>5705</v>
      </c>
      <c r="D503" s="48">
        <v>5</v>
      </c>
      <c r="E503" s="1">
        <v>3</v>
      </c>
      <c r="G503" s="1" t="s">
        <v>2554</v>
      </c>
      <c r="I503" s="1" t="s">
        <v>63</v>
      </c>
      <c r="J503" s="1" t="s">
        <v>28</v>
      </c>
      <c r="M503" s="18">
        <v>0</v>
      </c>
      <c r="V503" s="4" t="s">
        <v>2555</v>
      </c>
      <c r="AL503" s="60" t="s">
        <v>30</v>
      </c>
      <c r="AS503" s="1" t="s">
        <v>6191</v>
      </c>
    </row>
    <row r="504" spans="1:48" ht="24" x14ac:dyDescent="0.2">
      <c r="A504" s="1" t="s">
        <v>2388</v>
      </c>
      <c r="B504" s="1" t="s">
        <v>2653</v>
      </c>
      <c r="C504" s="1" t="s">
        <v>5705</v>
      </c>
      <c r="D504" s="48">
        <v>6</v>
      </c>
      <c r="E504" s="1">
        <v>3</v>
      </c>
      <c r="G504" s="1" t="s">
        <v>2654</v>
      </c>
      <c r="I504" s="1" t="s">
        <v>63</v>
      </c>
      <c r="J504" s="1" t="s">
        <v>28</v>
      </c>
      <c r="M504" s="18">
        <v>0</v>
      </c>
      <c r="V504" s="4" t="s">
        <v>2655</v>
      </c>
      <c r="AL504" s="60" t="s">
        <v>30</v>
      </c>
      <c r="AS504" s="1" t="s">
        <v>6192</v>
      </c>
    </row>
    <row r="505" spans="1:48" x14ac:dyDescent="0.2">
      <c r="A505" s="1" t="s">
        <v>2388</v>
      </c>
      <c r="B505" s="1" t="s">
        <v>2439</v>
      </c>
      <c r="C505" s="1" t="s">
        <v>5705</v>
      </c>
      <c r="D505" s="48">
        <v>7</v>
      </c>
      <c r="E505" s="1">
        <v>3</v>
      </c>
      <c r="G505" s="1" t="s">
        <v>2440</v>
      </c>
      <c r="I505" s="1" t="s">
        <v>38</v>
      </c>
      <c r="J505" s="1" t="s">
        <v>50</v>
      </c>
      <c r="K505" s="1" t="s">
        <v>159</v>
      </c>
      <c r="M505" s="18">
        <v>2</v>
      </c>
      <c r="P505" s="56">
        <v>0</v>
      </c>
      <c r="Q505" s="57">
        <v>1</v>
      </c>
      <c r="R505" s="58">
        <v>4</v>
      </c>
      <c r="S505" s="59">
        <v>1</v>
      </c>
      <c r="AL505" s="60" t="s">
        <v>30</v>
      </c>
      <c r="AS505" s="1" t="s">
        <v>6193</v>
      </c>
    </row>
    <row r="506" spans="1:48" ht="24" x14ac:dyDescent="0.2">
      <c r="A506" s="1" t="s">
        <v>2388</v>
      </c>
      <c r="B506" s="1" t="s">
        <v>2403</v>
      </c>
      <c r="C506" s="1" t="s">
        <v>5705</v>
      </c>
      <c r="D506" s="48">
        <v>8</v>
      </c>
      <c r="E506" s="1">
        <v>3</v>
      </c>
      <c r="G506" s="1" t="s">
        <v>2404</v>
      </c>
      <c r="I506" s="1" t="s">
        <v>63</v>
      </c>
      <c r="J506" s="1" t="s">
        <v>50</v>
      </c>
      <c r="M506" s="18">
        <v>1</v>
      </c>
      <c r="V506" s="4" t="s">
        <v>2405</v>
      </c>
      <c r="AL506" s="60" t="s">
        <v>30</v>
      </c>
      <c r="AU506" s="1" t="s">
        <v>6194</v>
      </c>
    </row>
    <row r="507" spans="1:48" ht="48" x14ac:dyDescent="0.2">
      <c r="A507" s="1" t="s">
        <v>2388</v>
      </c>
      <c r="B507" s="1" t="s">
        <v>2622</v>
      </c>
      <c r="C507" s="1" t="s">
        <v>5705</v>
      </c>
      <c r="D507" s="48">
        <v>9</v>
      </c>
      <c r="E507" s="1">
        <v>3</v>
      </c>
      <c r="G507" s="1" t="s">
        <v>2623</v>
      </c>
      <c r="I507" s="1" t="s">
        <v>56</v>
      </c>
      <c r="J507" s="1" t="s">
        <v>50</v>
      </c>
      <c r="K507" s="1" t="s">
        <v>196</v>
      </c>
      <c r="L507" s="2" t="s">
        <v>2624</v>
      </c>
      <c r="M507" s="18">
        <v>2</v>
      </c>
      <c r="V507" s="4" t="s">
        <v>2625</v>
      </c>
      <c r="AL507" s="60" t="s">
        <v>30</v>
      </c>
      <c r="AS507" s="1" t="s">
        <v>6195</v>
      </c>
    </row>
    <row r="508" spans="1:48" ht="24" x14ac:dyDescent="0.2">
      <c r="A508" s="1" t="s">
        <v>2388</v>
      </c>
      <c r="B508" s="1" t="s">
        <v>2436</v>
      </c>
      <c r="C508" s="1" t="s">
        <v>5705</v>
      </c>
      <c r="D508" s="48">
        <v>10</v>
      </c>
      <c r="E508" s="1">
        <v>3</v>
      </c>
      <c r="G508" s="1" t="s">
        <v>2437</v>
      </c>
      <c r="H508" s="1" t="s">
        <v>26</v>
      </c>
      <c r="I508" s="1" t="s">
        <v>38</v>
      </c>
      <c r="J508" s="1" t="s">
        <v>57</v>
      </c>
      <c r="K508" s="1" t="s">
        <v>2103</v>
      </c>
      <c r="M508" s="18">
        <v>4</v>
      </c>
      <c r="P508" s="56">
        <v>1</v>
      </c>
      <c r="Q508" s="57">
        <v>2</v>
      </c>
      <c r="R508" s="58">
        <v>2</v>
      </c>
      <c r="S508" s="59">
        <v>2</v>
      </c>
      <c r="V508" s="4" t="s">
        <v>2438</v>
      </c>
      <c r="AL508" s="60" t="s">
        <v>30</v>
      </c>
    </row>
    <row r="509" spans="1:48" ht="24" x14ac:dyDescent="0.2">
      <c r="A509" s="1" t="s">
        <v>2388</v>
      </c>
      <c r="B509" s="1" t="s">
        <v>2517</v>
      </c>
      <c r="C509" s="1" t="s">
        <v>5705</v>
      </c>
      <c r="D509" s="48">
        <v>11</v>
      </c>
      <c r="E509" s="1">
        <v>3</v>
      </c>
      <c r="G509" s="1" t="s">
        <v>2518</v>
      </c>
      <c r="I509" s="1" t="s">
        <v>63</v>
      </c>
      <c r="J509" s="1" t="s">
        <v>57</v>
      </c>
      <c r="M509" s="18">
        <v>5</v>
      </c>
      <c r="V509" s="4" t="s">
        <v>2519</v>
      </c>
      <c r="AL509" s="60" t="s">
        <v>30</v>
      </c>
    </row>
    <row r="510" spans="1:48" ht="24" x14ac:dyDescent="0.2">
      <c r="A510" s="1" t="s">
        <v>2388</v>
      </c>
      <c r="B510" s="1" t="s">
        <v>2394</v>
      </c>
      <c r="C510" s="1" t="s">
        <v>5705</v>
      </c>
      <c r="D510" s="48">
        <v>12</v>
      </c>
      <c r="E510" s="1">
        <v>3</v>
      </c>
      <c r="G510" s="1" t="s">
        <v>2395</v>
      </c>
      <c r="I510" s="1" t="s">
        <v>63</v>
      </c>
      <c r="J510" s="1" t="s">
        <v>57</v>
      </c>
      <c r="M510" s="18">
        <v>1</v>
      </c>
      <c r="V510" s="4" t="s">
        <v>2396</v>
      </c>
      <c r="AL510" s="60" t="s">
        <v>30</v>
      </c>
    </row>
    <row r="511" spans="1:48" ht="36" x14ac:dyDescent="0.2">
      <c r="A511" s="1" t="s">
        <v>2388</v>
      </c>
      <c r="B511" s="1" t="s">
        <v>2414</v>
      </c>
      <c r="C511" s="1" t="s">
        <v>5705</v>
      </c>
      <c r="D511" s="48">
        <v>13</v>
      </c>
      <c r="E511" s="1">
        <v>3</v>
      </c>
      <c r="G511" s="1" t="s">
        <v>5909</v>
      </c>
      <c r="I511" s="1" t="s">
        <v>56</v>
      </c>
      <c r="J511" s="1" t="s">
        <v>57</v>
      </c>
      <c r="K511" s="1" t="s">
        <v>261</v>
      </c>
      <c r="L511" s="2" t="s">
        <v>206</v>
      </c>
      <c r="M511" s="18">
        <v>0</v>
      </c>
      <c r="V511" s="4" t="s">
        <v>2415</v>
      </c>
      <c r="AL511" s="60" t="s">
        <v>30</v>
      </c>
    </row>
    <row r="512" spans="1:48" ht="36" x14ac:dyDescent="0.2">
      <c r="A512" s="1" t="s">
        <v>2388</v>
      </c>
      <c r="B512" s="1" t="s">
        <v>2496</v>
      </c>
      <c r="C512" s="1" t="s">
        <v>5705</v>
      </c>
      <c r="D512" s="48">
        <v>14</v>
      </c>
      <c r="E512" s="1">
        <v>3</v>
      </c>
      <c r="G512" s="1" t="s">
        <v>2497</v>
      </c>
      <c r="I512" s="1" t="s">
        <v>38</v>
      </c>
      <c r="J512" s="1" t="s">
        <v>39</v>
      </c>
      <c r="K512" s="1" t="s">
        <v>2498</v>
      </c>
      <c r="M512" s="18">
        <v>2</v>
      </c>
      <c r="P512" s="56">
        <v>1</v>
      </c>
      <c r="Q512" s="57">
        <v>1</v>
      </c>
      <c r="R512" s="58">
        <v>1</v>
      </c>
      <c r="S512" s="59">
        <v>1</v>
      </c>
      <c r="V512" s="4" t="s">
        <v>2499</v>
      </c>
      <c r="AL512" s="60" t="s">
        <v>30</v>
      </c>
      <c r="AU512" s="1" t="s">
        <v>6196</v>
      </c>
    </row>
    <row r="513" spans="1:48" ht="24" x14ac:dyDescent="0.2">
      <c r="A513" s="1" t="s">
        <v>2388</v>
      </c>
      <c r="B513" s="1" t="s">
        <v>2509</v>
      </c>
      <c r="C513" s="1" t="s">
        <v>5705</v>
      </c>
      <c r="D513" s="48">
        <v>15</v>
      </c>
      <c r="E513" s="1">
        <v>3</v>
      </c>
      <c r="G513" s="1" t="s">
        <v>2510</v>
      </c>
      <c r="I513" s="1" t="s">
        <v>38</v>
      </c>
      <c r="J513" s="1" t="s">
        <v>39</v>
      </c>
      <c r="K513" s="1" t="s">
        <v>2103</v>
      </c>
      <c r="M513" s="18">
        <v>2</v>
      </c>
      <c r="P513" s="56">
        <v>0</v>
      </c>
      <c r="Q513" s="57">
        <v>1</v>
      </c>
      <c r="R513" s="58">
        <v>0</v>
      </c>
      <c r="S513" s="59">
        <v>3</v>
      </c>
      <c r="V513" s="4" t="s">
        <v>2511</v>
      </c>
      <c r="AL513" s="60" t="s">
        <v>30</v>
      </c>
    </row>
    <row r="514" spans="1:48" ht="36" x14ac:dyDescent="0.2">
      <c r="A514" s="1" t="s">
        <v>2388</v>
      </c>
      <c r="B514" s="1" t="s">
        <v>2543</v>
      </c>
      <c r="C514" s="1" t="s">
        <v>5705</v>
      </c>
      <c r="D514" s="48">
        <v>16</v>
      </c>
      <c r="E514" s="1">
        <v>3</v>
      </c>
      <c r="G514" s="1" t="s">
        <v>2544</v>
      </c>
      <c r="I514" s="1" t="s">
        <v>38</v>
      </c>
      <c r="J514" s="1" t="s">
        <v>39</v>
      </c>
      <c r="K514" s="1" t="s">
        <v>205</v>
      </c>
      <c r="M514" s="18">
        <v>3</v>
      </c>
      <c r="P514" s="56">
        <v>1</v>
      </c>
      <c r="Q514" s="57">
        <v>0</v>
      </c>
      <c r="R514" s="58">
        <v>1</v>
      </c>
      <c r="S514" s="59">
        <v>1</v>
      </c>
      <c r="V514" s="4" t="s">
        <v>2545</v>
      </c>
      <c r="AL514" s="60" t="s">
        <v>30</v>
      </c>
      <c r="AU514" s="1" t="s">
        <v>6197</v>
      </c>
    </row>
    <row r="515" spans="1:48" ht="84" x14ac:dyDescent="0.2">
      <c r="A515" s="1" t="s">
        <v>2388</v>
      </c>
      <c r="B515" s="1" t="s">
        <v>2599</v>
      </c>
      <c r="C515" s="1" t="s">
        <v>5705</v>
      </c>
      <c r="D515" s="48">
        <v>17</v>
      </c>
      <c r="E515" s="1">
        <v>3</v>
      </c>
      <c r="G515" s="1" t="s">
        <v>2600</v>
      </c>
      <c r="I515" s="1" t="s">
        <v>56</v>
      </c>
      <c r="J515" s="1" t="s">
        <v>39</v>
      </c>
      <c r="K515" s="1" t="s">
        <v>180</v>
      </c>
      <c r="M515" s="18">
        <v>2</v>
      </c>
      <c r="V515" s="4" t="s">
        <v>2601</v>
      </c>
      <c r="AL515" s="60" t="s">
        <v>30</v>
      </c>
      <c r="AU515" s="1" t="s">
        <v>6198</v>
      </c>
      <c r="AV515" s="1" t="s">
        <v>6199</v>
      </c>
    </row>
    <row r="516" spans="1:48" ht="24" x14ac:dyDescent="0.2">
      <c r="A516" s="1" t="s">
        <v>2388</v>
      </c>
      <c r="B516" s="1" t="s">
        <v>2441</v>
      </c>
      <c r="C516" s="1" t="s">
        <v>5705</v>
      </c>
      <c r="D516" s="48">
        <v>18</v>
      </c>
      <c r="E516" s="1">
        <v>3</v>
      </c>
      <c r="G516" s="1" t="s">
        <v>2442</v>
      </c>
      <c r="I516" s="1" t="s">
        <v>38</v>
      </c>
      <c r="J516" s="1" t="s">
        <v>44</v>
      </c>
      <c r="K516" s="1" t="s">
        <v>205</v>
      </c>
      <c r="M516" s="18">
        <v>2</v>
      </c>
      <c r="P516" s="56">
        <v>1</v>
      </c>
      <c r="Q516" s="57">
        <v>1</v>
      </c>
      <c r="R516" s="58">
        <v>0</v>
      </c>
      <c r="S516" s="59">
        <v>1</v>
      </c>
      <c r="V516" s="4" t="s">
        <v>2443</v>
      </c>
      <c r="AL516" s="60" t="s">
        <v>30</v>
      </c>
    </row>
    <row r="517" spans="1:48" ht="60" x14ac:dyDescent="0.2">
      <c r="A517" s="111" t="s">
        <v>2388</v>
      </c>
      <c r="B517" s="111" t="s">
        <v>2389</v>
      </c>
      <c r="C517" s="111" t="s">
        <v>5705</v>
      </c>
      <c r="D517" s="112">
        <v>19</v>
      </c>
      <c r="E517" s="111">
        <v>1</v>
      </c>
      <c r="F517" s="111" t="s">
        <v>2393</v>
      </c>
      <c r="G517" s="111" t="s">
        <v>2390</v>
      </c>
      <c r="H517" s="1" t="s">
        <v>26</v>
      </c>
      <c r="I517" s="1" t="s">
        <v>88</v>
      </c>
      <c r="K517" s="1" t="s">
        <v>2391</v>
      </c>
      <c r="V517" s="4" t="s">
        <v>2392</v>
      </c>
      <c r="AL517" s="60" t="s">
        <v>30</v>
      </c>
    </row>
    <row r="518" spans="1:48" ht="24" x14ac:dyDescent="0.2">
      <c r="A518" s="1" t="s">
        <v>2388</v>
      </c>
      <c r="B518" s="1" t="s">
        <v>2461</v>
      </c>
      <c r="C518" s="1" t="s">
        <v>5705</v>
      </c>
      <c r="D518" s="48">
        <v>20</v>
      </c>
      <c r="E518" s="1">
        <v>5</v>
      </c>
      <c r="F518" s="1" t="s">
        <v>2393</v>
      </c>
      <c r="G518" s="1" t="s">
        <v>2462</v>
      </c>
      <c r="I518" s="1" t="s">
        <v>94</v>
      </c>
      <c r="K518" s="1" t="s">
        <v>2463</v>
      </c>
      <c r="N518" s="54">
        <v>25</v>
      </c>
      <c r="O518" s="55">
        <v>2</v>
      </c>
      <c r="Q518" s="57">
        <v>3</v>
      </c>
      <c r="R518" s="58">
        <v>1</v>
      </c>
      <c r="S518" s="59">
        <v>3</v>
      </c>
      <c r="V518" s="4" t="s">
        <v>2464</v>
      </c>
      <c r="W518" s="4" t="s">
        <v>2435</v>
      </c>
      <c r="AL518" s="60" t="s">
        <v>30</v>
      </c>
    </row>
    <row r="519" spans="1:48" ht="48" x14ac:dyDescent="0.2">
      <c r="A519" s="1" t="s">
        <v>2388</v>
      </c>
      <c r="B519" s="1" t="s">
        <v>2636</v>
      </c>
      <c r="C519" s="1" t="s">
        <v>5705</v>
      </c>
      <c r="D519" s="48">
        <v>21</v>
      </c>
      <c r="E519" s="1">
        <v>1</v>
      </c>
      <c r="F519" s="1" t="s">
        <v>2393</v>
      </c>
      <c r="G519" s="1" t="s">
        <v>2637</v>
      </c>
      <c r="H519" s="1" t="s">
        <v>26</v>
      </c>
      <c r="I519" s="1" t="s">
        <v>104</v>
      </c>
      <c r="K519" s="1" t="s">
        <v>2428</v>
      </c>
      <c r="O519" s="55">
        <v>2</v>
      </c>
      <c r="T519" s="60">
        <v>6</v>
      </c>
      <c r="U519" s="1">
        <v>3</v>
      </c>
      <c r="V519" s="4" t="s">
        <v>2638</v>
      </c>
      <c r="AL519" s="60" t="s">
        <v>30</v>
      </c>
    </row>
    <row r="520" spans="1:48" ht="24" x14ac:dyDescent="0.2">
      <c r="A520" s="1" t="s">
        <v>2388</v>
      </c>
      <c r="B520" s="1" t="s">
        <v>2591</v>
      </c>
      <c r="C520" s="1" t="s">
        <v>5705</v>
      </c>
      <c r="D520" s="48">
        <v>22</v>
      </c>
      <c r="E520" s="1">
        <v>2</v>
      </c>
      <c r="F520" s="1" t="s">
        <v>2393</v>
      </c>
      <c r="G520" s="1" t="s">
        <v>2592</v>
      </c>
      <c r="I520" s="1" t="s">
        <v>104</v>
      </c>
      <c r="K520" s="1" t="s">
        <v>2593</v>
      </c>
      <c r="O520" s="55">
        <v>4</v>
      </c>
      <c r="T520" s="60">
        <v>3</v>
      </c>
      <c r="V520" s="4" t="s">
        <v>2594</v>
      </c>
      <c r="AL520" s="60" t="s">
        <v>30</v>
      </c>
    </row>
    <row r="521" spans="1:48" ht="24" x14ac:dyDescent="0.2">
      <c r="A521" s="1" t="s">
        <v>2388</v>
      </c>
      <c r="B521" s="1" t="s">
        <v>2457</v>
      </c>
      <c r="C521" s="1" t="s">
        <v>5705</v>
      </c>
      <c r="D521" s="48">
        <v>23</v>
      </c>
      <c r="E521" s="1">
        <v>2</v>
      </c>
      <c r="F521" s="1" t="s">
        <v>2393</v>
      </c>
      <c r="G521" s="1" t="s">
        <v>2458</v>
      </c>
      <c r="I521" s="1" t="s">
        <v>104</v>
      </c>
      <c r="K521" s="1" t="s">
        <v>2428</v>
      </c>
      <c r="O521" s="55">
        <v>1</v>
      </c>
      <c r="T521" s="60">
        <v>4</v>
      </c>
      <c r="V521" s="4" t="s">
        <v>2459</v>
      </c>
      <c r="W521" s="4" t="s">
        <v>2460</v>
      </c>
      <c r="AL521" s="60" t="s">
        <v>30</v>
      </c>
    </row>
    <row r="522" spans="1:48" ht="48" x14ac:dyDescent="0.2">
      <c r="A522" s="1" t="s">
        <v>2388</v>
      </c>
      <c r="B522" s="1" t="s">
        <v>2432</v>
      </c>
      <c r="C522" s="1" t="s">
        <v>5705</v>
      </c>
      <c r="D522" s="48">
        <v>24</v>
      </c>
      <c r="E522" s="1">
        <v>4</v>
      </c>
      <c r="F522" s="1" t="s">
        <v>2393</v>
      </c>
      <c r="G522" s="1" t="s">
        <v>2433</v>
      </c>
      <c r="I522" s="1" t="s">
        <v>82</v>
      </c>
      <c r="V522" s="4" t="s">
        <v>2434</v>
      </c>
      <c r="W522" s="4" t="s">
        <v>2435</v>
      </c>
      <c r="AL522" s="60" t="s">
        <v>30</v>
      </c>
    </row>
    <row r="523" spans="1:48" ht="84" x14ac:dyDescent="0.2">
      <c r="A523" s="111" t="s">
        <v>2388</v>
      </c>
      <c r="B523" s="111" t="s">
        <v>2420</v>
      </c>
      <c r="C523" s="111" t="s">
        <v>5705</v>
      </c>
      <c r="D523" s="112">
        <v>25</v>
      </c>
      <c r="E523" s="111">
        <v>1</v>
      </c>
      <c r="F523" s="111" t="s">
        <v>2413</v>
      </c>
      <c r="G523" s="111" t="s">
        <v>2421</v>
      </c>
      <c r="H523" s="1" t="s">
        <v>26</v>
      </c>
      <c r="I523" s="1" t="s">
        <v>88</v>
      </c>
      <c r="K523" s="1" t="s">
        <v>2103</v>
      </c>
      <c r="P523" s="56">
        <v>2</v>
      </c>
      <c r="Q523" s="57">
        <v>2</v>
      </c>
      <c r="R523" s="58">
        <v>2</v>
      </c>
      <c r="S523" s="59">
        <v>3</v>
      </c>
      <c r="V523" s="4" t="s">
        <v>2422</v>
      </c>
      <c r="AL523" s="60" t="s">
        <v>30</v>
      </c>
    </row>
    <row r="524" spans="1:48" ht="60" x14ac:dyDescent="0.2">
      <c r="A524" s="1" t="s">
        <v>2388</v>
      </c>
      <c r="B524" s="1" t="s">
        <v>2500</v>
      </c>
      <c r="C524" s="1" t="s">
        <v>5705</v>
      </c>
      <c r="D524" s="48">
        <v>26</v>
      </c>
      <c r="E524" s="1">
        <v>2</v>
      </c>
      <c r="F524" s="1" t="s">
        <v>2413</v>
      </c>
      <c r="G524" s="1" t="s">
        <v>2501</v>
      </c>
      <c r="I524" s="1" t="s">
        <v>88</v>
      </c>
      <c r="K524" s="1" t="s">
        <v>2103</v>
      </c>
      <c r="P524" s="56">
        <v>2</v>
      </c>
      <c r="Q524" s="57">
        <v>2</v>
      </c>
      <c r="R524" s="58">
        <v>1</v>
      </c>
      <c r="S524" s="59">
        <v>2</v>
      </c>
      <c r="V524" s="4" t="s">
        <v>2502</v>
      </c>
      <c r="W524" s="4" t="s">
        <v>2503</v>
      </c>
      <c r="AL524" s="60" t="s">
        <v>30</v>
      </c>
    </row>
    <row r="525" spans="1:48" ht="24" x14ac:dyDescent="0.2">
      <c r="A525" s="1" t="s">
        <v>2388</v>
      </c>
      <c r="B525" s="1" t="s">
        <v>2611</v>
      </c>
      <c r="C525" s="1" t="s">
        <v>5705</v>
      </c>
      <c r="D525" s="48">
        <v>27</v>
      </c>
      <c r="E525" s="1">
        <v>4</v>
      </c>
      <c r="F525" s="1" t="s">
        <v>2413</v>
      </c>
      <c r="G525" s="1" t="s">
        <v>2612</v>
      </c>
      <c r="I525" s="1" t="s">
        <v>94</v>
      </c>
      <c r="K525" s="1" t="s">
        <v>145</v>
      </c>
      <c r="N525" s="54">
        <v>34</v>
      </c>
      <c r="O525" s="55">
        <v>1</v>
      </c>
      <c r="Q525" s="57">
        <v>3</v>
      </c>
      <c r="R525" s="58">
        <v>1</v>
      </c>
      <c r="S525" s="59">
        <v>5</v>
      </c>
      <c r="V525" s="4" t="s">
        <v>2613</v>
      </c>
      <c r="W525" s="4" t="s">
        <v>2614</v>
      </c>
      <c r="AL525" s="60" t="s">
        <v>30</v>
      </c>
    </row>
    <row r="526" spans="1:48" ht="24" x14ac:dyDescent="0.2">
      <c r="A526" s="1" t="s">
        <v>2388</v>
      </c>
      <c r="B526" s="1" t="s">
        <v>2504</v>
      </c>
      <c r="C526" s="1" t="s">
        <v>5705</v>
      </c>
      <c r="D526" s="48">
        <v>28</v>
      </c>
      <c r="E526" s="1">
        <v>2</v>
      </c>
      <c r="F526" s="1" t="s">
        <v>2413</v>
      </c>
      <c r="G526" s="1" t="s">
        <v>2505</v>
      </c>
      <c r="I526" s="1" t="s">
        <v>104</v>
      </c>
      <c r="K526" s="1" t="s">
        <v>2506</v>
      </c>
      <c r="O526" s="55">
        <v>4</v>
      </c>
      <c r="T526" s="60">
        <v>4</v>
      </c>
      <c r="V526" s="4" t="s">
        <v>2507</v>
      </c>
      <c r="W526" s="4" t="s">
        <v>2508</v>
      </c>
      <c r="AL526" s="60" t="s">
        <v>30</v>
      </c>
    </row>
    <row r="527" spans="1:48" ht="24" x14ac:dyDescent="0.2">
      <c r="A527" s="1" t="s">
        <v>2388</v>
      </c>
      <c r="B527" s="1" t="s">
        <v>2409</v>
      </c>
      <c r="C527" s="1" t="s">
        <v>5705</v>
      </c>
      <c r="D527" s="48">
        <v>29</v>
      </c>
      <c r="E527" s="1">
        <v>4</v>
      </c>
      <c r="F527" s="1" t="s">
        <v>2413</v>
      </c>
      <c r="G527" s="1" t="s">
        <v>2410</v>
      </c>
      <c r="I527" s="1" t="s">
        <v>82</v>
      </c>
      <c r="L527" s="2" t="s">
        <v>155</v>
      </c>
      <c r="V527" s="4" t="s">
        <v>2411</v>
      </c>
      <c r="W527" s="4" t="s">
        <v>2412</v>
      </c>
      <c r="AL527" s="60" t="s">
        <v>30</v>
      </c>
      <c r="AU527" s="1" t="s">
        <v>6200</v>
      </c>
    </row>
    <row r="528" spans="1:48" ht="24" x14ac:dyDescent="0.2">
      <c r="A528" s="111" t="s">
        <v>2388</v>
      </c>
      <c r="B528" s="111" t="s">
        <v>2574</v>
      </c>
      <c r="C528" s="111" t="s">
        <v>5705</v>
      </c>
      <c r="D528" s="112">
        <v>30</v>
      </c>
      <c r="E528" s="111">
        <v>3</v>
      </c>
      <c r="F528" s="111" t="s">
        <v>2402</v>
      </c>
      <c r="G528" s="111" t="s">
        <v>2575</v>
      </c>
      <c r="I528" s="1" t="s">
        <v>94</v>
      </c>
      <c r="K528" s="1" t="s">
        <v>2576</v>
      </c>
      <c r="L528" s="2" t="s">
        <v>155</v>
      </c>
      <c r="N528" s="54">
        <v>15</v>
      </c>
      <c r="O528" s="55">
        <v>1</v>
      </c>
      <c r="Q528" s="57">
        <v>2</v>
      </c>
      <c r="R528" s="58">
        <v>1</v>
      </c>
      <c r="S528" s="59">
        <v>2</v>
      </c>
      <c r="V528" s="4" t="s">
        <v>2577</v>
      </c>
      <c r="W528" s="4" t="s">
        <v>2578</v>
      </c>
      <c r="AL528" s="60" t="s">
        <v>30</v>
      </c>
    </row>
    <row r="529" spans="1:38" ht="24" x14ac:dyDescent="0.2">
      <c r="A529" s="1" t="s">
        <v>2388</v>
      </c>
      <c r="B529" s="1" t="s">
        <v>2397</v>
      </c>
      <c r="C529" s="1" t="s">
        <v>5705</v>
      </c>
      <c r="D529" s="48">
        <v>31</v>
      </c>
      <c r="E529" s="1">
        <v>3</v>
      </c>
      <c r="F529" s="1" t="s">
        <v>2402</v>
      </c>
      <c r="G529" s="1" t="s">
        <v>2398</v>
      </c>
      <c r="I529" s="1" t="s">
        <v>94</v>
      </c>
      <c r="K529" s="1" t="s">
        <v>2399</v>
      </c>
      <c r="L529" s="2" t="s">
        <v>1233</v>
      </c>
      <c r="N529" s="54">
        <v>33</v>
      </c>
      <c r="O529" s="55">
        <v>2</v>
      </c>
      <c r="Q529" s="57">
        <v>7</v>
      </c>
      <c r="R529" s="58">
        <v>3</v>
      </c>
      <c r="S529" s="59">
        <v>5</v>
      </c>
      <c r="V529" s="4" t="s">
        <v>2400</v>
      </c>
      <c r="W529" s="4" t="s">
        <v>2401</v>
      </c>
      <c r="AL529" s="60" t="s">
        <v>30</v>
      </c>
    </row>
    <row r="530" spans="1:38" ht="24" x14ac:dyDescent="0.2">
      <c r="A530" s="1" t="s">
        <v>2388</v>
      </c>
      <c r="B530" s="1" t="s">
        <v>2607</v>
      </c>
      <c r="C530" s="1" t="s">
        <v>5705</v>
      </c>
      <c r="D530" s="48">
        <v>32</v>
      </c>
      <c r="E530" s="1">
        <v>2</v>
      </c>
      <c r="F530" s="1" t="s">
        <v>2402</v>
      </c>
      <c r="G530" s="1" t="s">
        <v>2608</v>
      </c>
      <c r="I530" s="1" t="s">
        <v>94</v>
      </c>
      <c r="K530" s="1" t="s">
        <v>2399</v>
      </c>
      <c r="N530" s="54">
        <v>30</v>
      </c>
      <c r="O530" s="55">
        <v>3</v>
      </c>
      <c r="Q530" s="57">
        <v>4</v>
      </c>
      <c r="R530" s="58">
        <v>1</v>
      </c>
      <c r="S530" s="59">
        <v>6</v>
      </c>
      <c r="V530" s="4" t="s">
        <v>2609</v>
      </c>
      <c r="W530" s="4" t="s">
        <v>2610</v>
      </c>
      <c r="AL530" s="60" t="s">
        <v>30</v>
      </c>
    </row>
    <row r="531" spans="1:38" ht="60" x14ac:dyDescent="0.2">
      <c r="A531" s="1" t="s">
        <v>2388</v>
      </c>
      <c r="B531" s="1" t="s">
        <v>2633</v>
      </c>
      <c r="C531" s="1" t="s">
        <v>5705</v>
      </c>
      <c r="D531" s="48">
        <v>33</v>
      </c>
      <c r="E531" s="1">
        <v>1</v>
      </c>
      <c r="F531" s="1" t="s">
        <v>2402</v>
      </c>
      <c r="G531" s="1" t="s">
        <v>2634</v>
      </c>
      <c r="I531" s="1" t="s">
        <v>104</v>
      </c>
      <c r="K531" s="1" t="s">
        <v>2628</v>
      </c>
      <c r="O531" s="55">
        <v>3</v>
      </c>
      <c r="T531" s="60">
        <v>11</v>
      </c>
      <c r="U531" s="1">
        <v>3</v>
      </c>
      <c r="V531" s="4" t="s">
        <v>2635</v>
      </c>
      <c r="AL531" s="60" t="s">
        <v>30</v>
      </c>
    </row>
    <row r="532" spans="1:38" ht="60" x14ac:dyDescent="0.2">
      <c r="A532" s="1" t="s">
        <v>2388</v>
      </c>
      <c r="B532" s="1" t="s">
        <v>2626</v>
      </c>
      <c r="C532" s="1" t="s">
        <v>5705</v>
      </c>
      <c r="D532" s="48">
        <v>34</v>
      </c>
      <c r="E532" s="1">
        <v>1</v>
      </c>
      <c r="F532" s="1" t="s">
        <v>2402</v>
      </c>
      <c r="G532" s="1" t="s">
        <v>2627</v>
      </c>
      <c r="I532" s="1" t="s">
        <v>104</v>
      </c>
      <c r="K532" s="1" t="s">
        <v>2628</v>
      </c>
      <c r="O532" s="55">
        <v>2</v>
      </c>
      <c r="T532" s="60">
        <v>7</v>
      </c>
      <c r="U532" s="1">
        <v>2</v>
      </c>
      <c r="V532" s="4" t="s">
        <v>2629</v>
      </c>
      <c r="AL532" s="60" t="s">
        <v>30</v>
      </c>
    </row>
    <row r="533" spans="1:38" ht="60" x14ac:dyDescent="0.2">
      <c r="A533" s="1" t="s">
        <v>2388</v>
      </c>
      <c r="B533" s="1" t="s">
        <v>2630</v>
      </c>
      <c r="C533" s="1" t="s">
        <v>5705</v>
      </c>
      <c r="D533" s="48">
        <v>35</v>
      </c>
      <c r="E533" s="1">
        <v>1</v>
      </c>
      <c r="F533" s="1" t="s">
        <v>2402</v>
      </c>
      <c r="G533" s="1" t="s">
        <v>2631</v>
      </c>
      <c r="I533" s="1" t="s">
        <v>104</v>
      </c>
      <c r="K533" s="1" t="s">
        <v>2628</v>
      </c>
      <c r="O533" s="55">
        <v>1</v>
      </c>
      <c r="T533" s="60">
        <v>3</v>
      </c>
      <c r="U533" s="1">
        <v>1</v>
      </c>
      <c r="V533" s="4" t="s">
        <v>2632</v>
      </c>
      <c r="AL533" s="60" t="s">
        <v>30</v>
      </c>
    </row>
    <row r="534" spans="1:38" ht="24" x14ac:dyDescent="0.2">
      <c r="A534" s="1" t="s">
        <v>2388</v>
      </c>
      <c r="B534" s="1" t="s">
        <v>2566</v>
      </c>
      <c r="C534" s="1" t="s">
        <v>5705</v>
      </c>
      <c r="D534" s="48">
        <v>36</v>
      </c>
      <c r="E534" s="1">
        <v>2</v>
      </c>
      <c r="F534" s="1" t="s">
        <v>2402</v>
      </c>
      <c r="G534" s="1" t="s">
        <v>2567</v>
      </c>
      <c r="I534" s="1" t="s">
        <v>82</v>
      </c>
      <c r="V534" s="4" t="s">
        <v>2568</v>
      </c>
      <c r="W534" s="4" t="s">
        <v>2569</v>
      </c>
      <c r="AL534" s="60" t="s">
        <v>30</v>
      </c>
    </row>
    <row r="535" spans="1:38" ht="36" x14ac:dyDescent="0.2">
      <c r="A535" s="111" t="s">
        <v>2388</v>
      </c>
      <c r="B535" s="111" t="s">
        <v>2595</v>
      </c>
      <c r="C535" s="111" t="s">
        <v>5705</v>
      </c>
      <c r="D535" s="112">
        <v>37</v>
      </c>
      <c r="E535" s="111">
        <v>3</v>
      </c>
      <c r="F535" s="111" t="s">
        <v>2431</v>
      </c>
      <c r="G535" s="111" t="s">
        <v>2596</v>
      </c>
      <c r="I535" s="1" t="s">
        <v>94</v>
      </c>
      <c r="K535" s="1" t="s">
        <v>2525</v>
      </c>
      <c r="N535" s="54">
        <v>28</v>
      </c>
      <c r="O535" s="55">
        <v>3</v>
      </c>
      <c r="Q535" s="57">
        <v>1</v>
      </c>
      <c r="R535" s="58">
        <v>0</v>
      </c>
      <c r="S535" s="59">
        <v>2</v>
      </c>
      <c r="V535" s="4" t="s">
        <v>2597</v>
      </c>
      <c r="W535" s="4" t="s">
        <v>2598</v>
      </c>
      <c r="AL535" s="60" t="s">
        <v>30</v>
      </c>
    </row>
    <row r="536" spans="1:38" ht="24" x14ac:dyDescent="0.2">
      <c r="A536" s="1" t="s">
        <v>2388</v>
      </c>
      <c r="B536" s="1" t="s">
        <v>2426</v>
      </c>
      <c r="C536" s="1" t="s">
        <v>5705</v>
      </c>
      <c r="D536" s="48">
        <v>38</v>
      </c>
      <c r="E536" s="1">
        <v>3</v>
      </c>
      <c r="F536" s="1" t="s">
        <v>2431</v>
      </c>
      <c r="G536" s="1" t="s">
        <v>2427</v>
      </c>
      <c r="I536" s="1" t="s">
        <v>104</v>
      </c>
      <c r="K536" s="1" t="s">
        <v>2428</v>
      </c>
      <c r="L536" s="2" t="s">
        <v>155</v>
      </c>
      <c r="O536" s="55">
        <v>2</v>
      </c>
      <c r="T536" s="60">
        <v>2</v>
      </c>
      <c r="V536" s="4" t="s">
        <v>2429</v>
      </c>
      <c r="W536" s="4" t="s">
        <v>2430</v>
      </c>
      <c r="AL536" s="60" t="s">
        <v>30</v>
      </c>
    </row>
    <row r="537" spans="1:38" ht="24" x14ac:dyDescent="0.2">
      <c r="A537" s="1" t="s">
        <v>2388</v>
      </c>
      <c r="B537" s="1" t="s">
        <v>2539</v>
      </c>
      <c r="C537" s="1" t="s">
        <v>5705</v>
      </c>
      <c r="D537" s="48">
        <v>39</v>
      </c>
      <c r="E537" s="1">
        <v>2</v>
      </c>
      <c r="F537" s="1" t="s">
        <v>2431</v>
      </c>
      <c r="G537" s="1" t="s">
        <v>2540</v>
      </c>
      <c r="I537" s="1" t="s">
        <v>104</v>
      </c>
      <c r="K537" s="1" t="s">
        <v>2428</v>
      </c>
      <c r="L537" s="2" t="s">
        <v>331</v>
      </c>
      <c r="O537" s="55">
        <v>3</v>
      </c>
      <c r="T537" s="60">
        <v>1</v>
      </c>
      <c r="V537" s="4" t="s">
        <v>2541</v>
      </c>
      <c r="W537" s="4" t="s">
        <v>2542</v>
      </c>
      <c r="AL537" s="60" t="s">
        <v>30</v>
      </c>
    </row>
    <row r="538" spans="1:38" ht="36" x14ac:dyDescent="0.2">
      <c r="A538" s="1" t="s">
        <v>2388</v>
      </c>
      <c r="B538" s="1" t="s">
        <v>2532</v>
      </c>
      <c r="C538" s="1" t="s">
        <v>5705</v>
      </c>
      <c r="D538" s="48">
        <v>40</v>
      </c>
      <c r="E538" s="1">
        <v>1</v>
      </c>
      <c r="F538" s="1" t="s">
        <v>2431</v>
      </c>
      <c r="G538" s="1" t="s">
        <v>2533</v>
      </c>
      <c r="I538" s="1" t="s">
        <v>82</v>
      </c>
      <c r="V538" s="4" t="s">
        <v>2534</v>
      </c>
      <c r="W538" s="4" t="s">
        <v>2535</v>
      </c>
      <c r="AL538" s="60" t="s">
        <v>30</v>
      </c>
    </row>
    <row r="539" spans="1:38" ht="48" x14ac:dyDescent="0.2">
      <c r="A539" s="1" t="s">
        <v>2388</v>
      </c>
      <c r="B539" s="1" t="s">
        <v>2520</v>
      </c>
      <c r="C539" s="1" t="s">
        <v>5705</v>
      </c>
      <c r="D539" s="48">
        <v>41</v>
      </c>
      <c r="E539" s="1">
        <v>2</v>
      </c>
      <c r="F539" s="1" t="s">
        <v>2431</v>
      </c>
      <c r="G539" s="1" t="s">
        <v>2521</v>
      </c>
      <c r="I539" s="1" t="s">
        <v>82</v>
      </c>
      <c r="V539" s="4" t="s">
        <v>2522</v>
      </c>
      <c r="AL539" s="60" t="s">
        <v>30</v>
      </c>
    </row>
    <row r="540" spans="1:38" ht="36" x14ac:dyDescent="0.2">
      <c r="A540" s="111" t="s">
        <v>2388</v>
      </c>
      <c r="B540" s="111" t="s">
        <v>2656</v>
      </c>
      <c r="C540" s="111" t="s">
        <v>5705</v>
      </c>
      <c r="D540" s="112">
        <v>42</v>
      </c>
      <c r="E540" s="111">
        <v>3</v>
      </c>
      <c r="F540" s="111" t="s">
        <v>2527</v>
      </c>
      <c r="G540" s="111" t="s">
        <v>2657</v>
      </c>
      <c r="I540" s="1" t="s">
        <v>94</v>
      </c>
      <c r="K540" s="1" t="s">
        <v>2525</v>
      </c>
      <c r="N540" s="54">
        <v>17</v>
      </c>
      <c r="O540" s="55">
        <v>2</v>
      </c>
      <c r="Q540" s="57">
        <v>3</v>
      </c>
      <c r="R540" s="58">
        <v>2</v>
      </c>
      <c r="S540" s="59">
        <v>2</v>
      </c>
      <c r="V540" s="4" t="s">
        <v>2659</v>
      </c>
      <c r="AL540" s="60" t="s">
        <v>30</v>
      </c>
    </row>
    <row r="541" spans="1:38" ht="36" x14ac:dyDescent="0.2">
      <c r="A541" s="1" t="s">
        <v>2388</v>
      </c>
      <c r="B541" s="1" t="s">
        <v>2523</v>
      </c>
      <c r="C541" s="1" t="s">
        <v>5705</v>
      </c>
      <c r="D541" s="48">
        <v>43</v>
      </c>
      <c r="E541" s="1">
        <v>2</v>
      </c>
      <c r="F541" s="1" t="s">
        <v>2527</v>
      </c>
      <c r="G541" s="1" t="s">
        <v>2524</v>
      </c>
      <c r="I541" s="1" t="s">
        <v>94</v>
      </c>
      <c r="K541" s="1" t="s">
        <v>2525</v>
      </c>
      <c r="N541" s="54">
        <v>24</v>
      </c>
      <c r="O541" s="55">
        <v>3</v>
      </c>
      <c r="Q541" s="57">
        <v>3</v>
      </c>
      <c r="R541" s="58">
        <v>3</v>
      </c>
      <c r="S541" s="59">
        <v>3</v>
      </c>
      <c r="V541" s="4" t="s">
        <v>2526</v>
      </c>
      <c r="AL541" s="60" t="s">
        <v>30</v>
      </c>
    </row>
    <row r="542" spans="1:38" ht="36" x14ac:dyDescent="0.2">
      <c r="A542" s="1" t="s">
        <v>2388</v>
      </c>
      <c r="B542" s="1" t="s">
        <v>2645</v>
      </c>
      <c r="C542" s="1" t="s">
        <v>5705</v>
      </c>
      <c r="D542" s="48">
        <v>44</v>
      </c>
      <c r="E542" s="1">
        <v>1</v>
      </c>
      <c r="F542" s="1" t="s">
        <v>2527</v>
      </c>
      <c r="G542" s="1" t="s">
        <v>2646</v>
      </c>
      <c r="I542" s="1" t="s">
        <v>94</v>
      </c>
      <c r="K542" s="1" t="s">
        <v>2525</v>
      </c>
      <c r="L542" s="2" t="s">
        <v>2647</v>
      </c>
      <c r="N542" s="54">
        <v>40</v>
      </c>
      <c r="O542" s="55">
        <v>4</v>
      </c>
      <c r="Q542" s="57">
        <v>5</v>
      </c>
      <c r="R542" s="58">
        <v>1</v>
      </c>
      <c r="S542" s="59">
        <v>5</v>
      </c>
      <c r="V542" s="4" t="s">
        <v>2648</v>
      </c>
      <c r="AL542" s="60" t="s">
        <v>30</v>
      </c>
    </row>
    <row r="543" spans="1:38" ht="36" x14ac:dyDescent="0.2">
      <c r="A543" s="1" t="s">
        <v>2388</v>
      </c>
      <c r="B543" s="1" t="s">
        <v>2536</v>
      </c>
      <c r="C543" s="1" t="s">
        <v>5705</v>
      </c>
      <c r="D543" s="48">
        <v>45</v>
      </c>
      <c r="E543" s="1">
        <v>2</v>
      </c>
      <c r="F543" s="1" t="s">
        <v>2527</v>
      </c>
      <c r="G543" s="1" t="s">
        <v>2537</v>
      </c>
      <c r="I543" s="1" t="s">
        <v>82</v>
      </c>
      <c r="V543" s="4" t="s">
        <v>2538</v>
      </c>
      <c r="W543" s="4" t="s">
        <v>2508</v>
      </c>
      <c r="AL543" s="60" t="s">
        <v>30</v>
      </c>
    </row>
    <row r="544" spans="1:38" ht="24" x14ac:dyDescent="0.2">
      <c r="A544" s="111" t="s">
        <v>2388</v>
      </c>
      <c r="B544" s="111" t="s">
        <v>2587</v>
      </c>
      <c r="C544" s="111" t="s">
        <v>5705</v>
      </c>
      <c r="D544" s="112">
        <v>46</v>
      </c>
      <c r="E544" s="111">
        <v>3</v>
      </c>
      <c r="F544" s="111" t="s">
        <v>2531</v>
      </c>
      <c r="G544" s="111" t="s">
        <v>2588</v>
      </c>
      <c r="I544" s="1" t="s">
        <v>104</v>
      </c>
      <c r="K544" s="1" t="s">
        <v>105</v>
      </c>
      <c r="O544" s="55">
        <v>4</v>
      </c>
      <c r="T544" s="60">
        <v>6</v>
      </c>
      <c r="V544" s="4" t="s">
        <v>2589</v>
      </c>
      <c r="W544" s="4" t="s">
        <v>2590</v>
      </c>
      <c r="AL544" s="60" t="s">
        <v>30</v>
      </c>
    </row>
    <row r="545" spans="1:38" ht="24" x14ac:dyDescent="0.2">
      <c r="A545" s="1" t="s">
        <v>2388</v>
      </c>
      <c r="B545" s="1" t="s">
        <v>2605</v>
      </c>
      <c r="C545" s="1" t="s">
        <v>5705</v>
      </c>
      <c r="D545" s="48">
        <v>47</v>
      </c>
      <c r="E545" s="1">
        <v>3</v>
      </c>
      <c r="F545" s="1" t="s">
        <v>2531</v>
      </c>
      <c r="G545" s="1" t="s">
        <v>2606</v>
      </c>
      <c r="I545" s="1" t="s">
        <v>104</v>
      </c>
      <c r="K545" s="1" t="s">
        <v>105</v>
      </c>
      <c r="O545" s="55">
        <v>3</v>
      </c>
      <c r="T545" s="60">
        <v>3</v>
      </c>
      <c r="V545" s="4" t="s">
        <v>331</v>
      </c>
      <c r="W545" s="4" t="s">
        <v>2590</v>
      </c>
      <c r="AL545" s="60" t="s">
        <v>30</v>
      </c>
    </row>
    <row r="546" spans="1:38" ht="36" x14ac:dyDescent="0.2">
      <c r="A546" s="1" t="s">
        <v>2388</v>
      </c>
      <c r="B546" s="1" t="s">
        <v>2528</v>
      </c>
      <c r="C546" s="1" t="s">
        <v>5705</v>
      </c>
      <c r="D546" s="48">
        <v>48</v>
      </c>
      <c r="E546" s="1">
        <v>2</v>
      </c>
      <c r="F546" s="1" t="s">
        <v>2531</v>
      </c>
      <c r="G546" s="1" t="s">
        <v>2529</v>
      </c>
      <c r="I546" s="1" t="s">
        <v>82</v>
      </c>
      <c r="V546" s="4" t="s">
        <v>2530</v>
      </c>
      <c r="AL546" s="60" t="s">
        <v>30</v>
      </c>
    </row>
    <row r="547" spans="1:38" ht="24" x14ac:dyDescent="0.2">
      <c r="A547" s="111" t="s">
        <v>2388</v>
      </c>
      <c r="B547" s="111" t="s">
        <v>2546</v>
      </c>
      <c r="C547" s="111" t="s">
        <v>5705</v>
      </c>
      <c r="D547" s="112">
        <v>49</v>
      </c>
      <c r="E547" s="111">
        <v>3</v>
      </c>
      <c r="F547" s="111" t="s">
        <v>2451</v>
      </c>
      <c r="G547" s="111" t="s">
        <v>2547</v>
      </c>
      <c r="I547" s="1" t="s">
        <v>94</v>
      </c>
      <c r="K547" s="1" t="s">
        <v>576</v>
      </c>
      <c r="N547" s="54">
        <v>25</v>
      </c>
      <c r="O547" s="55">
        <v>3</v>
      </c>
      <c r="Q547" s="57">
        <v>4</v>
      </c>
      <c r="R547" s="58">
        <v>1</v>
      </c>
      <c r="S547" s="59">
        <v>5</v>
      </c>
      <c r="V547" s="4" t="s">
        <v>2548</v>
      </c>
      <c r="AL547" s="60" t="s">
        <v>30</v>
      </c>
    </row>
    <row r="548" spans="1:38" ht="24" x14ac:dyDescent="0.2">
      <c r="A548" s="1" t="s">
        <v>2388</v>
      </c>
      <c r="B548" s="1" t="s">
        <v>2447</v>
      </c>
      <c r="C548" s="1" t="s">
        <v>5705</v>
      </c>
      <c r="D548" s="48">
        <v>50</v>
      </c>
      <c r="E548" s="1">
        <v>3</v>
      </c>
      <c r="F548" s="1" t="s">
        <v>2451</v>
      </c>
      <c r="G548" s="1" t="s">
        <v>2448</v>
      </c>
      <c r="I548" s="1" t="s">
        <v>94</v>
      </c>
      <c r="K548" s="1" t="s">
        <v>95</v>
      </c>
      <c r="N548" s="54">
        <v>18</v>
      </c>
      <c r="O548" s="55">
        <v>1</v>
      </c>
      <c r="Q548" s="57">
        <v>1</v>
      </c>
      <c r="R548" s="58">
        <v>1</v>
      </c>
      <c r="S548" s="59">
        <v>1</v>
      </c>
      <c r="V548" s="4" t="s">
        <v>2449</v>
      </c>
      <c r="W548" s="4" t="s">
        <v>2450</v>
      </c>
      <c r="AL548" s="60" t="s">
        <v>30</v>
      </c>
    </row>
    <row r="549" spans="1:38" ht="36" x14ac:dyDescent="0.2">
      <c r="A549" s="1" t="s">
        <v>2388</v>
      </c>
      <c r="B549" s="1" t="s">
        <v>2649</v>
      </c>
      <c r="C549" s="1" t="s">
        <v>5705</v>
      </c>
      <c r="D549" s="48">
        <v>51</v>
      </c>
      <c r="E549" s="1">
        <v>2</v>
      </c>
      <c r="F549" s="1" t="s">
        <v>2451</v>
      </c>
      <c r="G549" s="1" t="s">
        <v>2650</v>
      </c>
      <c r="I549" s="1" t="s">
        <v>82</v>
      </c>
      <c r="V549" s="4" t="s">
        <v>2651</v>
      </c>
      <c r="W549" s="4" t="s">
        <v>2652</v>
      </c>
      <c r="AL549" s="60" t="s">
        <v>30</v>
      </c>
    </row>
    <row r="550" spans="1:38" ht="24" x14ac:dyDescent="0.2">
      <c r="A550" s="111" t="s">
        <v>2388</v>
      </c>
      <c r="B550" s="111" t="s">
        <v>2615</v>
      </c>
      <c r="C550" s="111" t="s">
        <v>5705</v>
      </c>
      <c r="D550" s="112">
        <v>52</v>
      </c>
      <c r="E550" s="111">
        <v>3</v>
      </c>
      <c r="F550" s="111" t="s">
        <v>2456</v>
      </c>
      <c r="G550" s="111" t="s">
        <v>2616</v>
      </c>
      <c r="I550" s="1" t="s">
        <v>94</v>
      </c>
      <c r="K550" s="1" t="s">
        <v>145</v>
      </c>
      <c r="L550" s="2" t="s">
        <v>2559</v>
      </c>
      <c r="N550" s="54">
        <v>35</v>
      </c>
      <c r="O550" s="55">
        <v>2</v>
      </c>
      <c r="Q550" s="57">
        <v>3</v>
      </c>
      <c r="R550" s="58">
        <v>2</v>
      </c>
      <c r="S550" s="59">
        <v>4</v>
      </c>
      <c r="V550" s="4" t="s">
        <v>112</v>
      </c>
      <c r="W550" s="4" t="s">
        <v>2617</v>
      </c>
      <c r="AL550" s="60" t="s">
        <v>30</v>
      </c>
    </row>
    <row r="551" spans="1:38" ht="24" x14ac:dyDescent="0.2">
      <c r="A551" s="1" t="s">
        <v>2388</v>
      </c>
      <c r="B551" s="1" t="s">
        <v>2452</v>
      </c>
      <c r="C551" s="1" t="s">
        <v>5705</v>
      </c>
      <c r="D551" s="48">
        <v>53</v>
      </c>
      <c r="E551" s="1">
        <v>2</v>
      </c>
      <c r="F551" s="1" t="s">
        <v>2456</v>
      </c>
      <c r="G551" s="1" t="s">
        <v>2453</v>
      </c>
      <c r="I551" s="1" t="s">
        <v>94</v>
      </c>
      <c r="K551" s="1" t="s">
        <v>145</v>
      </c>
      <c r="N551" s="54">
        <v>27</v>
      </c>
      <c r="O551" s="55">
        <v>3</v>
      </c>
      <c r="Q551" s="57">
        <v>4</v>
      </c>
      <c r="R551" s="58">
        <v>3</v>
      </c>
      <c r="S551" s="59">
        <v>3</v>
      </c>
      <c r="V551" s="4" t="s">
        <v>2454</v>
      </c>
      <c r="W551" s="4" t="s">
        <v>2455</v>
      </c>
      <c r="AL551" s="60" t="s">
        <v>30</v>
      </c>
    </row>
    <row r="552" spans="1:38" ht="36" x14ac:dyDescent="0.2">
      <c r="A552" s="1" t="s">
        <v>2388</v>
      </c>
      <c r="B552" s="1" t="s">
        <v>2549</v>
      </c>
      <c r="C552" s="1" t="s">
        <v>5705</v>
      </c>
      <c r="D552" s="48">
        <v>54</v>
      </c>
      <c r="E552" s="1">
        <v>1</v>
      </c>
      <c r="F552" s="1" t="s">
        <v>2456</v>
      </c>
      <c r="G552" s="1" t="s">
        <v>2550</v>
      </c>
      <c r="I552" s="1" t="s">
        <v>94</v>
      </c>
      <c r="K552" s="1" t="s">
        <v>2551</v>
      </c>
      <c r="N552" s="54">
        <v>38</v>
      </c>
      <c r="O552" s="55">
        <v>4</v>
      </c>
      <c r="Q552" s="57">
        <v>7</v>
      </c>
      <c r="R552" s="58">
        <v>3</v>
      </c>
      <c r="S552" s="59">
        <v>12</v>
      </c>
      <c r="V552" s="4" t="s">
        <v>2552</v>
      </c>
      <c r="AL552" s="60" t="s">
        <v>30</v>
      </c>
    </row>
    <row r="553" spans="1:38" ht="36" x14ac:dyDescent="0.2">
      <c r="A553" s="1" t="s">
        <v>2388</v>
      </c>
      <c r="B553" s="1" t="s">
        <v>2618</v>
      </c>
      <c r="C553" s="1" t="s">
        <v>5705</v>
      </c>
      <c r="D553" s="48">
        <v>55</v>
      </c>
      <c r="E553" s="1">
        <v>2</v>
      </c>
      <c r="F553" s="1" t="s">
        <v>2456</v>
      </c>
      <c r="G553" s="1" t="s">
        <v>2619</v>
      </c>
      <c r="I553" s="1" t="s">
        <v>82</v>
      </c>
      <c r="L553" s="2" t="s">
        <v>2620</v>
      </c>
      <c r="V553" s="4" t="s">
        <v>2621</v>
      </c>
      <c r="AL553" s="60" t="s">
        <v>30</v>
      </c>
    </row>
    <row r="554" spans="1:38" ht="60" x14ac:dyDescent="0.2">
      <c r="A554" s="111" t="s">
        <v>2388</v>
      </c>
      <c r="B554" s="111" t="s">
        <v>2512</v>
      </c>
      <c r="C554" s="111" t="s">
        <v>5705</v>
      </c>
      <c r="D554" s="112">
        <v>56</v>
      </c>
      <c r="E554" s="111">
        <v>1</v>
      </c>
      <c r="F554" s="111" t="s">
        <v>2516</v>
      </c>
      <c r="G554" s="111" t="s">
        <v>2513</v>
      </c>
      <c r="I554" s="1" t="s">
        <v>94</v>
      </c>
      <c r="K554" s="1" t="s">
        <v>2514</v>
      </c>
      <c r="N554" s="54">
        <v>33</v>
      </c>
      <c r="O554" s="55">
        <v>2</v>
      </c>
      <c r="Q554" s="57">
        <v>5</v>
      </c>
      <c r="R554" s="58">
        <v>2</v>
      </c>
      <c r="S554" s="59">
        <v>5</v>
      </c>
      <c r="U554" s="1">
        <v>3</v>
      </c>
      <c r="V554" s="4" t="s">
        <v>2515</v>
      </c>
      <c r="AL554" s="60" t="s">
        <v>30</v>
      </c>
    </row>
    <row r="555" spans="1:38" ht="24" x14ac:dyDescent="0.2">
      <c r="A555" s="1" t="s">
        <v>2388</v>
      </c>
      <c r="B555" s="1" t="s">
        <v>2556</v>
      </c>
      <c r="C555" s="1" t="s">
        <v>5705</v>
      </c>
      <c r="D555" s="48">
        <v>57</v>
      </c>
      <c r="E555" s="1">
        <v>3</v>
      </c>
      <c r="F555" s="1" t="s">
        <v>2516</v>
      </c>
      <c r="G555" s="1" t="s">
        <v>2557</v>
      </c>
      <c r="I555" s="1" t="s">
        <v>94</v>
      </c>
      <c r="K555" s="1" t="s">
        <v>2558</v>
      </c>
      <c r="L555" s="2" t="s">
        <v>2559</v>
      </c>
      <c r="N555" s="54">
        <v>35</v>
      </c>
      <c r="O555" s="55">
        <v>2</v>
      </c>
      <c r="Q555" s="57">
        <v>1</v>
      </c>
      <c r="R555" s="58">
        <v>2</v>
      </c>
      <c r="S555" s="59">
        <v>5</v>
      </c>
      <c r="V555" s="4" t="s">
        <v>2560</v>
      </c>
      <c r="W555" s="4" t="s">
        <v>2430</v>
      </c>
      <c r="AL555" s="60" t="s">
        <v>30</v>
      </c>
    </row>
    <row r="556" spans="1:38" ht="36" x14ac:dyDescent="0.2">
      <c r="A556" s="1" t="s">
        <v>2388</v>
      </c>
      <c r="B556" s="1" t="s">
        <v>2579</v>
      </c>
      <c r="C556" s="1" t="s">
        <v>5705</v>
      </c>
      <c r="D556" s="48">
        <v>58</v>
      </c>
      <c r="E556" s="1">
        <v>2</v>
      </c>
      <c r="F556" s="1" t="s">
        <v>2516</v>
      </c>
      <c r="G556" s="1" t="s">
        <v>2580</v>
      </c>
      <c r="I556" s="1" t="s">
        <v>94</v>
      </c>
      <c r="K556" s="1" t="s">
        <v>2558</v>
      </c>
      <c r="N556" s="54">
        <v>40</v>
      </c>
      <c r="O556" s="55">
        <v>2</v>
      </c>
      <c r="Q556" s="57">
        <v>8</v>
      </c>
      <c r="R556" s="58">
        <v>3</v>
      </c>
      <c r="S556" s="59">
        <v>5</v>
      </c>
      <c r="V556" s="4" t="s">
        <v>2581</v>
      </c>
      <c r="W556" s="4" t="s">
        <v>2582</v>
      </c>
      <c r="AL556" s="60" t="s">
        <v>30</v>
      </c>
    </row>
    <row r="557" spans="1:38" ht="24" x14ac:dyDescent="0.2">
      <c r="A557" s="1" t="s">
        <v>2388</v>
      </c>
      <c r="B557" s="1" t="s">
        <v>2583</v>
      </c>
      <c r="C557" s="1" t="s">
        <v>5705</v>
      </c>
      <c r="D557" s="48">
        <v>59</v>
      </c>
      <c r="E557" s="1">
        <v>2</v>
      </c>
      <c r="F557" s="1" t="s">
        <v>2516</v>
      </c>
      <c r="G557" s="1" t="s">
        <v>2584</v>
      </c>
      <c r="I557" s="1" t="s">
        <v>104</v>
      </c>
      <c r="K557" s="1" t="s">
        <v>2514</v>
      </c>
      <c r="O557" s="55">
        <v>5</v>
      </c>
      <c r="T557" s="60">
        <v>2</v>
      </c>
      <c r="V557" s="4" t="s">
        <v>2585</v>
      </c>
      <c r="W557" s="4" t="s">
        <v>2586</v>
      </c>
      <c r="AL557" s="60" t="s">
        <v>30</v>
      </c>
    </row>
    <row r="558" spans="1:38" ht="36" x14ac:dyDescent="0.2">
      <c r="A558" s="1" t="s">
        <v>2388</v>
      </c>
      <c r="B558" s="1" t="s">
        <v>2639</v>
      </c>
      <c r="C558" s="1" t="s">
        <v>5705</v>
      </c>
      <c r="D558" s="48">
        <v>60</v>
      </c>
      <c r="E558" s="1">
        <v>2</v>
      </c>
      <c r="F558" s="1" t="s">
        <v>2516</v>
      </c>
      <c r="G558" s="1" t="s">
        <v>2640</v>
      </c>
      <c r="I558" s="1" t="s">
        <v>82</v>
      </c>
      <c r="V558" s="4" t="s">
        <v>2641</v>
      </c>
      <c r="AL558" s="60" t="s">
        <v>30</v>
      </c>
    </row>
    <row r="559" spans="1:38" ht="48" x14ac:dyDescent="0.2">
      <c r="A559" s="1" t="s">
        <v>2388</v>
      </c>
      <c r="B559" s="1" t="s">
        <v>2642</v>
      </c>
      <c r="C559" s="1" t="s">
        <v>5705</v>
      </c>
      <c r="D559" s="48">
        <v>61</v>
      </c>
      <c r="E559" s="1">
        <v>1</v>
      </c>
      <c r="F559" s="1" t="s">
        <v>2516</v>
      </c>
      <c r="G559" s="1" t="s">
        <v>2643</v>
      </c>
      <c r="I559" s="1" t="s">
        <v>82</v>
      </c>
      <c r="L559" s="2" t="s">
        <v>2620</v>
      </c>
      <c r="V559" s="4" t="s">
        <v>2644</v>
      </c>
      <c r="AL559" s="60" t="s">
        <v>30</v>
      </c>
    </row>
    <row r="560" spans="1:38" ht="24" x14ac:dyDescent="0.2">
      <c r="A560" s="111" t="s">
        <v>2388</v>
      </c>
      <c r="B560" s="111" t="s">
        <v>2570</v>
      </c>
      <c r="C560" s="111" t="s">
        <v>5705</v>
      </c>
      <c r="D560" s="112">
        <v>62</v>
      </c>
      <c r="E560" s="111">
        <v>3</v>
      </c>
      <c r="F560" s="111" t="s">
        <v>2565</v>
      </c>
      <c r="G560" s="111" t="s">
        <v>2571</v>
      </c>
      <c r="I560" s="1" t="s">
        <v>94</v>
      </c>
      <c r="K560" s="1" t="s">
        <v>2558</v>
      </c>
      <c r="N560" s="54">
        <v>28</v>
      </c>
      <c r="O560" s="55">
        <v>2</v>
      </c>
      <c r="Q560" s="57">
        <v>1</v>
      </c>
      <c r="R560" s="58">
        <v>1</v>
      </c>
      <c r="S560" s="59">
        <v>3</v>
      </c>
      <c r="V560" s="4" t="s">
        <v>2572</v>
      </c>
      <c r="W560" s="4" t="s">
        <v>2573</v>
      </c>
      <c r="AL560" s="60" t="s">
        <v>30</v>
      </c>
    </row>
    <row r="561" spans="1:40" ht="24" x14ac:dyDescent="0.2">
      <c r="A561" s="1" t="s">
        <v>2388</v>
      </c>
      <c r="B561" s="1" t="s">
        <v>2561</v>
      </c>
      <c r="C561" s="1" t="s">
        <v>5705</v>
      </c>
      <c r="D561" s="48">
        <v>63</v>
      </c>
      <c r="E561" s="1">
        <v>3</v>
      </c>
      <c r="F561" s="1" t="s">
        <v>2565</v>
      </c>
      <c r="G561" s="1" t="s">
        <v>2562</v>
      </c>
      <c r="I561" s="1" t="s">
        <v>94</v>
      </c>
      <c r="K561" s="1" t="s">
        <v>2558</v>
      </c>
      <c r="N561" s="54">
        <v>30</v>
      </c>
      <c r="O561" s="55">
        <v>3</v>
      </c>
      <c r="Q561" s="57">
        <v>3</v>
      </c>
      <c r="R561" s="58">
        <v>2</v>
      </c>
      <c r="S561" s="59">
        <v>3</v>
      </c>
      <c r="V561" s="4" t="s">
        <v>2563</v>
      </c>
      <c r="W561" s="4" t="s">
        <v>2564</v>
      </c>
      <c r="AL561" s="60" t="s">
        <v>30</v>
      </c>
    </row>
    <row r="562" spans="1:40" ht="36" x14ac:dyDescent="0.2">
      <c r="A562" s="1" t="s">
        <v>2388</v>
      </c>
      <c r="B562" s="1" t="s">
        <v>2602</v>
      </c>
      <c r="C562" s="1" t="s">
        <v>5705</v>
      </c>
      <c r="D562" s="48">
        <v>64</v>
      </c>
      <c r="E562" s="1">
        <v>2</v>
      </c>
      <c r="F562" s="1" t="s">
        <v>2565</v>
      </c>
      <c r="G562" s="1" t="s">
        <v>2603</v>
      </c>
      <c r="I562" s="1" t="s">
        <v>82</v>
      </c>
      <c r="V562" s="4" t="s">
        <v>2604</v>
      </c>
      <c r="W562" s="4" t="s">
        <v>2564</v>
      </c>
      <c r="AL562" s="60" t="s">
        <v>30</v>
      </c>
    </row>
    <row r="563" spans="1:40" ht="36" x14ac:dyDescent="0.2">
      <c r="A563" s="1" t="s">
        <v>2388</v>
      </c>
      <c r="B563" s="1" t="s">
        <v>2465</v>
      </c>
      <c r="C563" s="1" t="s">
        <v>5705</v>
      </c>
      <c r="D563" s="48">
        <v>65</v>
      </c>
      <c r="E563" s="1">
        <v>1</v>
      </c>
      <c r="F563" s="1" t="s">
        <v>2393</v>
      </c>
      <c r="G563" s="1" t="s">
        <v>2637</v>
      </c>
      <c r="I563" s="1" t="s">
        <v>125</v>
      </c>
      <c r="M563" s="18">
        <v>1</v>
      </c>
      <c r="N563" s="54" t="s">
        <v>9529</v>
      </c>
      <c r="V563" s="4" t="s">
        <v>2466</v>
      </c>
      <c r="X563" s="1" t="s">
        <v>2467</v>
      </c>
      <c r="Y563" s="1" t="s">
        <v>2637</v>
      </c>
      <c r="AA563" s="1" t="s">
        <v>125</v>
      </c>
      <c r="AE563" s="1">
        <v>1</v>
      </c>
      <c r="AF563" s="54" t="s">
        <v>9530</v>
      </c>
      <c r="AL563" s="60" t="s">
        <v>166</v>
      </c>
      <c r="AN563" s="4" t="s">
        <v>2468</v>
      </c>
    </row>
    <row r="564" spans="1:40" ht="60" x14ac:dyDescent="0.2">
      <c r="A564" s="1" t="s">
        <v>2388</v>
      </c>
      <c r="B564" s="1" t="s">
        <v>2469</v>
      </c>
      <c r="C564" s="1" t="s">
        <v>5705</v>
      </c>
      <c r="D564" s="48">
        <v>66</v>
      </c>
      <c r="E564" s="1">
        <v>1</v>
      </c>
      <c r="F564" s="1" t="s">
        <v>2393</v>
      </c>
      <c r="G564" s="1" t="s">
        <v>9606</v>
      </c>
      <c r="I564" s="1" t="s">
        <v>125</v>
      </c>
      <c r="M564" s="18">
        <v>2</v>
      </c>
      <c r="N564" s="54" t="s">
        <v>9529</v>
      </c>
      <c r="Y564" s="1" t="s">
        <v>9606</v>
      </c>
      <c r="AA564" s="1" t="s">
        <v>125</v>
      </c>
      <c r="AE564" s="1">
        <v>2</v>
      </c>
      <c r="AF564" s="54" t="s">
        <v>9530</v>
      </c>
      <c r="AL564" s="60" t="s">
        <v>809</v>
      </c>
      <c r="AN564" s="4" t="s">
        <v>2470</v>
      </c>
    </row>
    <row r="565" spans="1:40" ht="96" x14ac:dyDescent="0.2">
      <c r="A565" s="1" t="s">
        <v>2388</v>
      </c>
      <c r="B565" s="1" t="s">
        <v>2471</v>
      </c>
      <c r="C565" s="1" t="s">
        <v>5705</v>
      </c>
      <c r="D565" s="48">
        <v>67</v>
      </c>
      <c r="E565" s="1">
        <v>1</v>
      </c>
      <c r="F565" s="1" t="s">
        <v>2393</v>
      </c>
      <c r="G565" s="1" t="s">
        <v>9671</v>
      </c>
      <c r="I565" s="1" t="s">
        <v>125</v>
      </c>
      <c r="M565" s="18">
        <v>3</v>
      </c>
      <c r="N565" s="54" t="s">
        <v>9529</v>
      </c>
      <c r="V565" s="4" t="s">
        <v>2472</v>
      </c>
      <c r="Y565" s="1" t="s">
        <v>9671</v>
      </c>
      <c r="AA565" s="1" t="s">
        <v>125</v>
      </c>
      <c r="AE565" s="1">
        <v>3</v>
      </c>
      <c r="AF565" s="54" t="s">
        <v>9530</v>
      </c>
      <c r="AL565" s="60" t="s">
        <v>666</v>
      </c>
      <c r="AN565" s="4" t="s">
        <v>2473</v>
      </c>
    </row>
    <row r="566" spans="1:40" ht="48" x14ac:dyDescent="0.2">
      <c r="A566" s="1" t="s">
        <v>2388</v>
      </c>
      <c r="B566" s="1" t="s">
        <v>2474</v>
      </c>
      <c r="C566" s="1" t="s">
        <v>5705</v>
      </c>
      <c r="D566" s="48">
        <v>68</v>
      </c>
      <c r="E566" s="1">
        <v>1</v>
      </c>
      <c r="F566" s="1" t="s">
        <v>2413</v>
      </c>
      <c r="G566" s="1" t="s">
        <v>9547</v>
      </c>
      <c r="I566" s="1" t="s">
        <v>125</v>
      </c>
      <c r="M566" s="18">
        <v>1</v>
      </c>
      <c r="N566" s="54" t="s">
        <v>9529</v>
      </c>
      <c r="V566" s="4" t="s">
        <v>2475</v>
      </c>
      <c r="X566" s="1" t="s">
        <v>2476</v>
      </c>
      <c r="Y566" s="1" t="s">
        <v>9547</v>
      </c>
      <c r="AA566" s="1" t="s">
        <v>125</v>
      </c>
      <c r="AE566" s="1">
        <v>1</v>
      </c>
      <c r="AF566" s="54" t="s">
        <v>9530</v>
      </c>
      <c r="AL566" s="60" t="s">
        <v>666</v>
      </c>
      <c r="AN566" s="4" t="s">
        <v>2477</v>
      </c>
    </row>
    <row r="567" spans="1:40" ht="36" x14ac:dyDescent="0.2">
      <c r="A567" s="1" t="s">
        <v>2388</v>
      </c>
      <c r="B567" s="1" t="s">
        <v>2478</v>
      </c>
      <c r="C567" s="1" t="s">
        <v>5705</v>
      </c>
      <c r="D567" s="48">
        <v>69</v>
      </c>
      <c r="E567" s="1">
        <v>1</v>
      </c>
      <c r="F567" s="1" t="s">
        <v>2413</v>
      </c>
      <c r="G567" s="1" t="s">
        <v>9607</v>
      </c>
      <c r="I567" s="1" t="s">
        <v>125</v>
      </c>
      <c r="M567" s="18">
        <v>2</v>
      </c>
      <c r="N567" s="54" t="s">
        <v>9529</v>
      </c>
      <c r="Y567" s="1" t="s">
        <v>9607</v>
      </c>
      <c r="AA567" s="1" t="s">
        <v>125</v>
      </c>
      <c r="AE567" s="1">
        <v>2</v>
      </c>
      <c r="AF567" s="54" t="s">
        <v>9530</v>
      </c>
      <c r="AL567" s="60" t="s">
        <v>346</v>
      </c>
      <c r="AN567" s="4" t="s">
        <v>2479</v>
      </c>
    </row>
    <row r="568" spans="1:40" ht="48" x14ac:dyDescent="0.2">
      <c r="A568" s="1" t="s">
        <v>2388</v>
      </c>
      <c r="B568" s="1" t="s">
        <v>2480</v>
      </c>
      <c r="C568" s="1" t="s">
        <v>5705</v>
      </c>
      <c r="D568" s="48">
        <v>70</v>
      </c>
      <c r="E568" s="1">
        <v>1</v>
      </c>
      <c r="F568" s="1" t="s">
        <v>2413</v>
      </c>
      <c r="G568" s="1" t="s">
        <v>9672</v>
      </c>
      <c r="I568" s="1" t="s">
        <v>125</v>
      </c>
      <c r="M568" s="18">
        <v>3</v>
      </c>
      <c r="N568" s="54" t="s">
        <v>9529</v>
      </c>
      <c r="Y568" s="1" t="s">
        <v>9672</v>
      </c>
      <c r="AA568" s="1" t="s">
        <v>125</v>
      </c>
      <c r="AE568" s="1">
        <v>3</v>
      </c>
      <c r="AF568" s="54" t="s">
        <v>9530</v>
      </c>
      <c r="AL568" s="60" t="s">
        <v>337</v>
      </c>
      <c r="AN568" s="4" t="s">
        <v>2481</v>
      </c>
    </row>
    <row r="569" spans="1:40" ht="60" x14ac:dyDescent="0.2">
      <c r="A569" s="1" t="s">
        <v>2388</v>
      </c>
      <c r="B569" s="1" t="s">
        <v>2482</v>
      </c>
      <c r="C569" s="1" t="s">
        <v>5705</v>
      </c>
      <c r="D569" s="48">
        <v>71</v>
      </c>
      <c r="E569" s="1">
        <v>1</v>
      </c>
      <c r="F569" s="1" t="s">
        <v>2413</v>
      </c>
      <c r="G569" s="1" t="s">
        <v>9709</v>
      </c>
      <c r="I569" s="1" t="s">
        <v>125</v>
      </c>
      <c r="M569" s="18">
        <v>4</v>
      </c>
      <c r="N569" s="54" t="s">
        <v>9529</v>
      </c>
      <c r="Y569" s="1" t="s">
        <v>9709</v>
      </c>
      <c r="AA569" s="1" t="s">
        <v>125</v>
      </c>
      <c r="AE569" s="1">
        <v>4</v>
      </c>
      <c r="AF569" s="54" t="s">
        <v>9530</v>
      </c>
      <c r="AL569" s="60" t="s">
        <v>666</v>
      </c>
      <c r="AN569" s="4" t="s">
        <v>2483</v>
      </c>
    </row>
    <row r="570" spans="1:40" ht="36" x14ac:dyDescent="0.2">
      <c r="A570" s="1" t="s">
        <v>2388</v>
      </c>
      <c r="B570" s="1" t="s">
        <v>2484</v>
      </c>
      <c r="C570" s="1" t="s">
        <v>5705</v>
      </c>
      <c r="D570" s="48">
        <v>72</v>
      </c>
      <c r="E570" s="1">
        <v>1</v>
      </c>
      <c r="F570" s="1" t="s">
        <v>2402</v>
      </c>
      <c r="G570" s="1" t="s">
        <v>9548</v>
      </c>
      <c r="I570" s="1" t="s">
        <v>125</v>
      </c>
      <c r="M570" s="18">
        <v>1</v>
      </c>
      <c r="N570" s="54" t="s">
        <v>9529</v>
      </c>
      <c r="V570" s="4" t="s">
        <v>2485</v>
      </c>
      <c r="X570" s="1" t="s">
        <v>2486</v>
      </c>
      <c r="Y570" s="1" t="s">
        <v>9548</v>
      </c>
      <c r="AA570" s="1" t="s">
        <v>125</v>
      </c>
      <c r="AE570" s="1">
        <v>1</v>
      </c>
      <c r="AF570" s="54" t="s">
        <v>9530</v>
      </c>
      <c r="AL570" s="60" t="s">
        <v>346</v>
      </c>
      <c r="AN570" s="4" t="s">
        <v>2487</v>
      </c>
    </row>
    <row r="571" spans="1:40" ht="24" x14ac:dyDescent="0.2">
      <c r="A571" s="1" t="s">
        <v>2388</v>
      </c>
      <c r="B571" s="1" t="s">
        <v>2488</v>
      </c>
      <c r="C571" s="1" t="s">
        <v>5705</v>
      </c>
      <c r="D571" s="48">
        <v>73</v>
      </c>
      <c r="E571" s="1">
        <v>1</v>
      </c>
      <c r="F571" s="1" t="s">
        <v>2402</v>
      </c>
      <c r="G571" s="1" t="s">
        <v>9608</v>
      </c>
      <c r="I571" s="1" t="s">
        <v>125</v>
      </c>
      <c r="M571" s="18">
        <v>2</v>
      </c>
      <c r="N571" s="54" t="s">
        <v>9529</v>
      </c>
      <c r="Y571" s="1" t="s">
        <v>9608</v>
      </c>
      <c r="AA571" s="1" t="s">
        <v>125</v>
      </c>
      <c r="AE571" s="1">
        <v>2</v>
      </c>
      <c r="AF571" s="54" t="s">
        <v>9530</v>
      </c>
      <c r="AL571" s="60" t="s">
        <v>346</v>
      </c>
      <c r="AN571" s="4" t="s">
        <v>2489</v>
      </c>
    </row>
    <row r="572" spans="1:40" ht="24" x14ac:dyDescent="0.2">
      <c r="A572" s="1" t="s">
        <v>2388</v>
      </c>
      <c r="B572" s="1" t="s">
        <v>2490</v>
      </c>
      <c r="C572" s="1" t="s">
        <v>5705</v>
      </c>
      <c r="D572" s="48">
        <v>74</v>
      </c>
      <c r="E572" s="1">
        <v>1</v>
      </c>
      <c r="F572" s="1" t="s">
        <v>2402</v>
      </c>
      <c r="G572" s="1" t="s">
        <v>9673</v>
      </c>
      <c r="I572" s="1" t="s">
        <v>125</v>
      </c>
      <c r="M572" s="18">
        <v>3</v>
      </c>
      <c r="N572" s="54" t="s">
        <v>9529</v>
      </c>
      <c r="Y572" s="1" t="s">
        <v>9673</v>
      </c>
      <c r="AA572" s="1" t="s">
        <v>125</v>
      </c>
      <c r="AE572" s="1">
        <v>3</v>
      </c>
      <c r="AF572" s="54" t="s">
        <v>9530</v>
      </c>
      <c r="AL572" s="60" t="s">
        <v>243</v>
      </c>
      <c r="AN572" s="4" t="s">
        <v>2491</v>
      </c>
    </row>
    <row r="573" spans="1:40" x14ac:dyDescent="0.2">
      <c r="A573" s="1" t="s">
        <v>2388</v>
      </c>
      <c r="B573" s="1" t="s">
        <v>2492</v>
      </c>
      <c r="C573" s="1" t="s">
        <v>5705</v>
      </c>
      <c r="D573" s="48">
        <v>75</v>
      </c>
      <c r="E573" s="1">
        <v>1</v>
      </c>
      <c r="F573" s="1" t="s">
        <v>2402</v>
      </c>
      <c r="G573" s="1" t="s">
        <v>9710</v>
      </c>
      <c r="I573" s="1" t="s">
        <v>125</v>
      </c>
      <c r="M573" s="18">
        <v>4</v>
      </c>
      <c r="N573" s="54" t="s">
        <v>9529</v>
      </c>
      <c r="Y573" s="1" t="s">
        <v>9710</v>
      </c>
      <c r="AA573" s="1" t="s">
        <v>125</v>
      </c>
      <c r="AE573" s="1">
        <v>4</v>
      </c>
      <c r="AF573" s="54" t="s">
        <v>9530</v>
      </c>
      <c r="AL573" s="60" t="s">
        <v>46</v>
      </c>
      <c r="AN573" s="4" t="s">
        <v>2493</v>
      </c>
    </row>
    <row r="574" spans="1:40" ht="84" x14ac:dyDescent="0.2">
      <c r="A574" s="1" t="s">
        <v>2388</v>
      </c>
      <c r="B574" s="1" t="s">
        <v>2494</v>
      </c>
      <c r="C574" s="1" t="s">
        <v>5705</v>
      </c>
      <c r="D574" s="48">
        <v>76</v>
      </c>
      <c r="E574" s="1">
        <v>1</v>
      </c>
      <c r="F574" s="1" t="s">
        <v>2402</v>
      </c>
      <c r="G574" s="1" t="s">
        <v>9721</v>
      </c>
      <c r="I574" s="1" t="s">
        <v>125</v>
      </c>
      <c r="M574" s="18">
        <v>5</v>
      </c>
      <c r="N574" s="54" t="s">
        <v>9529</v>
      </c>
      <c r="Y574" s="1" t="s">
        <v>9721</v>
      </c>
      <c r="AA574" s="1" t="s">
        <v>125</v>
      </c>
      <c r="AE574" s="1">
        <v>5</v>
      </c>
      <c r="AF574" s="54" t="s">
        <v>9530</v>
      </c>
      <c r="AL574" s="60" t="s">
        <v>666</v>
      </c>
      <c r="AN574" s="4" t="s">
        <v>2495</v>
      </c>
    </row>
    <row r="575" spans="1:40" ht="24" x14ac:dyDescent="0.2">
      <c r="A575" s="109" t="s">
        <v>5041</v>
      </c>
      <c r="B575" s="109" t="s">
        <v>5104</v>
      </c>
      <c r="C575" s="109" t="s">
        <v>5706</v>
      </c>
      <c r="D575" s="110">
        <v>1</v>
      </c>
      <c r="E575" s="109">
        <v>1</v>
      </c>
      <c r="F575" s="109"/>
      <c r="G575" s="109" t="s">
        <v>5105</v>
      </c>
      <c r="H575" s="1" t="s">
        <v>26</v>
      </c>
      <c r="I575" s="1" t="s">
        <v>27</v>
      </c>
      <c r="J575" s="1" t="s">
        <v>28</v>
      </c>
      <c r="K575" s="1" t="s">
        <v>201</v>
      </c>
      <c r="L575" s="2" t="s">
        <v>171</v>
      </c>
      <c r="M575" s="18">
        <v>8</v>
      </c>
      <c r="P575" s="56">
        <v>1</v>
      </c>
      <c r="Q575" s="57">
        <v>1</v>
      </c>
      <c r="R575" s="58">
        <v>1</v>
      </c>
      <c r="S575" s="59">
        <v>4</v>
      </c>
      <c r="V575" s="4" t="s">
        <v>5106</v>
      </c>
      <c r="AL575" s="60" t="s">
        <v>30</v>
      </c>
    </row>
    <row r="576" spans="1:40" x14ac:dyDescent="0.2">
      <c r="A576" s="1" t="s">
        <v>5041</v>
      </c>
      <c r="B576" s="1" t="s">
        <v>5075</v>
      </c>
      <c r="C576" s="1" t="s">
        <v>5706</v>
      </c>
      <c r="D576" s="48">
        <v>2</v>
      </c>
      <c r="E576" s="1">
        <v>3</v>
      </c>
      <c r="G576" s="1" t="s">
        <v>5076</v>
      </c>
      <c r="I576" s="1" t="s">
        <v>38</v>
      </c>
      <c r="J576" s="1" t="s">
        <v>28</v>
      </c>
      <c r="K576" s="1" t="s">
        <v>201</v>
      </c>
      <c r="M576" s="18">
        <v>2</v>
      </c>
      <c r="P576" s="56">
        <v>1</v>
      </c>
      <c r="Q576" s="57">
        <v>1</v>
      </c>
      <c r="R576" s="58">
        <v>1</v>
      </c>
      <c r="S576" s="59">
        <v>1</v>
      </c>
      <c r="V576" s="4" t="s">
        <v>5077</v>
      </c>
      <c r="AL576" s="60" t="s">
        <v>30</v>
      </c>
    </row>
    <row r="577" spans="1:48" ht="24" x14ac:dyDescent="0.2">
      <c r="A577" s="1" t="s">
        <v>5041</v>
      </c>
      <c r="B577" s="1" t="s">
        <v>5110</v>
      </c>
      <c r="C577" s="1" t="s">
        <v>5706</v>
      </c>
      <c r="D577" s="48">
        <v>3</v>
      </c>
      <c r="E577" s="1">
        <v>3</v>
      </c>
      <c r="G577" s="1" t="s">
        <v>5111</v>
      </c>
      <c r="I577" s="1" t="s">
        <v>63</v>
      </c>
      <c r="J577" s="1" t="s">
        <v>28</v>
      </c>
      <c r="M577" s="18">
        <v>0</v>
      </c>
      <c r="V577" s="4" t="s">
        <v>5112</v>
      </c>
      <c r="AL577" s="60" t="s">
        <v>30</v>
      </c>
    </row>
    <row r="578" spans="1:48" x14ac:dyDescent="0.2">
      <c r="A578" s="1" t="s">
        <v>5041</v>
      </c>
      <c r="B578" s="1" t="s">
        <v>5119</v>
      </c>
      <c r="C578" s="1" t="s">
        <v>5706</v>
      </c>
      <c r="D578" s="48">
        <v>4</v>
      </c>
      <c r="E578" s="1">
        <v>3</v>
      </c>
      <c r="G578" s="1" t="s">
        <v>5120</v>
      </c>
      <c r="I578" s="1" t="s">
        <v>38</v>
      </c>
      <c r="J578" s="1" t="s">
        <v>50</v>
      </c>
      <c r="K578" s="1" t="s">
        <v>201</v>
      </c>
      <c r="M578" s="18">
        <v>1</v>
      </c>
      <c r="P578" s="56">
        <v>0</v>
      </c>
      <c r="Q578" s="57">
        <v>0</v>
      </c>
      <c r="R578" s="58">
        <v>0</v>
      </c>
      <c r="S578" s="59">
        <v>1</v>
      </c>
      <c r="V578" s="4" t="s">
        <v>5121</v>
      </c>
      <c r="AL578" s="60" t="s">
        <v>30</v>
      </c>
    </row>
    <row r="579" spans="1:48" ht="24" x14ac:dyDescent="0.2">
      <c r="A579" s="1" t="s">
        <v>5041</v>
      </c>
      <c r="B579" s="1" t="s">
        <v>5048</v>
      </c>
      <c r="C579" s="1" t="s">
        <v>5706</v>
      </c>
      <c r="D579" s="48">
        <v>5</v>
      </c>
      <c r="E579" s="1">
        <v>3</v>
      </c>
      <c r="G579" s="1" t="s">
        <v>5049</v>
      </c>
      <c r="I579" s="1" t="s">
        <v>56</v>
      </c>
      <c r="J579" s="1" t="s">
        <v>50</v>
      </c>
      <c r="K579" s="1" t="s">
        <v>5050</v>
      </c>
      <c r="L579" s="2" t="s">
        <v>5051</v>
      </c>
      <c r="M579" s="18">
        <v>1</v>
      </c>
      <c r="V579" s="4" t="s">
        <v>5052</v>
      </c>
      <c r="AL579" s="60" t="s">
        <v>30</v>
      </c>
    </row>
    <row r="580" spans="1:48" x14ac:dyDescent="0.2">
      <c r="A580" s="1" t="s">
        <v>5041</v>
      </c>
      <c r="B580" s="1" t="s">
        <v>5055</v>
      </c>
      <c r="C580" s="1" t="s">
        <v>5706</v>
      </c>
      <c r="D580" s="48">
        <v>6</v>
      </c>
      <c r="E580" s="1">
        <v>3</v>
      </c>
      <c r="G580" s="1" t="s">
        <v>5056</v>
      </c>
      <c r="I580" s="1" t="s">
        <v>38</v>
      </c>
      <c r="J580" s="1" t="s">
        <v>57</v>
      </c>
      <c r="K580" s="1" t="s">
        <v>201</v>
      </c>
      <c r="M580" s="18">
        <v>2</v>
      </c>
      <c r="P580" s="56">
        <v>1</v>
      </c>
      <c r="Q580" s="57">
        <v>1</v>
      </c>
      <c r="R580" s="58">
        <v>1</v>
      </c>
      <c r="S580" s="59">
        <v>1</v>
      </c>
      <c r="V580" s="4" t="s">
        <v>5057</v>
      </c>
      <c r="AL580" s="60" t="s">
        <v>30</v>
      </c>
    </row>
    <row r="581" spans="1:48" ht="48" x14ac:dyDescent="0.2">
      <c r="A581" s="1" t="s">
        <v>5041</v>
      </c>
      <c r="B581" s="1" t="s">
        <v>5053</v>
      </c>
      <c r="C581" s="1" t="s">
        <v>5706</v>
      </c>
      <c r="D581" s="48">
        <v>7</v>
      </c>
      <c r="E581" s="1">
        <v>3</v>
      </c>
      <c r="G581" s="1" t="s">
        <v>1384</v>
      </c>
      <c r="H581" s="1" t="s">
        <v>26</v>
      </c>
      <c r="I581" s="1" t="s">
        <v>56</v>
      </c>
      <c r="J581" s="1" t="s">
        <v>57</v>
      </c>
      <c r="K581" s="1" t="s">
        <v>3713</v>
      </c>
      <c r="L581" s="2" t="s">
        <v>71</v>
      </c>
      <c r="M581" s="18">
        <v>1</v>
      </c>
      <c r="V581" s="4" t="s">
        <v>5054</v>
      </c>
      <c r="AL581" s="60" t="s">
        <v>30</v>
      </c>
    </row>
    <row r="582" spans="1:48" x14ac:dyDescent="0.2">
      <c r="A582" s="1" t="s">
        <v>5041</v>
      </c>
      <c r="B582" s="1" t="s">
        <v>5091</v>
      </c>
      <c r="C582" s="1" t="s">
        <v>5706</v>
      </c>
      <c r="D582" s="48">
        <v>8</v>
      </c>
      <c r="E582" s="1">
        <v>3</v>
      </c>
      <c r="G582" s="1" t="s">
        <v>5092</v>
      </c>
      <c r="I582" s="1" t="s">
        <v>38</v>
      </c>
      <c r="J582" s="1" t="s">
        <v>39</v>
      </c>
      <c r="K582" s="1" t="s">
        <v>201</v>
      </c>
      <c r="M582" s="18">
        <v>1</v>
      </c>
      <c r="P582" s="56">
        <v>0</v>
      </c>
      <c r="Q582" s="57">
        <v>0</v>
      </c>
      <c r="R582" s="58">
        <v>0</v>
      </c>
      <c r="S582" s="59">
        <v>1</v>
      </c>
      <c r="V582" s="4" t="s">
        <v>5093</v>
      </c>
      <c r="AL582" s="60" t="s">
        <v>30</v>
      </c>
    </row>
    <row r="583" spans="1:48" ht="24" x14ac:dyDescent="0.2">
      <c r="A583" s="1" t="s">
        <v>5041</v>
      </c>
      <c r="B583" s="1" t="s">
        <v>5082</v>
      </c>
      <c r="C583" s="1" t="s">
        <v>5706</v>
      </c>
      <c r="D583" s="48">
        <v>9</v>
      </c>
      <c r="E583" s="1">
        <v>3</v>
      </c>
      <c r="G583" s="1" t="s">
        <v>5083</v>
      </c>
      <c r="I583" s="1" t="s">
        <v>63</v>
      </c>
      <c r="J583" s="1" t="s">
        <v>39</v>
      </c>
      <c r="M583" s="18">
        <v>1</v>
      </c>
      <c r="V583" s="4" t="s">
        <v>5084</v>
      </c>
      <c r="AL583" s="60" t="s">
        <v>30</v>
      </c>
    </row>
    <row r="584" spans="1:48" ht="36" x14ac:dyDescent="0.2">
      <c r="A584" s="1" t="s">
        <v>5041</v>
      </c>
      <c r="B584" s="1" t="s">
        <v>5131</v>
      </c>
      <c r="C584" s="1" t="s">
        <v>5706</v>
      </c>
      <c r="D584" s="48">
        <v>10</v>
      </c>
      <c r="E584" s="1">
        <v>3</v>
      </c>
      <c r="G584" s="1" t="s">
        <v>5132</v>
      </c>
      <c r="I584" s="1" t="s">
        <v>63</v>
      </c>
      <c r="J584" s="1" t="s">
        <v>44</v>
      </c>
      <c r="M584" s="18">
        <v>0</v>
      </c>
      <c r="V584" s="4" t="s">
        <v>5133</v>
      </c>
      <c r="AL584" s="60" t="s">
        <v>30</v>
      </c>
      <c r="AU584" s="1" t="s">
        <v>6201</v>
      </c>
    </row>
    <row r="585" spans="1:48" ht="96" x14ac:dyDescent="0.2">
      <c r="A585" s="1" t="s">
        <v>5041</v>
      </c>
      <c r="B585" s="1" t="s">
        <v>5094</v>
      </c>
      <c r="C585" s="1" t="s">
        <v>5706</v>
      </c>
      <c r="D585" s="48">
        <v>11</v>
      </c>
      <c r="E585" s="1">
        <v>1</v>
      </c>
      <c r="F585" s="1" t="s">
        <v>5047</v>
      </c>
      <c r="G585" s="1" t="s">
        <v>9549</v>
      </c>
      <c r="I585" s="1" t="s">
        <v>125</v>
      </c>
      <c r="M585" s="18">
        <v>1</v>
      </c>
      <c r="N585" s="54" t="s">
        <v>9529</v>
      </c>
      <c r="V585" s="4" t="s">
        <v>5095</v>
      </c>
      <c r="X585" s="1" t="s">
        <v>7848</v>
      </c>
      <c r="Y585" s="1" t="s">
        <v>9549</v>
      </c>
      <c r="AA585" s="1" t="s">
        <v>125</v>
      </c>
      <c r="AE585" s="1">
        <v>1</v>
      </c>
      <c r="AF585" s="54" t="s">
        <v>9530</v>
      </c>
      <c r="AL585" s="60" t="s">
        <v>799</v>
      </c>
      <c r="AN585" s="4" t="s">
        <v>5096</v>
      </c>
    </row>
    <row r="586" spans="1:48" ht="96" x14ac:dyDescent="0.2">
      <c r="A586" s="1" t="s">
        <v>5041</v>
      </c>
      <c r="B586" s="1" t="s">
        <v>5062</v>
      </c>
      <c r="C586" s="1" t="s">
        <v>5706</v>
      </c>
      <c r="D586" s="48">
        <v>12</v>
      </c>
      <c r="E586" s="1">
        <v>1</v>
      </c>
      <c r="F586" s="1" t="s">
        <v>5047</v>
      </c>
      <c r="G586" s="1" t="s">
        <v>9609</v>
      </c>
      <c r="I586" s="1" t="s">
        <v>125</v>
      </c>
      <c r="M586" s="18">
        <v>2</v>
      </c>
      <c r="N586" s="54" t="s">
        <v>9529</v>
      </c>
      <c r="V586" s="4" t="s">
        <v>5063</v>
      </c>
      <c r="Y586" s="1" t="s">
        <v>9609</v>
      </c>
      <c r="AA586" s="1" t="s">
        <v>125</v>
      </c>
      <c r="AE586" s="1">
        <v>2</v>
      </c>
      <c r="AF586" s="54" t="s">
        <v>9530</v>
      </c>
      <c r="AL586" s="60" t="s">
        <v>799</v>
      </c>
      <c r="AN586" s="4" t="s">
        <v>5064</v>
      </c>
    </row>
    <row r="587" spans="1:48" ht="48" x14ac:dyDescent="0.2">
      <c r="A587" s="1" t="s">
        <v>5041</v>
      </c>
      <c r="B587" s="1" t="s">
        <v>5101</v>
      </c>
      <c r="C587" s="1" t="s">
        <v>5706</v>
      </c>
      <c r="D587" s="48">
        <v>13</v>
      </c>
      <c r="E587" s="1">
        <v>1</v>
      </c>
      <c r="F587" s="1" t="s">
        <v>5047</v>
      </c>
      <c r="G587" s="1" t="s">
        <v>9674</v>
      </c>
      <c r="I587" s="1" t="s">
        <v>125</v>
      </c>
      <c r="M587" s="18">
        <v>3</v>
      </c>
      <c r="N587" s="54" t="s">
        <v>9529</v>
      </c>
      <c r="V587" s="4" t="s">
        <v>5102</v>
      </c>
      <c r="Y587" s="1" t="s">
        <v>9674</v>
      </c>
      <c r="AA587" s="1" t="s">
        <v>125</v>
      </c>
      <c r="AE587" s="1">
        <v>3</v>
      </c>
      <c r="AF587" s="54" t="s">
        <v>9530</v>
      </c>
      <c r="AL587" s="60" t="s">
        <v>666</v>
      </c>
      <c r="AN587" s="4" t="s">
        <v>5103</v>
      </c>
    </row>
    <row r="588" spans="1:48" ht="24" x14ac:dyDescent="0.2">
      <c r="A588" s="1" t="s">
        <v>5041</v>
      </c>
      <c r="B588" s="1" t="s">
        <v>5134</v>
      </c>
      <c r="C588" s="1" t="s">
        <v>5706</v>
      </c>
      <c r="D588" s="48">
        <v>14</v>
      </c>
      <c r="E588" s="1">
        <v>5</v>
      </c>
      <c r="F588" s="1" t="s">
        <v>5047</v>
      </c>
      <c r="G588" s="1" t="s">
        <v>5135</v>
      </c>
      <c r="I588" s="1" t="s">
        <v>94</v>
      </c>
      <c r="K588" s="1" t="s">
        <v>2525</v>
      </c>
      <c r="N588" s="54">
        <v>25</v>
      </c>
      <c r="O588" s="55">
        <v>3</v>
      </c>
      <c r="Q588" s="57">
        <v>2</v>
      </c>
      <c r="R588" s="58">
        <v>2</v>
      </c>
      <c r="S588" s="59">
        <v>2</v>
      </c>
      <c r="V588" s="4" t="s">
        <v>5136</v>
      </c>
      <c r="W588" s="4" t="s">
        <v>5137</v>
      </c>
      <c r="AL588" s="60" t="s">
        <v>30</v>
      </c>
    </row>
    <row r="589" spans="1:48" ht="60" x14ac:dyDescent="0.2">
      <c r="A589" s="1" t="s">
        <v>5041</v>
      </c>
      <c r="B589" s="1" t="s">
        <v>5085</v>
      </c>
      <c r="C589" s="1" t="s">
        <v>5706</v>
      </c>
      <c r="D589" s="48">
        <v>15</v>
      </c>
      <c r="E589" s="1">
        <v>1</v>
      </c>
      <c r="F589" s="1" t="s">
        <v>5047</v>
      </c>
      <c r="G589" s="1" t="s">
        <v>5086</v>
      </c>
      <c r="H589" s="1" t="s">
        <v>26</v>
      </c>
      <c r="I589" s="1" t="s">
        <v>94</v>
      </c>
      <c r="K589" s="1" t="s">
        <v>5067</v>
      </c>
      <c r="N589" s="54">
        <v>10</v>
      </c>
      <c r="O589" s="55">
        <v>3</v>
      </c>
      <c r="Q589" s="57">
        <v>5</v>
      </c>
      <c r="R589" s="58">
        <v>3</v>
      </c>
      <c r="S589" s="59">
        <v>5</v>
      </c>
      <c r="V589" s="4" t="s">
        <v>5087</v>
      </c>
      <c r="AL589" s="60" t="s">
        <v>30</v>
      </c>
    </row>
    <row r="590" spans="1:48" ht="72" x14ac:dyDescent="0.2">
      <c r="A590" s="1" t="s">
        <v>5041</v>
      </c>
      <c r="B590" s="1" t="s">
        <v>5065</v>
      </c>
      <c r="C590" s="1" t="s">
        <v>5706</v>
      </c>
      <c r="D590" s="48">
        <v>16</v>
      </c>
      <c r="E590" s="1">
        <v>1</v>
      </c>
      <c r="F590" s="1" t="s">
        <v>5047</v>
      </c>
      <c r="G590" s="1" t="s">
        <v>5066</v>
      </c>
      <c r="H590" s="1" t="s">
        <v>26</v>
      </c>
      <c r="I590" s="1" t="s">
        <v>94</v>
      </c>
      <c r="K590" s="1" t="s">
        <v>5067</v>
      </c>
      <c r="N590" s="54">
        <v>30</v>
      </c>
      <c r="O590" s="55">
        <v>3</v>
      </c>
      <c r="Q590" s="57">
        <v>4</v>
      </c>
      <c r="R590" s="58">
        <v>3</v>
      </c>
      <c r="S590" s="59">
        <v>6</v>
      </c>
      <c r="V590" s="4" t="s">
        <v>5068</v>
      </c>
      <c r="AL590" s="60" t="s">
        <v>30</v>
      </c>
      <c r="AU590" s="1" t="s">
        <v>6202</v>
      </c>
      <c r="AV590" s="1" t="s">
        <v>6203</v>
      </c>
    </row>
    <row r="591" spans="1:48" ht="60" x14ac:dyDescent="0.2">
      <c r="A591" s="1" t="s">
        <v>5041</v>
      </c>
      <c r="B591" s="1" t="s">
        <v>5125</v>
      </c>
      <c r="C591" s="1" t="s">
        <v>5706</v>
      </c>
      <c r="D591" s="48">
        <v>17</v>
      </c>
      <c r="E591" s="1">
        <v>1</v>
      </c>
      <c r="F591" s="1" t="s">
        <v>5047</v>
      </c>
      <c r="G591" s="1" t="s">
        <v>5126</v>
      </c>
      <c r="H591" s="1" t="s">
        <v>26</v>
      </c>
      <c r="I591" s="1" t="s">
        <v>94</v>
      </c>
      <c r="K591" s="1" t="s">
        <v>5067</v>
      </c>
      <c r="N591" s="54">
        <v>20</v>
      </c>
      <c r="O591" s="55">
        <v>3</v>
      </c>
      <c r="Q591" s="57">
        <v>3</v>
      </c>
      <c r="R591" s="58">
        <v>2</v>
      </c>
      <c r="S591" s="59">
        <v>7</v>
      </c>
      <c r="V591" s="4" t="s">
        <v>5127</v>
      </c>
      <c r="AL591" s="60" t="s">
        <v>30</v>
      </c>
    </row>
    <row r="592" spans="1:48" ht="24" x14ac:dyDescent="0.2">
      <c r="A592" s="1" t="s">
        <v>5041</v>
      </c>
      <c r="B592" s="1" t="s">
        <v>5042</v>
      </c>
      <c r="C592" s="1" t="s">
        <v>5706</v>
      </c>
      <c r="D592" s="48">
        <v>18</v>
      </c>
      <c r="E592" s="1">
        <v>3</v>
      </c>
      <c r="F592" s="1" t="s">
        <v>5047</v>
      </c>
      <c r="G592" s="1" t="s">
        <v>5043</v>
      </c>
      <c r="I592" s="1" t="s">
        <v>104</v>
      </c>
      <c r="K592" s="1" t="s">
        <v>5044</v>
      </c>
      <c r="L592" s="2" t="s">
        <v>5045</v>
      </c>
      <c r="O592" s="55">
        <v>3</v>
      </c>
      <c r="T592" s="60">
        <v>3</v>
      </c>
      <c r="V592" s="4" t="s">
        <v>5046</v>
      </c>
      <c r="AL592" s="60" t="s">
        <v>30</v>
      </c>
    </row>
    <row r="593" spans="1:47" x14ac:dyDescent="0.2">
      <c r="A593" s="1" t="s">
        <v>5041</v>
      </c>
      <c r="B593" s="1" t="s">
        <v>5097</v>
      </c>
      <c r="C593" s="1" t="s">
        <v>5706</v>
      </c>
      <c r="D593" s="48">
        <v>19</v>
      </c>
      <c r="E593" s="1">
        <v>1</v>
      </c>
      <c r="F593" s="1" t="s">
        <v>5047</v>
      </c>
      <c r="G593" s="1" t="s">
        <v>5098</v>
      </c>
      <c r="H593" s="1" t="s">
        <v>26</v>
      </c>
      <c r="I593" s="1" t="s">
        <v>104</v>
      </c>
      <c r="K593" s="1" t="s">
        <v>5099</v>
      </c>
      <c r="L593" s="2" t="s">
        <v>5045</v>
      </c>
      <c r="O593" s="55">
        <v>2</v>
      </c>
      <c r="T593" s="60">
        <v>5</v>
      </c>
      <c r="V593" s="4" t="s">
        <v>5100</v>
      </c>
      <c r="AL593" s="60" t="s">
        <v>30</v>
      </c>
      <c r="AU593" s="1" t="s">
        <v>6204</v>
      </c>
    </row>
    <row r="594" spans="1:47" ht="24" x14ac:dyDescent="0.2">
      <c r="A594" s="1" t="s">
        <v>5041</v>
      </c>
      <c r="B594" s="1" t="s">
        <v>5117</v>
      </c>
      <c r="C594" s="1" t="s">
        <v>5706</v>
      </c>
      <c r="D594" s="48">
        <v>20</v>
      </c>
      <c r="E594" s="1">
        <v>2</v>
      </c>
      <c r="F594" s="1" t="s">
        <v>5047</v>
      </c>
      <c r="G594" s="1" t="s">
        <v>5118</v>
      </c>
      <c r="I594" s="1" t="s">
        <v>104</v>
      </c>
      <c r="K594" s="1" t="s">
        <v>5044</v>
      </c>
      <c r="L594" s="2" t="s">
        <v>5045</v>
      </c>
      <c r="O594" s="55">
        <v>2</v>
      </c>
      <c r="T594" s="60">
        <v>2</v>
      </c>
      <c r="W594" s="4" t="s">
        <v>2276</v>
      </c>
      <c r="AL594" s="60" t="s">
        <v>30</v>
      </c>
    </row>
    <row r="595" spans="1:47" ht="24" x14ac:dyDescent="0.2">
      <c r="A595" s="1" t="s">
        <v>5041</v>
      </c>
      <c r="B595" s="1" t="s">
        <v>5078</v>
      </c>
      <c r="C595" s="1" t="s">
        <v>5706</v>
      </c>
      <c r="D595" s="48">
        <v>21</v>
      </c>
      <c r="E595" s="1">
        <v>1</v>
      </c>
      <c r="F595" s="1" t="s">
        <v>5047</v>
      </c>
      <c r="G595" s="1" t="s">
        <v>5079</v>
      </c>
      <c r="H595" s="1" t="s">
        <v>26</v>
      </c>
      <c r="I595" s="1" t="s">
        <v>104</v>
      </c>
      <c r="K595" s="1" t="s">
        <v>5044</v>
      </c>
      <c r="L595" s="2" t="s">
        <v>5080</v>
      </c>
      <c r="O595" s="55">
        <v>4</v>
      </c>
      <c r="T595" s="60">
        <v>4</v>
      </c>
      <c r="V595" s="4" t="s">
        <v>5081</v>
      </c>
      <c r="AL595" s="60" t="s">
        <v>30</v>
      </c>
    </row>
    <row r="596" spans="1:47" ht="24" x14ac:dyDescent="0.2">
      <c r="A596" s="1" t="s">
        <v>5041</v>
      </c>
      <c r="B596" s="1" t="s">
        <v>5113</v>
      </c>
      <c r="C596" s="1" t="s">
        <v>5706</v>
      </c>
      <c r="D596" s="48">
        <v>22</v>
      </c>
      <c r="E596" s="1">
        <v>1</v>
      </c>
      <c r="F596" s="1" t="s">
        <v>5047</v>
      </c>
      <c r="G596" s="1" t="s">
        <v>5114</v>
      </c>
      <c r="H596" s="1" t="s">
        <v>26</v>
      </c>
      <c r="I596" s="1" t="s">
        <v>104</v>
      </c>
      <c r="K596" s="1" t="s">
        <v>2428</v>
      </c>
      <c r="L596" s="2" t="s">
        <v>5115</v>
      </c>
      <c r="O596" s="55">
        <v>3</v>
      </c>
      <c r="T596" s="60">
        <v>5</v>
      </c>
      <c r="V596" s="4" t="s">
        <v>5116</v>
      </c>
      <c r="AL596" s="60" t="s">
        <v>30</v>
      </c>
    </row>
    <row r="597" spans="1:47" ht="24" x14ac:dyDescent="0.2">
      <c r="A597" s="1" t="s">
        <v>5041</v>
      </c>
      <c r="B597" s="1" t="s">
        <v>5138</v>
      </c>
      <c r="C597" s="1" t="s">
        <v>5706</v>
      </c>
      <c r="D597" s="48">
        <v>23</v>
      </c>
      <c r="E597" s="1">
        <v>2</v>
      </c>
      <c r="F597" s="1" t="s">
        <v>5047</v>
      </c>
      <c r="G597" s="1" t="s">
        <v>5139</v>
      </c>
      <c r="I597" s="1" t="s">
        <v>82</v>
      </c>
      <c r="L597" s="2" t="s">
        <v>3261</v>
      </c>
      <c r="V597" s="4" t="s">
        <v>5140</v>
      </c>
      <c r="AL597" s="60" t="s">
        <v>30</v>
      </c>
    </row>
    <row r="598" spans="1:47" ht="48" x14ac:dyDescent="0.2">
      <c r="A598" s="1" t="s">
        <v>5041</v>
      </c>
      <c r="B598" s="1" t="s">
        <v>5122</v>
      </c>
      <c r="C598" s="1" t="s">
        <v>5706</v>
      </c>
      <c r="D598" s="48">
        <v>24</v>
      </c>
      <c r="E598" s="1">
        <v>3</v>
      </c>
      <c r="F598" s="1" t="s">
        <v>5047</v>
      </c>
      <c r="G598" s="1" t="s">
        <v>5123</v>
      </c>
      <c r="I598" s="1" t="s">
        <v>82</v>
      </c>
      <c r="V598" s="4" t="s">
        <v>5124</v>
      </c>
      <c r="AL598" s="60" t="s">
        <v>30</v>
      </c>
    </row>
    <row r="599" spans="1:47" ht="24" x14ac:dyDescent="0.2">
      <c r="A599" s="1" t="s">
        <v>5041</v>
      </c>
      <c r="B599" s="1" t="s">
        <v>5141</v>
      </c>
      <c r="C599" s="1" t="s">
        <v>5706</v>
      </c>
      <c r="D599" s="48">
        <v>25</v>
      </c>
      <c r="E599" s="1">
        <v>2</v>
      </c>
      <c r="F599" s="1" t="s">
        <v>5047</v>
      </c>
      <c r="G599" s="1" t="s">
        <v>4649</v>
      </c>
      <c r="I599" s="1" t="s">
        <v>82</v>
      </c>
      <c r="V599" s="4" t="s">
        <v>5142</v>
      </c>
      <c r="W599" s="4" t="s">
        <v>5143</v>
      </c>
      <c r="AL599" s="60" t="s">
        <v>30</v>
      </c>
    </row>
    <row r="600" spans="1:47" ht="24" x14ac:dyDescent="0.2">
      <c r="A600" s="1" t="s">
        <v>5041</v>
      </c>
      <c r="B600" s="1" t="s">
        <v>5107</v>
      </c>
      <c r="C600" s="1" t="s">
        <v>5706</v>
      </c>
      <c r="D600" s="48">
        <v>26</v>
      </c>
      <c r="E600" s="1">
        <v>1</v>
      </c>
      <c r="F600" s="1" t="s">
        <v>5047</v>
      </c>
      <c r="G600" s="1" t="s">
        <v>5108</v>
      </c>
      <c r="I600" s="1" t="s">
        <v>88</v>
      </c>
      <c r="K600" s="1" t="s">
        <v>4673</v>
      </c>
      <c r="U600" s="1">
        <v>1</v>
      </c>
      <c r="V600" s="4" t="s">
        <v>5109</v>
      </c>
      <c r="AL600" s="60" t="s">
        <v>30</v>
      </c>
    </row>
    <row r="601" spans="1:47" ht="48" x14ac:dyDescent="0.2">
      <c r="A601" s="1" t="s">
        <v>5041</v>
      </c>
      <c r="B601" s="1" t="s">
        <v>5128</v>
      </c>
      <c r="C601" s="1" t="s">
        <v>5706</v>
      </c>
      <c r="D601" s="48">
        <v>27</v>
      </c>
      <c r="E601" s="1">
        <v>1</v>
      </c>
      <c r="F601" s="1" t="s">
        <v>5047</v>
      </c>
      <c r="G601" s="1" t="s">
        <v>5129</v>
      </c>
      <c r="I601" s="1" t="s">
        <v>88</v>
      </c>
      <c r="K601" s="1" t="s">
        <v>4673</v>
      </c>
      <c r="U601" s="1">
        <v>1</v>
      </c>
      <c r="V601" s="4" t="s">
        <v>5130</v>
      </c>
      <c r="AL601" s="60" t="s">
        <v>30</v>
      </c>
    </row>
    <row r="602" spans="1:47" ht="24" x14ac:dyDescent="0.2">
      <c r="A602" s="1" t="s">
        <v>5041</v>
      </c>
      <c r="B602" s="1" t="s">
        <v>5069</v>
      </c>
      <c r="C602" s="1" t="s">
        <v>5706</v>
      </c>
      <c r="D602" s="48">
        <v>28</v>
      </c>
      <c r="E602" s="1">
        <v>1</v>
      </c>
      <c r="F602" s="1" t="s">
        <v>5047</v>
      </c>
      <c r="G602" s="1" t="s">
        <v>5070</v>
      </c>
      <c r="I602" s="1" t="s">
        <v>88</v>
      </c>
      <c r="K602" s="1" t="s">
        <v>4673</v>
      </c>
      <c r="U602" s="1">
        <v>1</v>
      </c>
      <c r="V602" s="4" t="s">
        <v>5071</v>
      </c>
      <c r="AL602" s="60" t="s">
        <v>30</v>
      </c>
    </row>
    <row r="603" spans="1:47" ht="60" x14ac:dyDescent="0.2">
      <c r="A603" s="1" t="s">
        <v>5041</v>
      </c>
      <c r="B603" s="1" t="s">
        <v>5072</v>
      </c>
      <c r="C603" s="1" t="s">
        <v>5706</v>
      </c>
      <c r="D603" s="48">
        <v>29</v>
      </c>
      <c r="E603" s="1">
        <v>1</v>
      </c>
      <c r="F603" s="1" t="s">
        <v>5047</v>
      </c>
      <c r="G603" s="1" t="s">
        <v>5073</v>
      </c>
      <c r="I603" s="1" t="s">
        <v>88</v>
      </c>
      <c r="K603" s="1" t="s">
        <v>5060</v>
      </c>
      <c r="V603" s="4" t="s">
        <v>5074</v>
      </c>
      <c r="AL603" s="60" t="s">
        <v>30</v>
      </c>
    </row>
    <row r="604" spans="1:47" ht="60" x14ac:dyDescent="0.2">
      <c r="A604" s="1" t="s">
        <v>5041</v>
      </c>
      <c r="B604" s="1" t="s">
        <v>5058</v>
      </c>
      <c r="C604" s="1" t="s">
        <v>5706</v>
      </c>
      <c r="D604" s="48">
        <v>30</v>
      </c>
      <c r="E604" s="1">
        <v>1</v>
      </c>
      <c r="F604" s="1" t="s">
        <v>5047</v>
      </c>
      <c r="G604" s="1" t="s">
        <v>5059</v>
      </c>
      <c r="I604" s="1" t="s">
        <v>88</v>
      </c>
      <c r="K604" s="1" t="s">
        <v>5060</v>
      </c>
      <c r="V604" s="4" t="s">
        <v>5061</v>
      </c>
      <c r="AL604" s="60" t="s">
        <v>30</v>
      </c>
    </row>
    <row r="605" spans="1:47" x14ac:dyDescent="0.2">
      <c r="A605" s="1" t="s">
        <v>5041</v>
      </c>
      <c r="B605" s="1" t="s">
        <v>5088</v>
      </c>
      <c r="C605" s="1" t="s">
        <v>5706</v>
      </c>
      <c r="D605" s="48">
        <v>31</v>
      </c>
      <c r="E605" s="1">
        <v>1</v>
      </c>
      <c r="F605" s="1" t="s">
        <v>5047</v>
      </c>
      <c r="G605" s="1" t="s">
        <v>5089</v>
      </c>
      <c r="I605" s="1" t="s">
        <v>88</v>
      </c>
      <c r="K605" s="1" t="s">
        <v>5060</v>
      </c>
      <c r="V605" s="4" t="s">
        <v>5090</v>
      </c>
      <c r="AL605" s="60" t="s">
        <v>30</v>
      </c>
      <c r="AU605" s="1" t="s">
        <v>6205</v>
      </c>
    </row>
    <row r="606" spans="1:47" ht="24" x14ac:dyDescent="0.2">
      <c r="A606" s="109" t="s">
        <v>3878</v>
      </c>
      <c r="B606" s="109" t="s">
        <v>3906</v>
      </c>
      <c r="C606" s="109" t="s">
        <v>5707</v>
      </c>
      <c r="D606" s="110">
        <v>32</v>
      </c>
      <c r="E606" s="109">
        <v>1</v>
      </c>
      <c r="F606" s="109"/>
      <c r="G606" s="109" t="s">
        <v>3907</v>
      </c>
      <c r="H606" s="1" t="s">
        <v>26</v>
      </c>
      <c r="I606" s="1" t="s">
        <v>27</v>
      </c>
      <c r="J606" s="1" t="s">
        <v>39</v>
      </c>
      <c r="K606" s="1" t="s">
        <v>40</v>
      </c>
      <c r="M606" s="18">
        <v>8</v>
      </c>
      <c r="P606" s="56">
        <v>2</v>
      </c>
      <c r="Q606" s="57">
        <v>2</v>
      </c>
      <c r="R606" s="58">
        <v>1</v>
      </c>
      <c r="S606" s="59">
        <v>3</v>
      </c>
      <c r="V606" s="4" t="s">
        <v>3908</v>
      </c>
      <c r="AL606" s="60" t="s">
        <v>30</v>
      </c>
    </row>
    <row r="607" spans="1:47" ht="24" x14ac:dyDescent="0.2">
      <c r="A607" s="1" t="s">
        <v>3878</v>
      </c>
      <c r="B607" s="1" t="s">
        <v>3943</v>
      </c>
      <c r="C607" s="1" t="s">
        <v>5707</v>
      </c>
      <c r="D607" s="48">
        <v>33</v>
      </c>
      <c r="E607" s="1">
        <v>3</v>
      </c>
      <c r="G607" s="1" t="s">
        <v>3944</v>
      </c>
      <c r="H607" s="1" t="s">
        <v>26</v>
      </c>
      <c r="I607" s="1" t="s">
        <v>38</v>
      </c>
      <c r="J607" s="1" t="s">
        <v>28</v>
      </c>
      <c r="K607" s="1" t="s">
        <v>201</v>
      </c>
      <c r="M607" s="18">
        <v>3</v>
      </c>
      <c r="P607" s="56">
        <v>1</v>
      </c>
      <c r="Q607" s="57">
        <v>1</v>
      </c>
      <c r="R607" s="58">
        <v>1</v>
      </c>
      <c r="S607" s="59">
        <v>3</v>
      </c>
      <c r="V607" s="4" t="s">
        <v>3945</v>
      </c>
      <c r="AL607" s="60" t="s">
        <v>30</v>
      </c>
    </row>
    <row r="608" spans="1:47" ht="36" x14ac:dyDescent="0.2">
      <c r="A608" s="1" t="s">
        <v>3878</v>
      </c>
      <c r="B608" s="1" t="s">
        <v>3933</v>
      </c>
      <c r="C608" s="1" t="s">
        <v>5707</v>
      </c>
      <c r="D608" s="48">
        <v>34</v>
      </c>
      <c r="E608" s="1">
        <v>3</v>
      </c>
      <c r="G608" s="1" t="s">
        <v>3934</v>
      </c>
      <c r="I608" s="1" t="s">
        <v>63</v>
      </c>
      <c r="J608" s="1" t="s">
        <v>28</v>
      </c>
      <c r="M608" s="18">
        <v>2</v>
      </c>
      <c r="V608" s="4" t="s">
        <v>3935</v>
      </c>
      <c r="AL608" s="60" t="s">
        <v>30</v>
      </c>
    </row>
    <row r="609" spans="1:48" ht="36" x14ac:dyDescent="0.2">
      <c r="A609" s="1" t="s">
        <v>3878</v>
      </c>
      <c r="B609" s="1" t="s">
        <v>3902</v>
      </c>
      <c r="C609" s="1" t="s">
        <v>5707</v>
      </c>
      <c r="D609" s="48">
        <v>35</v>
      </c>
      <c r="E609" s="1">
        <v>3</v>
      </c>
      <c r="G609" s="1" t="s">
        <v>3903</v>
      </c>
      <c r="I609" s="1" t="s">
        <v>56</v>
      </c>
      <c r="J609" s="1" t="s">
        <v>50</v>
      </c>
      <c r="K609" s="1" t="s">
        <v>568</v>
      </c>
      <c r="L609" s="2" t="s">
        <v>3904</v>
      </c>
      <c r="M609" s="18">
        <v>1</v>
      </c>
      <c r="V609" s="4" t="s">
        <v>3905</v>
      </c>
      <c r="AL609" s="60" t="s">
        <v>30</v>
      </c>
    </row>
    <row r="610" spans="1:48" ht="48" x14ac:dyDescent="0.2">
      <c r="A610" s="1" t="s">
        <v>3878</v>
      </c>
      <c r="B610" s="1" t="s">
        <v>3909</v>
      </c>
      <c r="C610" s="1" t="s">
        <v>5707</v>
      </c>
      <c r="D610" s="48">
        <v>36</v>
      </c>
      <c r="E610" s="1">
        <v>3</v>
      </c>
      <c r="G610" s="1" t="s">
        <v>3910</v>
      </c>
      <c r="I610" s="1" t="s">
        <v>63</v>
      </c>
      <c r="J610" s="1" t="s">
        <v>50</v>
      </c>
      <c r="M610" s="18">
        <v>2</v>
      </c>
      <c r="V610" s="4" t="s">
        <v>3911</v>
      </c>
      <c r="AL610" s="60" t="s">
        <v>30</v>
      </c>
    </row>
    <row r="611" spans="1:48" ht="24" x14ac:dyDescent="0.2">
      <c r="A611" s="1" t="s">
        <v>3878</v>
      </c>
      <c r="B611" s="1" t="s">
        <v>3950</v>
      </c>
      <c r="C611" s="1" t="s">
        <v>5707</v>
      </c>
      <c r="D611" s="48">
        <v>37</v>
      </c>
      <c r="E611" s="1">
        <v>3</v>
      </c>
      <c r="G611" s="1" t="s">
        <v>3951</v>
      </c>
      <c r="I611" s="1" t="s">
        <v>38</v>
      </c>
      <c r="J611" s="1" t="s">
        <v>57</v>
      </c>
      <c r="K611" s="1" t="s">
        <v>40</v>
      </c>
      <c r="M611" s="18">
        <v>1</v>
      </c>
      <c r="P611" s="56">
        <v>2</v>
      </c>
      <c r="Q611" s="57">
        <v>0</v>
      </c>
      <c r="R611" s="58">
        <v>0</v>
      </c>
      <c r="S611" s="59">
        <v>1</v>
      </c>
      <c r="V611" s="4" t="s">
        <v>3952</v>
      </c>
      <c r="AL611" s="60" t="s">
        <v>30</v>
      </c>
    </row>
    <row r="612" spans="1:48" ht="48" x14ac:dyDescent="0.2">
      <c r="A612" s="1" t="s">
        <v>3878</v>
      </c>
      <c r="B612" s="1" t="s">
        <v>3879</v>
      </c>
      <c r="C612" s="1" t="s">
        <v>5707</v>
      </c>
      <c r="D612" s="48">
        <v>38</v>
      </c>
      <c r="E612" s="1">
        <v>3</v>
      </c>
      <c r="G612" s="1" t="s">
        <v>3880</v>
      </c>
      <c r="I612" s="1" t="s">
        <v>63</v>
      </c>
      <c r="J612" s="1" t="s">
        <v>57</v>
      </c>
      <c r="M612" s="18">
        <v>2</v>
      </c>
      <c r="V612" s="4" t="s">
        <v>3881</v>
      </c>
      <c r="AL612" s="60" t="s">
        <v>30</v>
      </c>
    </row>
    <row r="613" spans="1:48" ht="36" x14ac:dyDescent="0.2">
      <c r="A613" s="1" t="s">
        <v>3878</v>
      </c>
      <c r="B613" s="1" t="s">
        <v>3940</v>
      </c>
      <c r="C613" s="1" t="s">
        <v>5707</v>
      </c>
      <c r="D613" s="48">
        <v>39</v>
      </c>
      <c r="E613" s="1">
        <v>3</v>
      </c>
      <c r="G613" s="1" t="s">
        <v>3941</v>
      </c>
      <c r="I613" s="1" t="s">
        <v>38</v>
      </c>
      <c r="J613" s="1" t="s">
        <v>39</v>
      </c>
      <c r="K613" s="1" t="s">
        <v>1136</v>
      </c>
      <c r="M613" s="18">
        <v>3</v>
      </c>
      <c r="P613" s="56">
        <v>1</v>
      </c>
      <c r="Q613" s="57">
        <v>2</v>
      </c>
      <c r="R613" s="58">
        <v>0</v>
      </c>
      <c r="S613" s="59">
        <v>2</v>
      </c>
      <c r="V613" s="4" t="s">
        <v>3942</v>
      </c>
      <c r="AL613" s="60" t="s">
        <v>30</v>
      </c>
    </row>
    <row r="614" spans="1:48" ht="48" x14ac:dyDescent="0.2">
      <c r="A614" s="1" t="s">
        <v>3878</v>
      </c>
      <c r="B614" s="1" t="s">
        <v>3953</v>
      </c>
      <c r="C614" s="1" t="s">
        <v>5707</v>
      </c>
      <c r="D614" s="48">
        <v>40</v>
      </c>
      <c r="E614" s="1">
        <v>3</v>
      </c>
      <c r="G614" s="1" t="s">
        <v>3954</v>
      </c>
      <c r="I614" s="1" t="s">
        <v>63</v>
      </c>
      <c r="J614" s="1" t="s">
        <v>39</v>
      </c>
      <c r="M614" s="18">
        <v>2</v>
      </c>
      <c r="V614" s="4" t="s">
        <v>3955</v>
      </c>
      <c r="AL614" s="60" t="s">
        <v>30</v>
      </c>
    </row>
    <row r="615" spans="1:48" ht="36" x14ac:dyDescent="0.2">
      <c r="A615" s="1" t="s">
        <v>3878</v>
      </c>
      <c r="B615" s="1" t="s">
        <v>3894</v>
      </c>
      <c r="C615" s="1" t="s">
        <v>5707</v>
      </c>
      <c r="D615" s="48">
        <v>41</v>
      </c>
      <c r="E615" s="1">
        <v>3</v>
      </c>
      <c r="G615" s="1" t="s">
        <v>3895</v>
      </c>
      <c r="I615" s="1" t="s">
        <v>38</v>
      </c>
      <c r="J615" s="1" t="s">
        <v>44</v>
      </c>
      <c r="K615" s="1" t="s">
        <v>205</v>
      </c>
      <c r="M615" s="18">
        <v>3</v>
      </c>
      <c r="P615" s="56">
        <v>1</v>
      </c>
      <c r="Q615" s="57">
        <v>0</v>
      </c>
      <c r="R615" s="58">
        <v>2</v>
      </c>
      <c r="S615" s="59">
        <v>3</v>
      </c>
      <c r="V615" s="4" t="s">
        <v>3896</v>
      </c>
      <c r="AL615" s="60" t="s">
        <v>30</v>
      </c>
      <c r="AU615" s="1" t="s">
        <v>6206</v>
      </c>
      <c r="AV615" s="1" t="s">
        <v>6207</v>
      </c>
    </row>
    <row r="616" spans="1:48" ht="24" x14ac:dyDescent="0.2">
      <c r="A616" s="1" t="s">
        <v>3878</v>
      </c>
      <c r="B616" s="1" t="s">
        <v>3916</v>
      </c>
      <c r="C616" s="1" t="s">
        <v>5707</v>
      </c>
      <c r="D616" s="48">
        <v>42</v>
      </c>
      <c r="E616" s="1">
        <v>1</v>
      </c>
      <c r="F616" s="1" t="s">
        <v>3885</v>
      </c>
      <c r="G616" s="1" t="s">
        <v>9550</v>
      </c>
      <c r="I616" s="1" t="s">
        <v>125</v>
      </c>
      <c r="M616" s="18">
        <v>1</v>
      </c>
      <c r="N616" s="54" t="s">
        <v>9529</v>
      </c>
      <c r="V616" s="4" t="s">
        <v>3917</v>
      </c>
      <c r="X616" s="1" t="s">
        <v>1681</v>
      </c>
      <c r="Y616" s="1" t="s">
        <v>9550</v>
      </c>
      <c r="AA616" s="1" t="s">
        <v>125</v>
      </c>
      <c r="AE616" s="1">
        <v>1</v>
      </c>
      <c r="AF616" s="54" t="s">
        <v>9530</v>
      </c>
      <c r="AL616" s="60" t="s">
        <v>31</v>
      </c>
      <c r="AN616" s="4" t="s">
        <v>3918</v>
      </c>
    </row>
    <row r="617" spans="1:48" x14ac:dyDescent="0.2">
      <c r="A617" s="1" t="s">
        <v>3878</v>
      </c>
      <c r="B617" s="1" t="s">
        <v>3897</v>
      </c>
      <c r="C617" s="1" t="s">
        <v>5707</v>
      </c>
      <c r="D617" s="48">
        <v>43</v>
      </c>
      <c r="E617" s="1">
        <v>1</v>
      </c>
      <c r="F617" s="1" t="s">
        <v>3885</v>
      </c>
      <c r="G617" s="1" t="s">
        <v>9610</v>
      </c>
      <c r="I617" s="1" t="s">
        <v>125</v>
      </c>
      <c r="M617" s="18">
        <v>2</v>
      </c>
      <c r="N617" s="54" t="s">
        <v>9529</v>
      </c>
      <c r="Y617" s="1" t="s">
        <v>9610</v>
      </c>
      <c r="AA617" s="1" t="s">
        <v>125</v>
      </c>
      <c r="AE617" s="1">
        <v>2</v>
      </c>
      <c r="AF617" s="54" t="s">
        <v>9530</v>
      </c>
      <c r="AL617" s="60" t="s">
        <v>2658</v>
      </c>
      <c r="AN617" s="4" t="s">
        <v>3898</v>
      </c>
    </row>
    <row r="618" spans="1:48" ht="72" x14ac:dyDescent="0.2">
      <c r="A618" s="1" t="s">
        <v>3878</v>
      </c>
      <c r="B618" s="1" t="s">
        <v>3886</v>
      </c>
      <c r="C618" s="1" t="s">
        <v>5707</v>
      </c>
      <c r="D618" s="48">
        <v>44</v>
      </c>
      <c r="E618" s="1">
        <v>1</v>
      </c>
      <c r="F618" s="1" t="s">
        <v>3885</v>
      </c>
      <c r="G618" s="1" t="s">
        <v>3887</v>
      </c>
      <c r="H618" s="1" t="s">
        <v>26</v>
      </c>
      <c r="I618" s="1" t="s">
        <v>94</v>
      </c>
      <c r="K618" s="1" t="s">
        <v>3888</v>
      </c>
      <c r="N618" s="54">
        <v>1</v>
      </c>
      <c r="O618" s="55">
        <v>4</v>
      </c>
      <c r="Q618" s="57">
        <v>5</v>
      </c>
      <c r="R618" s="58">
        <v>3</v>
      </c>
      <c r="S618" s="59">
        <v>6</v>
      </c>
      <c r="V618" s="4" t="s">
        <v>3889</v>
      </c>
      <c r="AL618" s="60" t="s">
        <v>30</v>
      </c>
    </row>
    <row r="619" spans="1:48" ht="72" x14ac:dyDescent="0.2">
      <c r="A619" s="1" t="s">
        <v>3878</v>
      </c>
      <c r="B619" s="1" t="s">
        <v>3956</v>
      </c>
      <c r="C619" s="1" t="s">
        <v>5707</v>
      </c>
      <c r="D619" s="48">
        <v>44</v>
      </c>
      <c r="E619" s="1">
        <v>1</v>
      </c>
      <c r="F619" s="1" t="s">
        <v>3885</v>
      </c>
      <c r="G619" s="1" t="s">
        <v>9675</v>
      </c>
      <c r="I619" s="1" t="s">
        <v>125</v>
      </c>
      <c r="M619" s="18">
        <v>3</v>
      </c>
      <c r="N619" s="54" t="s">
        <v>9529</v>
      </c>
      <c r="V619" s="4" t="s">
        <v>3957</v>
      </c>
      <c r="Y619" s="1" t="s">
        <v>9675</v>
      </c>
      <c r="AA619" s="1" t="s">
        <v>125</v>
      </c>
      <c r="AE619" s="1">
        <v>3</v>
      </c>
      <c r="AF619" s="54" t="s">
        <v>9530</v>
      </c>
      <c r="AL619" s="60" t="s">
        <v>5621</v>
      </c>
      <c r="AN619" s="4" t="s">
        <v>3958</v>
      </c>
    </row>
    <row r="620" spans="1:48" ht="24" x14ac:dyDescent="0.2">
      <c r="A620" s="1" t="s">
        <v>3878</v>
      </c>
      <c r="B620" s="1" t="s">
        <v>3946</v>
      </c>
      <c r="C620" s="1" t="s">
        <v>5707</v>
      </c>
      <c r="D620" s="48">
        <v>46</v>
      </c>
      <c r="E620" s="1">
        <v>3</v>
      </c>
      <c r="F620" s="1" t="s">
        <v>3885</v>
      </c>
      <c r="G620" s="1" t="s">
        <v>3947</v>
      </c>
      <c r="I620" s="1" t="s">
        <v>94</v>
      </c>
      <c r="K620" s="1" t="s">
        <v>3888</v>
      </c>
      <c r="N620" s="54">
        <v>40</v>
      </c>
      <c r="O620" s="55">
        <v>0</v>
      </c>
      <c r="Q620" s="57">
        <v>1</v>
      </c>
      <c r="R620" s="58">
        <v>2</v>
      </c>
      <c r="S620" s="59">
        <v>2</v>
      </c>
      <c r="V620" s="4" t="s">
        <v>3948</v>
      </c>
      <c r="W620" s="4" t="s">
        <v>3949</v>
      </c>
      <c r="AL620" s="60" t="s">
        <v>30</v>
      </c>
    </row>
    <row r="621" spans="1:48" ht="36" x14ac:dyDescent="0.2">
      <c r="A621" s="1" t="s">
        <v>3878</v>
      </c>
      <c r="B621" s="1" t="s">
        <v>3912</v>
      </c>
      <c r="C621" s="1" t="s">
        <v>5707</v>
      </c>
      <c r="D621" s="48">
        <v>47</v>
      </c>
      <c r="E621" s="1">
        <v>3</v>
      </c>
      <c r="F621" s="1" t="s">
        <v>3885</v>
      </c>
      <c r="G621" s="1" t="s">
        <v>3913</v>
      </c>
      <c r="I621" s="1" t="s">
        <v>94</v>
      </c>
      <c r="K621" s="1" t="s">
        <v>3888</v>
      </c>
      <c r="L621" s="2" t="s">
        <v>3914</v>
      </c>
      <c r="N621" s="54">
        <v>35</v>
      </c>
      <c r="O621" s="55">
        <v>2</v>
      </c>
      <c r="Q621" s="57">
        <v>3</v>
      </c>
      <c r="R621" s="58">
        <v>2</v>
      </c>
      <c r="S621" s="59">
        <v>4</v>
      </c>
      <c r="W621" s="4" t="s">
        <v>3915</v>
      </c>
      <c r="AL621" s="60" t="s">
        <v>30</v>
      </c>
    </row>
    <row r="622" spans="1:48" ht="48" x14ac:dyDescent="0.2">
      <c r="A622" s="1" t="s">
        <v>3878</v>
      </c>
      <c r="B622" s="1" t="s">
        <v>3927</v>
      </c>
      <c r="C622" s="1" t="s">
        <v>5707</v>
      </c>
      <c r="D622" s="48">
        <v>48</v>
      </c>
      <c r="E622" s="1">
        <v>4</v>
      </c>
      <c r="F622" s="1" t="s">
        <v>3885</v>
      </c>
      <c r="G622" s="1" t="s">
        <v>3928</v>
      </c>
      <c r="I622" s="1" t="s">
        <v>94</v>
      </c>
      <c r="K622" s="1" t="s">
        <v>3888</v>
      </c>
      <c r="L622" s="2" t="s">
        <v>3929</v>
      </c>
      <c r="N622" s="54">
        <v>25</v>
      </c>
      <c r="O622" s="55">
        <v>2</v>
      </c>
      <c r="Q622" s="57">
        <v>4</v>
      </c>
      <c r="R622" s="58">
        <v>3</v>
      </c>
      <c r="S622" s="59">
        <v>3</v>
      </c>
      <c r="W622" s="4" t="s">
        <v>3364</v>
      </c>
      <c r="AL622" s="60" t="s">
        <v>30</v>
      </c>
    </row>
    <row r="623" spans="1:48" ht="24" x14ac:dyDescent="0.2">
      <c r="A623" s="1" t="s">
        <v>3878</v>
      </c>
      <c r="B623" s="1" t="s">
        <v>3930</v>
      </c>
      <c r="C623" s="1" t="s">
        <v>5707</v>
      </c>
      <c r="D623" s="48">
        <v>49</v>
      </c>
      <c r="E623" s="1">
        <v>3</v>
      </c>
      <c r="F623" s="1" t="s">
        <v>3885</v>
      </c>
      <c r="G623" s="1" t="s">
        <v>3931</v>
      </c>
      <c r="I623" s="1" t="s">
        <v>94</v>
      </c>
      <c r="K623" s="1" t="s">
        <v>3888</v>
      </c>
      <c r="L623" s="2" t="s">
        <v>3932</v>
      </c>
      <c r="N623" s="54">
        <v>5</v>
      </c>
      <c r="O623" s="55">
        <v>2</v>
      </c>
      <c r="Q623" s="57">
        <v>2</v>
      </c>
      <c r="R623" s="58">
        <v>1</v>
      </c>
      <c r="S623" s="59">
        <v>2</v>
      </c>
      <c r="W623" s="4" t="s">
        <v>3915</v>
      </c>
      <c r="AL623" s="60" t="s">
        <v>30</v>
      </c>
    </row>
    <row r="624" spans="1:48" ht="36" x14ac:dyDescent="0.2">
      <c r="A624" s="1" t="s">
        <v>3878</v>
      </c>
      <c r="B624" s="1" t="s">
        <v>3882</v>
      </c>
      <c r="C624" s="1" t="s">
        <v>5707</v>
      </c>
      <c r="D624" s="48">
        <v>50</v>
      </c>
      <c r="E624" s="1">
        <v>1</v>
      </c>
      <c r="F624" s="1" t="s">
        <v>3885</v>
      </c>
      <c r="G624" s="1" t="s">
        <v>3883</v>
      </c>
      <c r="I624" s="1" t="s">
        <v>104</v>
      </c>
      <c r="K624" s="1" t="s">
        <v>105</v>
      </c>
      <c r="O624" s="55">
        <v>4</v>
      </c>
      <c r="T624" s="60">
        <v>3</v>
      </c>
      <c r="V624" s="4" t="s">
        <v>3884</v>
      </c>
      <c r="AL624" s="60" t="s">
        <v>30</v>
      </c>
    </row>
    <row r="625" spans="1:40" ht="36" x14ac:dyDescent="0.2">
      <c r="A625" s="1" t="s">
        <v>3878</v>
      </c>
      <c r="B625" s="1" t="s">
        <v>3899</v>
      </c>
      <c r="C625" s="1" t="s">
        <v>5707</v>
      </c>
      <c r="D625" s="48">
        <v>51</v>
      </c>
      <c r="E625" s="1">
        <v>3</v>
      </c>
      <c r="F625" s="1" t="s">
        <v>3885</v>
      </c>
      <c r="G625" s="1" t="s">
        <v>3900</v>
      </c>
      <c r="I625" s="1" t="s">
        <v>104</v>
      </c>
      <c r="K625" s="1" t="s">
        <v>105</v>
      </c>
      <c r="O625" s="55">
        <v>2</v>
      </c>
      <c r="T625" s="60">
        <v>3</v>
      </c>
      <c r="V625" s="4" t="s">
        <v>3901</v>
      </c>
      <c r="AL625" s="60" t="s">
        <v>30</v>
      </c>
    </row>
    <row r="626" spans="1:40" ht="48" x14ac:dyDescent="0.2">
      <c r="A626" s="1" t="s">
        <v>3878</v>
      </c>
      <c r="B626" s="1" t="s">
        <v>3924</v>
      </c>
      <c r="C626" s="1" t="s">
        <v>5707</v>
      </c>
      <c r="D626" s="48">
        <v>52</v>
      </c>
      <c r="E626" s="1">
        <v>3</v>
      </c>
      <c r="F626" s="1" t="s">
        <v>3885</v>
      </c>
      <c r="G626" s="1" t="s">
        <v>3925</v>
      </c>
      <c r="I626" s="1" t="s">
        <v>104</v>
      </c>
      <c r="K626" s="1" t="s">
        <v>105</v>
      </c>
      <c r="O626" s="55" t="s">
        <v>113</v>
      </c>
      <c r="T626" s="60">
        <v>5</v>
      </c>
      <c r="V626" s="4" t="s">
        <v>3926</v>
      </c>
      <c r="AL626" s="60" t="s">
        <v>30</v>
      </c>
    </row>
    <row r="627" spans="1:40" ht="24" x14ac:dyDescent="0.2">
      <c r="A627" s="1" t="s">
        <v>3878</v>
      </c>
      <c r="B627" s="1" t="s">
        <v>3890</v>
      </c>
      <c r="C627" s="1" t="s">
        <v>5707</v>
      </c>
      <c r="D627" s="48">
        <v>53</v>
      </c>
      <c r="E627" s="1">
        <v>3</v>
      </c>
      <c r="F627" s="1" t="s">
        <v>3885</v>
      </c>
      <c r="G627" s="1" t="s">
        <v>3891</v>
      </c>
      <c r="I627" s="1" t="s">
        <v>82</v>
      </c>
      <c r="V627" s="4" t="s">
        <v>3892</v>
      </c>
      <c r="W627" s="4" t="s">
        <v>3893</v>
      </c>
      <c r="AL627" s="60" t="s">
        <v>30</v>
      </c>
    </row>
    <row r="628" spans="1:40" ht="24" x14ac:dyDescent="0.2">
      <c r="A628" s="1" t="s">
        <v>3878</v>
      </c>
      <c r="B628" s="1" t="s">
        <v>3919</v>
      </c>
      <c r="C628" s="1" t="s">
        <v>5707</v>
      </c>
      <c r="D628" s="48">
        <v>54</v>
      </c>
      <c r="E628" s="1">
        <v>3</v>
      </c>
      <c r="F628" s="1" t="s">
        <v>3885</v>
      </c>
      <c r="G628" s="1" t="s">
        <v>3920</v>
      </c>
      <c r="I628" s="1" t="s">
        <v>82</v>
      </c>
      <c r="L628" s="2" t="s">
        <v>3921</v>
      </c>
      <c r="V628" s="4" t="s">
        <v>3922</v>
      </c>
      <c r="W628" s="4" t="s">
        <v>3923</v>
      </c>
      <c r="AL628" s="60" t="s">
        <v>30</v>
      </c>
    </row>
    <row r="629" spans="1:40" ht="24" x14ac:dyDescent="0.2">
      <c r="A629" s="1" t="s">
        <v>3878</v>
      </c>
      <c r="B629" s="1" t="s">
        <v>3936</v>
      </c>
      <c r="C629" s="1" t="s">
        <v>5707</v>
      </c>
      <c r="D629" s="48">
        <v>55</v>
      </c>
      <c r="E629" s="1">
        <v>2</v>
      </c>
      <c r="F629" s="1" t="s">
        <v>3939</v>
      </c>
      <c r="G629" s="1" t="s">
        <v>3937</v>
      </c>
      <c r="I629" s="1" t="s">
        <v>82</v>
      </c>
      <c r="L629" s="2" t="s">
        <v>155</v>
      </c>
      <c r="V629" s="4" t="s">
        <v>3938</v>
      </c>
      <c r="W629" s="4" t="s">
        <v>1770</v>
      </c>
      <c r="AL629" s="60" t="s">
        <v>30</v>
      </c>
    </row>
    <row r="630" spans="1:40" ht="48" x14ac:dyDescent="0.2">
      <c r="A630" s="109" t="s">
        <v>2213</v>
      </c>
      <c r="B630" s="109" t="s">
        <v>2214</v>
      </c>
      <c r="C630" s="109" t="s">
        <v>5708</v>
      </c>
      <c r="D630" s="110">
        <v>56</v>
      </c>
      <c r="E630" s="109">
        <v>1</v>
      </c>
      <c r="F630" s="109"/>
      <c r="G630" s="109" t="s">
        <v>2215</v>
      </c>
      <c r="H630" s="1" t="s">
        <v>26</v>
      </c>
      <c r="I630" s="1" t="s">
        <v>27</v>
      </c>
      <c r="J630" s="1" t="s">
        <v>57</v>
      </c>
      <c r="K630" s="1" t="s">
        <v>242</v>
      </c>
      <c r="M630" s="18">
        <v>6</v>
      </c>
      <c r="P630" s="56">
        <v>2</v>
      </c>
      <c r="Q630" s="57">
        <v>1</v>
      </c>
      <c r="R630" s="58">
        <v>1</v>
      </c>
      <c r="S630" s="59">
        <v>2</v>
      </c>
      <c r="V630" s="4" t="s">
        <v>2216</v>
      </c>
      <c r="AL630" s="60" t="s">
        <v>30</v>
      </c>
    </row>
    <row r="631" spans="1:40" ht="36" x14ac:dyDescent="0.2">
      <c r="A631" s="1" t="s">
        <v>2213</v>
      </c>
      <c r="B631" s="1" t="s">
        <v>2217</v>
      </c>
      <c r="C631" s="1" t="s">
        <v>5708</v>
      </c>
      <c r="D631" s="48">
        <v>57</v>
      </c>
      <c r="E631" s="1">
        <v>3</v>
      </c>
      <c r="G631" s="1" t="s">
        <v>371</v>
      </c>
      <c r="H631" s="1" t="s">
        <v>26</v>
      </c>
      <c r="I631" s="1" t="s">
        <v>38</v>
      </c>
      <c r="J631" s="1" t="s">
        <v>28</v>
      </c>
      <c r="K631" s="1" t="s">
        <v>29</v>
      </c>
      <c r="M631" s="18">
        <v>4</v>
      </c>
      <c r="P631" s="56">
        <v>3</v>
      </c>
      <c r="Q631" s="57">
        <v>1</v>
      </c>
      <c r="R631" s="58">
        <v>2</v>
      </c>
      <c r="S631" s="59">
        <v>3</v>
      </c>
      <c r="V631" s="4" t="s">
        <v>2218</v>
      </c>
      <c r="AL631" s="60" t="s">
        <v>30</v>
      </c>
    </row>
    <row r="632" spans="1:40" ht="36" x14ac:dyDescent="0.2">
      <c r="A632" s="1" t="s">
        <v>2213</v>
      </c>
      <c r="B632" s="1" t="s">
        <v>2219</v>
      </c>
      <c r="C632" s="1" t="s">
        <v>5708</v>
      </c>
      <c r="D632" s="48">
        <v>58</v>
      </c>
      <c r="E632" s="1">
        <v>3</v>
      </c>
      <c r="G632" s="1" t="s">
        <v>2220</v>
      </c>
      <c r="H632" s="1" t="s">
        <v>26</v>
      </c>
      <c r="I632" s="1" t="s">
        <v>56</v>
      </c>
      <c r="J632" s="1" t="s">
        <v>28</v>
      </c>
      <c r="K632" s="1" t="s">
        <v>298</v>
      </c>
      <c r="L632" s="2" t="s">
        <v>2221</v>
      </c>
      <c r="M632" s="18">
        <v>1</v>
      </c>
      <c r="V632" s="4" t="s">
        <v>2222</v>
      </c>
      <c r="AL632" s="60" t="s">
        <v>30</v>
      </c>
    </row>
    <row r="633" spans="1:40" ht="72" x14ac:dyDescent="0.2">
      <c r="A633" s="1" t="s">
        <v>2213</v>
      </c>
      <c r="B633" s="1" t="s">
        <v>2223</v>
      </c>
      <c r="C633" s="1" t="s">
        <v>5708</v>
      </c>
      <c r="D633" s="48">
        <v>59</v>
      </c>
      <c r="E633" s="1">
        <v>3</v>
      </c>
      <c r="G633" s="1" t="s">
        <v>2224</v>
      </c>
      <c r="H633" s="1" t="s">
        <v>26</v>
      </c>
      <c r="I633" s="1" t="s">
        <v>56</v>
      </c>
      <c r="J633" s="1" t="s">
        <v>50</v>
      </c>
      <c r="K633" s="1" t="s">
        <v>188</v>
      </c>
      <c r="L633" s="2" t="s">
        <v>2225</v>
      </c>
      <c r="M633" s="18">
        <v>4</v>
      </c>
      <c r="V633" s="4" t="s">
        <v>2226</v>
      </c>
      <c r="AL633" s="60" t="s">
        <v>30</v>
      </c>
    </row>
    <row r="634" spans="1:40" ht="24" x14ac:dyDescent="0.2">
      <c r="A634" s="1" t="s">
        <v>2213</v>
      </c>
      <c r="B634" s="1" t="s">
        <v>2227</v>
      </c>
      <c r="C634" s="1" t="s">
        <v>5708</v>
      </c>
      <c r="D634" s="48">
        <v>60</v>
      </c>
      <c r="E634" s="1">
        <v>3</v>
      </c>
      <c r="G634" s="1" t="s">
        <v>2228</v>
      </c>
      <c r="I634" s="1" t="s">
        <v>63</v>
      </c>
      <c r="J634" s="1" t="s">
        <v>50</v>
      </c>
      <c r="K634" s="1" t="s">
        <v>205</v>
      </c>
      <c r="M634" s="18">
        <v>0</v>
      </c>
      <c r="V634" s="4" t="s">
        <v>2229</v>
      </c>
      <c r="AL634" s="60" t="s">
        <v>30</v>
      </c>
    </row>
    <row r="635" spans="1:40" ht="48" x14ac:dyDescent="0.2">
      <c r="A635" s="1" t="s">
        <v>2213</v>
      </c>
      <c r="B635" s="1" t="s">
        <v>2230</v>
      </c>
      <c r="C635" s="1" t="s">
        <v>5708</v>
      </c>
      <c r="D635" s="48">
        <v>61</v>
      </c>
      <c r="E635" s="1">
        <v>3</v>
      </c>
      <c r="G635" s="1" t="s">
        <v>2231</v>
      </c>
      <c r="I635" s="1" t="s">
        <v>38</v>
      </c>
      <c r="J635" s="1" t="s">
        <v>57</v>
      </c>
      <c r="K635" s="1" t="s">
        <v>224</v>
      </c>
      <c r="M635" s="18">
        <v>1</v>
      </c>
      <c r="P635" s="56">
        <v>0</v>
      </c>
      <c r="Q635" s="57">
        <v>0</v>
      </c>
      <c r="R635" s="58">
        <v>1</v>
      </c>
      <c r="S635" s="59">
        <v>1</v>
      </c>
      <c r="V635" s="4" t="s">
        <v>2232</v>
      </c>
      <c r="AL635" s="60" t="s">
        <v>30</v>
      </c>
    </row>
    <row r="636" spans="1:40" ht="60" x14ac:dyDescent="0.2">
      <c r="A636" s="1" t="s">
        <v>2213</v>
      </c>
      <c r="B636" s="1" t="s">
        <v>2233</v>
      </c>
      <c r="C636" s="1" t="s">
        <v>5708</v>
      </c>
      <c r="D636" s="48">
        <v>62</v>
      </c>
      <c r="E636" s="1">
        <v>3</v>
      </c>
      <c r="G636" s="1" t="s">
        <v>2234</v>
      </c>
      <c r="I636" s="1" t="s">
        <v>63</v>
      </c>
      <c r="J636" s="1" t="s">
        <v>57</v>
      </c>
      <c r="M636" s="18">
        <v>1</v>
      </c>
      <c r="V636" s="4" t="s">
        <v>2235</v>
      </c>
      <c r="AL636" s="60" t="s">
        <v>30</v>
      </c>
    </row>
    <row r="637" spans="1:40" ht="24" x14ac:dyDescent="0.2">
      <c r="A637" s="1" t="s">
        <v>2213</v>
      </c>
      <c r="B637" s="1" t="s">
        <v>2236</v>
      </c>
      <c r="C637" s="1" t="s">
        <v>5708</v>
      </c>
      <c r="D637" s="48">
        <v>63</v>
      </c>
      <c r="E637" s="1">
        <v>3</v>
      </c>
      <c r="G637" s="1" t="s">
        <v>2237</v>
      </c>
      <c r="I637" s="1" t="s">
        <v>38</v>
      </c>
      <c r="J637" s="1" t="s">
        <v>39</v>
      </c>
      <c r="K637" s="1" t="s">
        <v>2103</v>
      </c>
      <c r="L637" s="2" t="s">
        <v>171</v>
      </c>
      <c r="M637" s="18">
        <v>3</v>
      </c>
      <c r="P637" s="56">
        <v>1</v>
      </c>
      <c r="Q637" s="57">
        <v>2</v>
      </c>
      <c r="R637" s="58">
        <v>1</v>
      </c>
      <c r="S637" s="59">
        <v>2</v>
      </c>
      <c r="V637" s="4" t="s">
        <v>2238</v>
      </c>
      <c r="AL637" s="60" t="s">
        <v>30</v>
      </c>
    </row>
    <row r="638" spans="1:40" ht="72" x14ac:dyDescent="0.2">
      <c r="A638" s="1" t="s">
        <v>2213</v>
      </c>
      <c r="B638" s="1" t="s">
        <v>2239</v>
      </c>
      <c r="C638" s="1" t="s">
        <v>5708</v>
      </c>
      <c r="D638" s="48">
        <v>64</v>
      </c>
      <c r="E638" s="1">
        <v>3</v>
      </c>
      <c r="G638" s="1" t="s">
        <v>2240</v>
      </c>
      <c r="I638" s="1" t="s">
        <v>56</v>
      </c>
      <c r="J638" s="1" t="s">
        <v>39</v>
      </c>
      <c r="K638" s="1" t="s">
        <v>180</v>
      </c>
      <c r="M638" s="18">
        <v>1</v>
      </c>
      <c r="V638" s="4" t="s">
        <v>2241</v>
      </c>
      <c r="AL638" s="60" t="s">
        <v>30</v>
      </c>
    </row>
    <row r="639" spans="1:40" ht="24" x14ac:dyDescent="0.2">
      <c r="A639" s="1" t="s">
        <v>2213</v>
      </c>
      <c r="B639" s="1" t="s">
        <v>2242</v>
      </c>
      <c r="C639" s="1" t="s">
        <v>5708</v>
      </c>
      <c r="D639" s="48">
        <v>65</v>
      </c>
      <c r="E639" s="1">
        <v>3</v>
      </c>
      <c r="G639" s="1" t="s">
        <v>2243</v>
      </c>
      <c r="I639" s="1" t="s">
        <v>63</v>
      </c>
      <c r="J639" s="1" t="s">
        <v>44</v>
      </c>
      <c r="L639" s="2" t="s">
        <v>2244</v>
      </c>
      <c r="M639" s="18">
        <v>2</v>
      </c>
      <c r="V639" s="4" t="s">
        <v>2245</v>
      </c>
      <c r="AL639" s="60" t="s">
        <v>30</v>
      </c>
    </row>
    <row r="640" spans="1:40" ht="60" x14ac:dyDescent="0.2">
      <c r="A640" s="1" t="s">
        <v>2213</v>
      </c>
      <c r="B640" s="1" t="s">
        <v>2246</v>
      </c>
      <c r="C640" s="1" t="s">
        <v>5708</v>
      </c>
      <c r="D640" s="48">
        <v>66</v>
      </c>
      <c r="E640" s="1">
        <v>1</v>
      </c>
      <c r="F640" s="1" t="s">
        <v>2248</v>
      </c>
      <c r="G640" s="1" t="s">
        <v>9551</v>
      </c>
      <c r="I640" s="1" t="s">
        <v>125</v>
      </c>
      <c r="M640" s="18">
        <v>1</v>
      </c>
      <c r="N640" s="54" t="s">
        <v>9529</v>
      </c>
      <c r="V640" s="4" t="s">
        <v>2247</v>
      </c>
      <c r="X640" s="1" t="s">
        <v>2249</v>
      </c>
      <c r="Y640" s="1" t="s">
        <v>9551</v>
      </c>
      <c r="AA640" s="1" t="s">
        <v>125</v>
      </c>
      <c r="AE640" s="1">
        <v>1</v>
      </c>
      <c r="AF640" s="54" t="s">
        <v>9530</v>
      </c>
      <c r="AL640" s="60" t="s">
        <v>799</v>
      </c>
      <c r="AN640" s="4" t="s">
        <v>2250</v>
      </c>
    </row>
    <row r="641" spans="1:40" ht="72" x14ac:dyDescent="0.2">
      <c r="A641" s="1" t="s">
        <v>2213</v>
      </c>
      <c r="B641" s="1" t="s">
        <v>2251</v>
      </c>
      <c r="C641" s="1" t="s">
        <v>5708</v>
      </c>
      <c r="D641" s="48">
        <v>67</v>
      </c>
      <c r="E641" s="1">
        <v>1</v>
      </c>
      <c r="F641" s="1" t="s">
        <v>2248</v>
      </c>
      <c r="G641" s="1" t="s">
        <v>9552</v>
      </c>
      <c r="I641" s="1" t="s">
        <v>125</v>
      </c>
      <c r="M641" s="18">
        <v>1</v>
      </c>
      <c r="N641" s="54" t="s">
        <v>9529</v>
      </c>
      <c r="V641" s="4" t="s">
        <v>2252</v>
      </c>
      <c r="Y641" s="1" t="s">
        <v>9552</v>
      </c>
      <c r="AA641" s="1" t="s">
        <v>125</v>
      </c>
      <c r="AE641" s="1">
        <v>1</v>
      </c>
      <c r="AF641" s="54" t="s">
        <v>9530</v>
      </c>
      <c r="AL641" s="60" t="s">
        <v>666</v>
      </c>
      <c r="AN641" s="4" t="s">
        <v>2253</v>
      </c>
    </row>
    <row r="642" spans="1:40" ht="60" x14ac:dyDescent="0.2">
      <c r="A642" s="1" t="s">
        <v>2213</v>
      </c>
      <c r="B642" s="1" t="s">
        <v>2254</v>
      </c>
      <c r="C642" s="1" t="s">
        <v>5708</v>
      </c>
      <c r="D642" s="48">
        <v>68</v>
      </c>
      <c r="E642" s="1">
        <v>1</v>
      </c>
      <c r="F642" s="1" t="s">
        <v>2248</v>
      </c>
      <c r="G642" s="1" t="s">
        <v>2255</v>
      </c>
      <c r="I642" s="1" t="s">
        <v>88</v>
      </c>
      <c r="V642" s="4" t="s">
        <v>2256</v>
      </c>
      <c r="AL642" s="60" t="s">
        <v>30</v>
      </c>
    </row>
    <row r="643" spans="1:40" ht="60" x14ac:dyDescent="0.2">
      <c r="A643" s="1" t="s">
        <v>2213</v>
      </c>
      <c r="B643" s="1" t="s">
        <v>2257</v>
      </c>
      <c r="C643" s="1" t="s">
        <v>5708</v>
      </c>
      <c r="D643" s="48">
        <v>69</v>
      </c>
      <c r="E643" s="1">
        <v>1</v>
      </c>
      <c r="F643" s="1" t="s">
        <v>2248</v>
      </c>
      <c r="G643" s="1" t="s">
        <v>2258</v>
      </c>
      <c r="I643" s="1" t="s">
        <v>88</v>
      </c>
      <c r="V643" s="4" t="s">
        <v>2259</v>
      </c>
      <c r="AL643" s="60" t="s">
        <v>30</v>
      </c>
    </row>
    <row r="644" spans="1:40" ht="48" x14ac:dyDescent="0.2">
      <c r="A644" s="1" t="s">
        <v>2213</v>
      </c>
      <c r="B644" s="1" t="s">
        <v>2260</v>
      </c>
      <c r="C644" s="1" t="s">
        <v>5708</v>
      </c>
      <c r="D644" s="48">
        <v>70</v>
      </c>
      <c r="E644" s="1">
        <v>1</v>
      </c>
      <c r="F644" s="1" t="s">
        <v>2248</v>
      </c>
      <c r="G644" s="1" t="s">
        <v>2261</v>
      </c>
      <c r="H644" s="1" t="s">
        <v>26</v>
      </c>
      <c r="I644" s="1" t="s">
        <v>88</v>
      </c>
      <c r="K644" s="1" t="s">
        <v>29</v>
      </c>
      <c r="L644" s="2" t="s">
        <v>2262</v>
      </c>
      <c r="P644" s="56">
        <v>1</v>
      </c>
      <c r="Q644" s="57">
        <v>2</v>
      </c>
      <c r="R644" s="58">
        <v>2</v>
      </c>
      <c r="S644" s="59">
        <v>3</v>
      </c>
      <c r="V644" s="4" t="s">
        <v>2263</v>
      </c>
      <c r="AL644" s="60" t="s">
        <v>30</v>
      </c>
    </row>
    <row r="645" spans="1:40" ht="48" x14ac:dyDescent="0.2">
      <c r="A645" s="1" t="s">
        <v>2213</v>
      </c>
      <c r="B645" s="1" t="s">
        <v>2264</v>
      </c>
      <c r="C645" s="1" t="s">
        <v>5708</v>
      </c>
      <c r="D645" s="48">
        <v>71</v>
      </c>
      <c r="E645" s="1">
        <v>1</v>
      </c>
      <c r="F645" s="1" t="s">
        <v>2248</v>
      </c>
      <c r="G645" s="1" t="s">
        <v>2265</v>
      </c>
      <c r="H645" s="1" t="s">
        <v>26</v>
      </c>
      <c r="I645" s="1" t="s">
        <v>94</v>
      </c>
      <c r="K645" s="1" t="s">
        <v>2266</v>
      </c>
      <c r="L645" s="2" t="s">
        <v>2267</v>
      </c>
      <c r="N645" s="54">
        <v>30</v>
      </c>
      <c r="O645" s="55">
        <v>3</v>
      </c>
      <c r="Q645" s="57" t="s">
        <v>113</v>
      </c>
      <c r="R645" s="58">
        <v>3</v>
      </c>
      <c r="S645" s="59">
        <v>7</v>
      </c>
      <c r="U645" s="1">
        <v>2</v>
      </c>
      <c r="V645" s="4" t="s">
        <v>2268</v>
      </c>
      <c r="AL645" s="60" t="s">
        <v>30</v>
      </c>
    </row>
    <row r="646" spans="1:40" ht="24" x14ac:dyDescent="0.2">
      <c r="A646" s="1" t="s">
        <v>2213</v>
      </c>
      <c r="B646" s="1" t="s">
        <v>2269</v>
      </c>
      <c r="C646" s="1" t="s">
        <v>5708</v>
      </c>
      <c r="D646" s="48">
        <v>72</v>
      </c>
      <c r="E646" s="1">
        <v>4</v>
      </c>
      <c r="F646" s="1" t="s">
        <v>2248</v>
      </c>
      <c r="G646" s="1" t="s">
        <v>2270</v>
      </c>
      <c r="I646" s="1" t="s">
        <v>94</v>
      </c>
      <c r="K646" s="1" t="s">
        <v>944</v>
      </c>
      <c r="N646" s="54">
        <v>25</v>
      </c>
      <c r="O646" s="55">
        <v>2</v>
      </c>
      <c r="Q646" s="57">
        <v>4</v>
      </c>
      <c r="R646" s="58">
        <v>1</v>
      </c>
      <c r="S646" s="59">
        <v>4</v>
      </c>
      <c r="V646" s="4" t="s">
        <v>2271</v>
      </c>
      <c r="W646" s="4" t="s">
        <v>2272</v>
      </c>
      <c r="AL646" s="60" t="s">
        <v>30</v>
      </c>
    </row>
    <row r="647" spans="1:40" ht="24" x14ac:dyDescent="0.2">
      <c r="A647" s="1" t="s">
        <v>2213</v>
      </c>
      <c r="B647" s="1" t="s">
        <v>2273</v>
      </c>
      <c r="C647" s="1" t="s">
        <v>5708</v>
      </c>
      <c r="D647" s="48">
        <v>73</v>
      </c>
      <c r="E647" s="1">
        <v>3</v>
      </c>
      <c r="F647" s="1" t="s">
        <v>2248</v>
      </c>
      <c r="G647" s="1" t="s">
        <v>2274</v>
      </c>
      <c r="I647" s="1" t="s">
        <v>94</v>
      </c>
      <c r="K647" s="1" t="s">
        <v>944</v>
      </c>
      <c r="N647" s="54">
        <v>35</v>
      </c>
      <c r="O647" s="55">
        <v>2</v>
      </c>
      <c r="Q647" s="57">
        <v>3</v>
      </c>
      <c r="R647" s="58">
        <v>1</v>
      </c>
      <c r="S647" s="59">
        <v>3</v>
      </c>
      <c r="V647" s="4" t="s">
        <v>2275</v>
      </c>
      <c r="W647" s="4" t="s">
        <v>2276</v>
      </c>
      <c r="AL647" s="60" t="s">
        <v>30</v>
      </c>
    </row>
    <row r="648" spans="1:40" ht="36" x14ac:dyDescent="0.2">
      <c r="A648" s="1" t="s">
        <v>2213</v>
      </c>
      <c r="B648" s="1" t="s">
        <v>2277</v>
      </c>
      <c r="C648" s="1" t="s">
        <v>5708</v>
      </c>
      <c r="D648" s="48">
        <v>74</v>
      </c>
      <c r="E648" s="1">
        <v>2</v>
      </c>
      <c r="F648" s="1" t="s">
        <v>2248</v>
      </c>
      <c r="G648" s="1" t="s">
        <v>2278</v>
      </c>
      <c r="I648" s="1" t="s">
        <v>94</v>
      </c>
      <c r="K648" s="1" t="s">
        <v>51</v>
      </c>
      <c r="N648" s="54">
        <v>40</v>
      </c>
      <c r="O648" s="55">
        <v>3</v>
      </c>
      <c r="Q648" s="57">
        <v>5</v>
      </c>
      <c r="R648" s="58">
        <v>2</v>
      </c>
      <c r="S648" s="59">
        <v>3</v>
      </c>
      <c r="V648" s="4" t="s">
        <v>2279</v>
      </c>
      <c r="AL648" s="60" t="s">
        <v>30</v>
      </c>
    </row>
    <row r="649" spans="1:40" ht="24" x14ac:dyDescent="0.2">
      <c r="A649" s="1" t="s">
        <v>2213</v>
      </c>
      <c r="B649" s="1" t="s">
        <v>2280</v>
      </c>
      <c r="C649" s="1" t="s">
        <v>5708</v>
      </c>
      <c r="D649" s="48">
        <v>75</v>
      </c>
      <c r="E649" s="1">
        <v>4</v>
      </c>
      <c r="F649" s="1" t="s">
        <v>2248</v>
      </c>
      <c r="G649" s="1" t="s">
        <v>2281</v>
      </c>
      <c r="I649" s="1" t="s">
        <v>104</v>
      </c>
      <c r="K649" s="1" t="s">
        <v>205</v>
      </c>
      <c r="L649" s="2" t="s">
        <v>2282</v>
      </c>
      <c r="O649" s="55">
        <v>1</v>
      </c>
      <c r="T649" s="60">
        <v>5</v>
      </c>
      <c r="U649" s="1">
        <v>1</v>
      </c>
      <c r="V649" s="4" t="s">
        <v>2283</v>
      </c>
      <c r="AL649" s="60" t="s">
        <v>30</v>
      </c>
    </row>
    <row r="650" spans="1:40" ht="36" x14ac:dyDescent="0.2">
      <c r="A650" s="1" t="s">
        <v>2213</v>
      </c>
      <c r="B650" s="1" t="s">
        <v>2284</v>
      </c>
      <c r="C650" s="1" t="s">
        <v>5708</v>
      </c>
      <c r="D650" s="48">
        <v>76</v>
      </c>
      <c r="E650" s="1">
        <v>4</v>
      </c>
      <c r="F650" s="1" t="s">
        <v>2248</v>
      </c>
      <c r="G650" s="1" t="s">
        <v>2285</v>
      </c>
      <c r="I650" s="1" t="s">
        <v>104</v>
      </c>
      <c r="K650" s="1" t="s">
        <v>205</v>
      </c>
      <c r="L650" s="2" t="s">
        <v>2286</v>
      </c>
      <c r="O650" s="55">
        <v>2</v>
      </c>
      <c r="T650" s="60">
        <v>4</v>
      </c>
      <c r="U650" s="1">
        <v>1</v>
      </c>
      <c r="V650" s="4" t="s">
        <v>2287</v>
      </c>
      <c r="AL650" s="60" t="s">
        <v>30</v>
      </c>
    </row>
    <row r="651" spans="1:40" ht="24" x14ac:dyDescent="0.2">
      <c r="A651" s="1" t="s">
        <v>2213</v>
      </c>
      <c r="B651" s="1" t="s">
        <v>2288</v>
      </c>
      <c r="C651" s="1" t="s">
        <v>5708</v>
      </c>
      <c r="D651" s="48">
        <v>77</v>
      </c>
      <c r="E651" s="1">
        <v>3</v>
      </c>
      <c r="F651" s="1" t="s">
        <v>2248</v>
      </c>
      <c r="G651" s="1" t="s">
        <v>2289</v>
      </c>
      <c r="I651" s="1" t="s">
        <v>104</v>
      </c>
      <c r="K651" s="1" t="s">
        <v>205</v>
      </c>
      <c r="L651" s="2" t="s">
        <v>2290</v>
      </c>
      <c r="O651" s="55">
        <v>3</v>
      </c>
      <c r="T651" s="60">
        <v>3</v>
      </c>
      <c r="U651" s="1">
        <v>1</v>
      </c>
      <c r="V651" s="4" t="s">
        <v>2291</v>
      </c>
      <c r="AL651" s="60" t="s">
        <v>30</v>
      </c>
    </row>
    <row r="652" spans="1:40" ht="24" x14ac:dyDescent="0.2">
      <c r="A652" s="1" t="s">
        <v>2213</v>
      </c>
      <c r="B652" s="1" t="s">
        <v>2292</v>
      </c>
      <c r="C652" s="1" t="s">
        <v>5708</v>
      </c>
      <c r="D652" s="48">
        <v>78</v>
      </c>
      <c r="E652" s="1">
        <v>2</v>
      </c>
      <c r="F652" s="1" t="s">
        <v>2248</v>
      </c>
      <c r="G652" s="1" t="s">
        <v>2293</v>
      </c>
      <c r="I652" s="1" t="s">
        <v>82</v>
      </c>
      <c r="L652" s="2" t="s">
        <v>155</v>
      </c>
      <c r="V652" s="4" t="s">
        <v>2294</v>
      </c>
      <c r="W652" s="4" t="s">
        <v>2295</v>
      </c>
      <c r="AL652" s="60" t="s">
        <v>30</v>
      </c>
    </row>
    <row r="653" spans="1:40" ht="36" x14ac:dyDescent="0.2">
      <c r="A653" s="1" t="s">
        <v>2213</v>
      </c>
      <c r="B653" s="1" t="s">
        <v>2296</v>
      </c>
      <c r="C653" s="1" t="s">
        <v>5708</v>
      </c>
      <c r="D653" s="48">
        <v>79</v>
      </c>
      <c r="E653" s="1">
        <v>2</v>
      </c>
      <c r="F653" s="1" t="s">
        <v>2248</v>
      </c>
      <c r="G653" s="1" t="s">
        <v>2297</v>
      </c>
      <c r="I653" s="1" t="s">
        <v>82</v>
      </c>
      <c r="L653" s="2" t="s">
        <v>1233</v>
      </c>
      <c r="V653" s="4" t="s">
        <v>2298</v>
      </c>
      <c r="W653" s="4" t="s">
        <v>2272</v>
      </c>
      <c r="AL653" s="60" t="s">
        <v>30</v>
      </c>
    </row>
    <row r="654" spans="1:40" ht="48" x14ac:dyDescent="0.2">
      <c r="A654" s="1" t="s">
        <v>2213</v>
      </c>
      <c r="B654" s="1" t="s">
        <v>2299</v>
      </c>
      <c r="C654" s="1" t="s">
        <v>5708</v>
      </c>
      <c r="D654" s="48">
        <v>80</v>
      </c>
      <c r="E654" s="1">
        <v>2</v>
      </c>
      <c r="F654" s="1" t="s">
        <v>2248</v>
      </c>
      <c r="G654" s="1" t="s">
        <v>2300</v>
      </c>
      <c r="I654" s="1" t="s">
        <v>82</v>
      </c>
      <c r="V654" s="4" t="s">
        <v>2301</v>
      </c>
      <c r="W654" s="4" t="s">
        <v>2302</v>
      </c>
      <c r="AL654" s="60" t="s">
        <v>30</v>
      </c>
    </row>
    <row r="655" spans="1:40" x14ac:dyDescent="0.2">
      <c r="A655" s="109" t="s">
        <v>132</v>
      </c>
      <c r="B655" s="109" t="s">
        <v>168</v>
      </c>
      <c r="C655" s="109" t="s">
        <v>5709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5709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5709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5709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5709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5709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5709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5709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5709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5709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5709</v>
      </c>
      <c r="D665" s="48">
        <v>91</v>
      </c>
      <c r="E665" s="1">
        <v>1</v>
      </c>
      <c r="F665" s="1" t="s">
        <v>137</v>
      </c>
      <c r="G665" s="1" t="s">
        <v>9553</v>
      </c>
      <c r="I665" s="1" t="s">
        <v>125</v>
      </c>
      <c r="M665" s="18">
        <v>1</v>
      </c>
      <c r="N665" s="54" t="s">
        <v>9529</v>
      </c>
      <c r="V665" s="4" t="s">
        <v>220</v>
      </c>
      <c r="Y665" s="1" t="s">
        <v>9553</v>
      </c>
      <c r="AA665" s="1" t="s">
        <v>125</v>
      </c>
      <c r="AE665" s="1">
        <v>1</v>
      </c>
      <c r="AF665" s="54" t="s">
        <v>9530</v>
      </c>
      <c r="AL665" s="60" t="s">
        <v>799</v>
      </c>
      <c r="AN665" s="4" t="s">
        <v>221</v>
      </c>
    </row>
    <row r="666" spans="1:40" ht="24" x14ac:dyDescent="0.2">
      <c r="A666" s="1" t="s">
        <v>132</v>
      </c>
      <c r="B666" s="1" t="s">
        <v>214</v>
      </c>
      <c r="C666" s="1" t="s">
        <v>5709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5709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5709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5709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5709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5709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5709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5709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5709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5709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5709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5709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5709</v>
      </c>
      <c r="D678" s="48">
        <v>104</v>
      </c>
      <c r="E678" s="1">
        <v>2</v>
      </c>
      <c r="F678" s="1" t="s">
        <v>137</v>
      </c>
      <c r="G678" s="1" t="s">
        <v>134</v>
      </c>
      <c r="I678" s="1" t="s">
        <v>82</v>
      </c>
      <c r="V678" s="4" t="s">
        <v>135</v>
      </c>
      <c r="W678" s="4" t="s">
        <v>136</v>
      </c>
      <c r="AL678" s="60" t="s">
        <v>30</v>
      </c>
    </row>
    <row r="679" spans="1:38" ht="48" x14ac:dyDescent="0.2">
      <c r="A679" s="1" t="s">
        <v>132</v>
      </c>
      <c r="B679" s="1" t="s">
        <v>161</v>
      </c>
      <c r="C679" s="1" t="s">
        <v>5709</v>
      </c>
      <c r="D679" s="48">
        <v>105</v>
      </c>
      <c r="E679" s="1">
        <v>2</v>
      </c>
      <c r="F679" s="1" t="s">
        <v>137</v>
      </c>
      <c r="G679" s="1" t="s">
        <v>162</v>
      </c>
      <c r="I679" s="1" t="s">
        <v>82</v>
      </c>
      <c r="V679" s="4" t="s">
        <v>163</v>
      </c>
      <c r="AL679" s="60" t="s">
        <v>30</v>
      </c>
    </row>
    <row r="680" spans="1:38" ht="36" x14ac:dyDescent="0.2">
      <c r="A680" s="1" t="s">
        <v>132</v>
      </c>
      <c r="B680" s="1" t="s">
        <v>153</v>
      </c>
      <c r="C680" s="1" t="s">
        <v>5709</v>
      </c>
      <c r="D680" s="48">
        <v>106</v>
      </c>
      <c r="E680" s="1">
        <v>2</v>
      </c>
      <c r="F680" s="1" t="s">
        <v>137</v>
      </c>
      <c r="G680" s="1" t="s">
        <v>154</v>
      </c>
      <c r="I680" s="1" t="s">
        <v>82</v>
      </c>
      <c r="L680" s="2" t="s">
        <v>155</v>
      </c>
      <c r="V680" s="4" t="s">
        <v>156</v>
      </c>
      <c r="AL680" s="60" t="s">
        <v>30</v>
      </c>
    </row>
    <row r="681" spans="1:38" ht="36" x14ac:dyDescent="0.2">
      <c r="A681" s="109" t="s">
        <v>3764</v>
      </c>
      <c r="B681" s="109" t="s">
        <v>3783</v>
      </c>
      <c r="C681" s="109" t="s">
        <v>5710</v>
      </c>
      <c r="D681" s="110">
        <v>107</v>
      </c>
      <c r="E681" s="109">
        <v>1</v>
      </c>
      <c r="F681" s="109"/>
      <c r="G681" s="109" t="s">
        <v>3784</v>
      </c>
      <c r="H681" s="1" t="s">
        <v>26</v>
      </c>
      <c r="I681" s="1" t="s">
        <v>27</v>
      </c>
      <c r="J681" s="1" t="s">
        <v>57</v>
      </c>
      <c r="K681" s="1" t="s">
        <v>205</v>
      </c>
      <c r="M681" s="18">
        <v>8</v>
      </c>
      <c r="P681" s="56">
        <v>2</v>
      </c>
      <c r="Q681" s="57">
        <v>1</v>
      </c>
      <c r="R681" s="58">
        <v>2</v>
      </c>
      <c r="S681" s="59">
        <v>3</v>
      </c>
      <c r="V681" s="4" t="s">
        <v>9391</v>
      </c>
      <c r="AL681" s="60" t="s">
        <v>30</v>
      </c>
    </row>
    <row r="682" spans="1:38" ht="24" x14ac:dyDescent="0.2">
      <c r="A682" s="1" t="s">
        <v>3764</v>
      </c>
      <c r="B682" s="1" t="s">
        <v>3806</v>
      </c>
      <c r="C682" s="1" t="s">
        <v>5710</v>
      </c>
      <c r="D682" s="48">
        <v>108</v>
      </c>
      <c r="E682" s="1">
        <v>3</v>
      </c>
      <c r="G682" s="1" t="s">
        <v>3807</v>
      </c>
      <c r="I682" s="1" t="s">
        <v>38</v>
      </c>
      <c r="J682" s="1" t="s">
        <v>28</v>
      </c>
      <c r="K682" s="1" t="s">
        <v>205</v>
      </c>
      <c r="M682" s="18">
        <v>1</v>
      </c>
      <c r="P682" s="56">
        <v>0</v>
      </c>
      <c r="Q682" s="57">
        <v>0</v>
      </c>
      <c r="R682" s="58">
        <v>1</v>
      </c>
      <c r="S682" s="59">
        <v>1</v>
      </c>
      <c r="V682" s="4" t="s">
        <v>9392</v>
      </c>
      <c r="AL682" s="60" t="s">
        <v>30</v>
      </c>
    </row>
    <row r="683" spans="1:38" ht="48" x14ac:dyDescent="0.2">
      <c r="A683" s="1" t="s">
        <v>3764</v>
      </c>
      <c r="B683" s="1" t="s">
        <v>3808</v>
      </c>
      <c r="C683" s="1" t="s">
        <v>5710</v>
      </c>
      <c r="D683" s="48">
        <v>109</v>
      </c>
      <c r="E683" s="1">
        <v>3</v>
      </c>
      <c r="G683" s="1" t="s">
        <v>5910</v>
      </c>
      <c r="H683" s="1" t="s">
        <v>26</v>
      </c>
      <c r="I683" s="1" t="s">
        <v>56</v>
      </c>
      <c r="J683" s="1" t="s">
        <v>28</v>
      </c>
      <c r="K683" s="1" t="s">
        <v>188</v>
      </c>
      <c r="L683" s="2" t="s">
        <v>3103</v>
      </c>
      <c r="M683" s="18">
        <v>4</v>
      </c>
      <c r="V683" s="4" t="s">
        <v>9393</v>
      </c>
      <c r="AL683" s="60" t="s">
        <v>30</v>
      </c>
    </row>
    <row r="684" spans="1:38" ht="24" x14ac:dyDescent="0.2">
      <c r="A684" s="1" t="s">
        <v>3764</v>
      </c>
      <c r="B684" s="1" t="s">
        <v>3769</v>
      </c>
      <c r="C684" s="1" t="s">
        <v>5710</v>
      </c>
      <c r="D684" s="48">
        <v>110</v>
      </c>
      <c r="E684" s="1">
        <v>3</v>
      </c>
      <c r="G684" s="1" t="s">
        <v>3770</v>
      </c>
      <c r="H684" s="1" t="s">
        <v>26</v>
      </c>
      <c r="I684" s="1" t="s">
        <v>38</v>
      </c>
      <c r="J684" s="1" t="s">
        <v>50</v>
      </c>
      <c r="K684" s="1" t="s">
        <v>75</v>
      </c>
      <c r="M684" s="18">
        <v>3</v>
      </c>
      <c r="P684" s="56">
        <v>1</v>
      </c>
      <c r="Q684" s="57">
        <v>1</v>
      </c>
      <c r="R684" s="58">
        <v>2</v>
      </c>
      <c r="S684" s="59">
        <v>2</v>
      </c>
      <c r="V684" s="4" t="s">
        <v>9394</v>
      </c>
      <c r="AL684" s="60" t="s">
        <v>30</v>
      </c>
    </row>
    <row r="685" spans="1:38" x14ac:dyDescent="0.2">
      <c r="A685" s="1" t="s">
        <v>3764</v>
      </c>
      <c r="B685" s="1" t="s">
        <v>3803</v>
      </c>
      <c r="C685" s="1" t="s">
        <v>5710</v>
      </c>
      <c r="D685" s="48">
        <v>111</v>
      </c>
      <c r="E685" s="1">
        <v>3</v>
      </c>
      <c r="G685" s="1" t="s">
        <v>3804</v>
      </c>
      <c r="I685" s="1" t="s">
        <v>63</v>
      </c>
      <c r="J685" s="1" t="s">
        <v>50</v>
      </c>
      <c r="M685" s="18">
        <v>2</v>
      </c>
      <c r="V685" s="4" t="s">
        <v>9395</v>
      </c>
      <c r="AL685" s="60" t="s">
        <v>30</v>
      </c>
    </row>
    <row r="686" spans="1:38" ht="48" x14ac:dyDescent="0.2">
      <c r="A686" s="1" t="s">
        <v>3764</v>
      </c>
      <c r="B686" s="1" t="s">
        <v>3779</v>
      </c>
      <c r="C686" s="1" t="s">
        <v>5710</v>
      </c>
      <c r="D686" s="48">
        <v>112</v>
      </c>
      <c r="E686" s="1">
        <v>3</v>
      </c>
      <c r="G686" s="1" t="s">
        <v>3780</v>
      </c>
      <c r="H686" s="1" t="s">
        <v>26</v>
      </c>
      <c r="I686" s="1" t="s">
        <v>38</v>
      </c>
      <c r="J686" s="1" t="s">
        <v>57</v>
      </c>
      <c r="K686" s="1" t="s">
        <v>205</v>
      </c>
      <c r="M686" s="18">
        <v>3</v>
      </c>
      <c r="P686" s="56">
        <v>1</v>
      </c>
      <c r="Q686" s="57">
        <v>1</v>
      </c>
      <c r="R686" s="58">
        <v>2</v>
      </c>
      <c r="S686" s="59">
        <v>2</v>
      </c>
      <c r="V686" s="4" t="s">
        <v>9396</v>
      </c>
      <c r="AL686" s="60" t="s">
        <v>30</v>
      </c>
    </row>
    <row r="687" spans="1:38" ht="36" x14ac:dyDescent="0.2">
      <c r="A687" s="1" t="s">
        <v>3764</v>
      </c>
      <c r="B687" s="1" t="s">
        <v>3785</v>
      </c>
      <c r="C687" s="1" t="s">
        <v>5710</v>
      </c>
      <c r="D687" s="48">
        <v>113</v>
      </c>
      <c r="E687" s="1">
        <v>3</v>
      </c>
      <c r="G687" s="1" t="s">
        <v>3786</v>
      </c>
      <c r="I687" s="1" t="s">
        <v>63</v>
      </c>
      <c r="J687" s="1" t="s">
        <v>57</v>
      </c>
      <c r="M687" s="18">
        <v>0</v>
      </c>
      <c r="V687" s="4" t="s">
        <v>9397</v>
      </c>
      <c r="AL687" s="60" t="s">
        <v>30</v>
      </c>
    </row>
    <row r="688" spans="1:38" ht="24" x14ac:dyDescent="0.2">
      <c r="A688" s="1" t="s">
        <v>3764</v>
      </c>
      <c r="B688" s="1" t="s">
        <v>3811</v>
      </c>
      <c r="C688" s="1" t="s">
        <v>5710</v>
      </c>
      <c r="D688" s="48">
        <v>114</v>
      </c>
      <c r="E688" s="1">
        <v>3</v>
      </c>
      <c r="G688" s="1" t="s">
        <v>2102</v>
      </c>
      <c r="H688" s="1" t="s">
        <v>26</v>
      </c>
      <c r="I688" s="1" t="s">
        <v>38</v>
      </c>
      <c r="J688" s="1" t="s">
        <v>39</v>
      </c>
      <c r="K688" s="1" t="s">
        <v>2103</v>
      </c>
      <c r="M688" s="18">
        <v>4</v>
      </c>
      <c r="P688" s="56">
        <v>1</v>
      </c>
      <c r="Q688" s="57">
        <v>3</v>
      </c>
      <c r="R688" s="58">
        <v>1</v>
      </c>
      <c r="S688" s="59">
        <v>3</v>
      </c>
      <c r="V688" s="4" t="s">
        <v>9398</v>
      </c>
      <c r="AL688" s="60" t="s">
        <v>30</v>
      </c>
    </row>
    <row r="689" spans="1:40" ht="48" x14ac:dyDescent="0.2">
      <c r="A689" s="1" t="s">
        <v>3764</v>
      </c>
      <c r="B689" s="1" t="s">
        <v>3777</v>
      </c>
      <c r="C689" s="1" t="s">
        <v>5710</v>
      </c>
      <c r="D689" s="48">
        <v>115</v>
      </c>
      <c r="E689" s="1">
        <v>3</v>
      </c>
      <c r="G689" s="1" t="s">
        <v>3778</v>
      </c>
      <c r="I689" s="1" t="s">
        <v>56</v>
      </c>
      <c r="J689" s="1" t="s">
        <v>39</v>
      </c>
      <c r="K689" s="1" t="s">
        <v>180</v>
      </c>
      <c r="M689" s="18">
        <v>2</v>
      </c>
      <c r="V689" s="4" t="s">
        <v>9399</v>
      </c>
      <c r="AL689" s="60" t="s">
        <v>30</v>
      </c>
    </row>
    <row r="690" spans="1:40" ht="36" x14ac:dyDescent="0.2">
      <c r="A690" s="1" t="s">
        <v>3764</v>
      </c>
      <c r="B690" s="1" t="s">
        <v>3771</v>
      </c>
      <c r="C690" s="1" t="s">
        <v>5710</v>
      </c>
      <c r="D690" s="48">
        <v>116</v>
      </c>
      <c r="E690" s="1">
        <v>3</v>
      </c>
      <c r="G690" s="1" t="s">
        <v>3772</v>
      </c>
      <c r="I690" s="1" t="s">
        <v>63</v>
      </c>
      <c r="J690" s="1" t="s">
        <v>44</v>
      </c>
      <c r="M690" s="18">
        <v>0</v>
      </c>
      <c r="V690" s="4" t="s">
        <v>9400</v>
      </c>
      <c r="AL690" s="60" t="s">
        <v>30</v>
      </c>
    </row>
    <row r="691" spans="1:40" ht="48" x14ac:dyDescent="0.2">
      <c r="A691" s="1" t="s">
        <v>3764</v>
      </c>
      <c r="B691" s="1" t="s">
        <v>3773</v>
      </c>
      <c r="C691" s="1" t="s">
        <v>5710</v>
      </c>
      <c r="D691" s="48">
        <v>117</v>
      </c>
      <c r="E691" s="1">
        <v>1</v>
      </c>
      <c r="F691" s="1" t="s">
        <v>3768</v>
      </c>
      <c r="G691" s="1" t="s">
        <v>10579</v>
      </c>
      <c r="I691" s="1" t="s">
        <v>125</v>
      </c>
      <c r="M691" s="18">
        <v>1</v>
      </c>
      <c r="N691" s="54" t="s">
        <v>9529</v>
      </c>
      <c r="V691" s="4" t="s">
        <v>9401</v>
      </c>
      <c r="X691" s="1" t="s">
        <v>3774</v>
      </c>
      <c r="Y691" s="1" t="s">
        <v>10579</v>
      </c>
      <c r="AA691" s="1" t="s">
        <v>125</v>
      </c>
      <c r="AE691" s="1">
        <v>1</v>
      </c>
      <c r="AF691" s="54" t="s">
        <v>9530</v>
      </c>
      <c r="AL691" s="60" t="s">
        <v>31</v>
      </c>
      <c r="AN691" s="4" t="s">
        <v>10582</v>
      </c>
    </row>
    <row r="692" spans="1:40" ht="36" x14ac:dyDescent="0.2">
      <c r="A692" s="1" t="s">
        <v>3764</v>
      </c>
      <c r="B692" s="1" t="s">
        <v>3805</v>
      </c>
      <c r="C692" s="1" t="s">
        <v>5710</v>
      </c>
      <c r="D692" s="48">
        <v>118</v>
      </c>
      <c r="E692" s="1">
        <v>1</v>
      </c>
      <c r="F692" s="1" t="s">
        <v>3768</v>
      </c>
      <c r="G692" s="1" t="s">
        <v>9611</v>
      </c>
      <c r="I692" s="1" t="s">
        <v>125</v>
      </c>
      <c r="L692" s="2" t="s">
        <v>9402</v>
      </c>
      <c r="M692" s="18">
        <v>2</v>
      </c>
      <c r="N692" s="54" t="s">
        <v>9529</v>
      </c>
      <c r="V692" s="4" t="s">
        <v>9403</v>
      </c>
      <c r="Y692" s="1" t="s">
        <v>9611</v>
      </c>
      <c r="AA692" s="1" t="s">
        <v>125</v>
      </c>
      <c r="AE692" s="1">
        <v>2</v>
      </c>
      <c r="AF692" s="54" t="s">
        <v>9530</v>
      </c>
      <c r="AL692" s="60">
        <v>15</v>
      </c>
      <c r="AN692" s="4" t="s">
        <v>9404</v>
      </c>
    </row>
    <row r="693" spans="1:40" ht="36" x14ac:dyDescent="0.2">
      <c r="A693" s="1" t="s">
        <v>3764</v>
      </c>
      <c r="B693" s="1" t="s">
        <v>3787</v>
      </c>
      <c r="C693" s="1" t="s">
        <v>5710</v>
      </c>
      <c r="D693" s="48">
        <v>119</v>
      </c>
      <c r="E693" s="1">
        <v>1</v>
      </c>
      <c r="F693" s="1" t="s">
        <v>3768</v>
      </c>
      <c r="G693" s="1" t="s">
        <v>5911</v>
      </c>
      <c r="I693" s="1" t="s">
        <v>94</v>
      </c>
      <c r="K693" s="1" t="s">
        <v>2514</v>
      </c>
      <c r="N693" s="54">
        <v>35</v>
      </c>
      <c r="O693" s="55" t="s">
        <v>113</v>
      </c>
      <c r="Q693" s="57">
        <v>5</v>
      </c>
      <c r="R693" s="58">
        <v>3</v>
      </c>
      <c r="S693" s="59">
        <v>5</v>
      </c>
      <c r="U693" s="1">
        <v>3</v>
      </c>
      <c r="V693" s="4" t="s">
        <v>9405</v>
      </c>
      <c r="AL693" s="60" t="s">
        <v>30</v>
      </c>
    </row>
    <row r="694" spans="1:40" ht="24" x14ac:dyDescent="0.2">
      <c r="A694" s="1" t="s">
        <v>3764</v>
      </c>
      <c r="B694" s="1" t="s">
        <v>3792</v>
      </c>
      <c r="C694" s="1" t="s">
        <v>5710</v>
      </c>
      <c r="D694" s="48">
        <v>120</v>
      </c>
      <c r="E694" s="1">
        <v>4</v>
      </c>
      <c r="F694" s="1" t="s">
        <v>3768</v>
      </c>
      <c r="G694" s="1" t="s">
        <v>3793</v>
      </c>
      <c r="I694" s="1" t="s">
        <v>94</v>
      </c>
      <c r="K694" s="1" t="s">
        <v>3794</v>
      </c>
      <c r="N694" s="54">
        <v>10</v>
      </c>
      <c r="O694" s="55">
        <v>2</v>
      </c>
      <c r="Q694" s="57">
        <v>3</v>
      </c>
      <c r="R694" s="58">
        <v>1</v>
      </c>
      <c r="S694" s="59">
        <v>3</v>
      </c>
      <c r="V694" s="4" t="s">
        <v>9406</v>
      </c>
      <c r="W694" s="4" t="s">
        <v>9407</v>
      </c>
      <c r="AL694" s="60" t="s">
        <v>30</v>
      </c>
    </row>
    <row r="695" spans="1:40" ht="48" x14ac:dyDescent="0.2">
      <c r="A695" s="1" t="s">
        <v>3764</v>
      </c>
      <c r="B695" s="1" t="s">
        <v>3775</v>
      </c>
      <c r="C695" s="1" t="s">
        <v>5710</v>
      </c>
      <c r="D695" s="48">
        <v>121</v>
      </c>
      <c r="E695" s="1">
        <v>3</v>
      </c>
      <c r="F695" s="1" t="s">
        <v>3768</v>
      </c>
      <c r="G695" s="1" t="s">
        <v>3776</v>
      </c>
      <c r="I695" s="1" t="s">
        <v>94</v>
      </c>
      <c r="K695" s="1" t="s">
        <v>216</v>
      </c>
      <c r="N695" s="54">
        <v>20</v>
      </c>
      <c r="O695" s="55">
        <v>3</v>
      </c>
      <c r="Q695" s="57">
        <v>4</v>
      </c>
      <c r="R695" s="58">
        <v>1</v>
      </c>
      <c r="S695" s="59">
        <v>5</v>
      </c>
      <c r="V695" s="4" t="s">
        <v>9408</v>
      </c>
      <c r="AL695" s="60" t="s">
        <v>30</v>
      </c>
    </row>
    <row r="696" spans="1:40" ht="24" x14ac:dyDescent="0.2">
      <c r="A696" s="1" t="s">
        <v>3764</v>
      </c>
      <c r="B696" s="1" t="s">
        <v>3798</v>
      </c>
      <c r="C696" s="1" t="s">
        <v>5710</v>
      </c>
      <c r="D696" s="48">
        <v>122</v>
      </c>
      <c r="E696" s="1">
        <v>2</v>
      </c>
      <c r="F696" s="1" t="s">
        <v>3768</v>
      </c>
      <c r="G696" s="1" t="s">
        <v>3761</v>
      </c>
      <c r="I696" s="1" t="s">
        <v>94</v>
      </c>
      <c r="K696" s="1" t="s">
        <v>95</v>
      </c>
      <c r="N696" s="54">
        <v>5</v>
      </c>
      <c r="O696" s="55">
        <v>1</v>
      </c>
      <c r="Q696" s="57">
        <v>1</v>
      </c>
      <c r="R696" s="58">
        <v>0</v>
      </c>
      <c r="S696" s="59">
        <v>2</v>
      </c>
      <c r="V696" s="4" t="s">
        <v>9409</v>
      </c>
      <c r="W696" s="4" t="s">
        <v>9410</v>
      </c>
      <c r="AL696" s="60" t="s">
        <v>30</v>
      </c>
    </row>
    <row r="697" spans="1:40" ht="24" x14ac:dyDescent="0.2">
      <c r="A697" s="1" t="s">
        <v>3764</v>
      </c>
      <c r="B697" s="1" t="s">
        <v>3795</v>
      </c>
      <c r="C697" s="1" t="s">
        <v>5710</v>
      </c>
      <c r="D697" s="48">
        <v>123</v>
      </c>
      <c r="E697" s="1">
        <v>1</v>
      </c>
      <c r="F697" s="1" t="s">
        <v>3768</v>
      </c>
      <c r="G697" s="1" t="s">
        <v>3796</v>
      </c>
      <c r="H697" s="1" t="s">
        <v>26</v>
      </c>
      <c r="I697" s="1" t="s">
        <v>104</v>
      </c>
      <c r="K697" s="1" t="s">
        <v>3797</v>
      </c>
      <c r="L697" s="2" t="s">
        <v>10583</v>
      </c>
      <c r="O697" s="55" t="s">
        <v>113</v>
      </c>
      <c r="T697" s="60">
        <v>2</v>
      </c>
      <c r="U697" s="1">
        <v>3</v>
      </c>
      <c r="V697" s="4" t="s">
        <v>9411</v>
      </c>
      <c r="AL697" s="60" t="s">
        <v>30</v>
      </c>
    </row>
    <row r="698" spans="1:40" x14ac:dyDescent="0.2">
      <c r="A698" s="1" t="s">
        <v>3764</v>
      </c>
      <c r="B698" s="1" t="s">
        <v>3781</v>
      </c>
      <c r="C698" s="1" t="s">
        <v>5710</v>
      </c>
      <c r="D698" s="48">
        <v>124</v>
      </c>
      <c r="E698" s="1">
        <v>1</v>
      </c>
      <c r="F698" s="1" t="s">
        <v>3768</v>
      </c>
      <c r="G698" s="1" t="s">
        <v>3782</v>
      </c>
      <c r="H698" s="1" t="s">
        <v>26</v>
      </c>
      <c r="I698" s="1" t="s">
        <v>104</v>
      </c>
      <c r="K698" s="1" t="s">
        <v>3767</v>
      </c>
      <c r="O698" s="55">
        <v>2</v>
      </c>
      <c r="T698" s="60">
        <v>4</v>
      </c>
      <c r="V698" s="4" t="s">
        <v>9412</v>
      </c>
      <c r="AL698" s="60" t="s">
        <v>30</v>
      </c>
    </row>
    <row r="699" spans="1:40" ht="24" x14ac:dyDescent="0.2">
      <c r="A699" s="1" t="s">
        <v>3764</v>
      </c>
      <c r="B699" s="1" t="s">
        <v>3765</v>
      </c>
      <c r="C699" s="1" t="s">
        <v>5710</v>
      </c>
      <c r="D699" s="48">
        <v>125</v>
      </c>
      <c r="E699" s="1">
        <v>1</v>
      </c>
      <c r="F699" s="1" t="s">
        <v>3768</v>
      </c>
      <c r="G699" s="1" t="s">
        <v>3766</v>
      </c>
      <c r="H699" s="1" t="s">
        <v>26</v>
      </c>
      <c r="I699" s="1" t="s">
        <v>104</v>
      </c>
      <c r="K699" s="1" t="s">
        <v>3767</v>
      </c>
      <c r="O699" s="55">
        <v>2</v>
      </c>
      <c r="T699" s="60">
        <v>4</v>
      </c>
      <c r="V699" s="4" t="s">
        <v>9413</v>
      </c>
      <c r="AL699" s="60" t="s">
        <v>30</v>
      </c>
    </row>
    <row r="700" spans="1:40" x14ac:dyDescent="0.2">
      <c r="A700" s="1" t="s">
        <v>3764</v>
      </c>
      <c r="B700" s="1" t="s">
        <v>3790</v>
      </c>
      <c r="C700" s="1" t="s">
        <v>5710</v>
      </c>
      <c r="D700" s="48">
        <v>126</v>
      </c>
      <c r="E700" s="1">
        <v>1</v>
      </c>
      <c r="F700" s="1" t="s">
        <v>3768</v>
      </c>
      <c r="G700" s="1" t="s">
        <v>3791</v>
      </c>
      <c r="H700" s="1" t="s">
        <v>26</v>
      </c>
      <c r="I700" s="1" t="s">
        <v>104</v>
      </c>
      <c r="K700" s="1" t="s">
        <v>3767</v>
      </c>
      <c r="O700" s="55">
        <v>4</v>
      </c>
      <c r="T700" s="60">
        <v>3</v>
      </c>
      <c r="V700" s="4" t="s">
        <v>9412</v>
      </c>
      <c r="AL700" s="60" t="s">
        <v>30</v>
      </c>
    </row>
    <row r="701" spans="1:40" ht="24" x14ac:dyDescent="0.2">
      <c r="A701" s="1" t="s">
        <v>3764</v>
      </c>
      <c r="B701" s="1" t="s">
        <v>3799</v>
      </c>
      <c r="C701" s="1" t="s">
        <v>5710</v>
      </c>
      <c r="D701" s="48">
        <v>127</v>
      </c>
      <c r="E701" s="1">
        <v>1</v>
      </c>
      <c r="F701" s="1" t="s">
        <v>3768</v>
      </c>
      <c r="G701" s="1" t="s">
        <v>3800</v>
      </c>
      <c r="H701" s="1" t="s">
        <v>26</v>
      </c>
      <c r="I701" s="1" t="s">
        <v>104</v>
      </c>
      <c r="K701" s="1" t="s">
        <v>3767</v>
      </c>
      <c r="O701" s="55">
        <v>4</v>
      </c>
      <c r="T701" s="60">
        <v>2</v>
      </c>
      <c r="V701" s="4" t="s">
        <v>9414</v>
      </c>
      <c r="AL701" s="60" t="s">
        <v>30</v>
      </c>
    </row>
    <row r="702" spans="1:40" ht="36" x14ac:dyDescent="0.2">
      <c r="A702" s="1" t="s">
        <v>3764</v>
      </c>
      <c r="B702" s="1" t="s">
        <v>3809</v>
      </c>
      <c r="C702" s="1" t="s">
        <v>5710</v>
      </c>
      <c r="D702" s="48">
        <v>128</v>
      </c>
      <c r="E702" s="1">
        <v>4</v>
      </c>
      <c r="F702" s="1" t="s">
        <v>3768</v>
      </c>
      <c r="G702" s="1" t="s">
        <v>3810</v>
      </c>
      <c r="I702" s="1" t="s">
        <v>104</v>
      </c>
      <c r="K702" s="1" t="s">
        <v>105</v>
      </c>
      <c r="L702" s="2" t="s">
        <v>2559</v>
      </c>
      <c r="O702" s="55">
        <v>2</v>
      </c>
      <c r="T702" s="60">
        <v>2</v>
      </c>
      <c r="V702" s="4" t="s">
        <v>9415</v>
      </c>
      <c r="AL702" s="60" t="s">
        <v>30</v>
      </c>
    </row>
    <row r="703" spans="1:40" ht="48" x14ac:dyDescent="0.2">
      <c r="A703" s="1" t="s">
        <v>3764</v>
      </c>
      <c r="B703" s="1" t="s">
        <v>3788</v>
      </c>
      <c r="C703" s="1" t="s">
        <v>5710</v>
      </c>
      <c r="D703" s="48">
        <v>129</v>
      </c>
      <c r="E703" s="1">
        <v>4</v>
      </c>
      <c r="F703" s="1" t="s">
        <v>3768</v>
      </c>
      <c r="G703" s="1" t="s">
        <v>3789</v>
      </c>
      <c r="I703" s="1" t="s">
        <v>82</v>
      </c>
      <c r="V703" s="4" t="s">
        <v>9416</v>
      </c>
      <c r="AL703" s="60" t="s">
        <v>30</v>
      </c>
    </row>
    <row r="704" spans="1:40" ht="24" x14ac:dyDescent="0.2">
      <c r="A704" s="1" t="s">
        <v>3764</v>
      </c>
      <c r="B704" s="1" t="s">
        <v>3814</v>
      </c>
      <c r="C704" s="1" t="s">
        <v>5710</v>
      </c>
      <c r="D704" s="48">
        <v>130</v>
      </c>
      <c r="E704" s="1">
        <v>3</v>
      </c>
      <c r="F704" s="1" t="s">
        <v>3768</v>
      </c>
      <c r="G704" s="1" t="s">
        <v>3815</v>
      </c>
      <c r="I704" s="1" t="s">
        <v>82</v>
      </c>
      <c r="L704" s="2" t="s">
        <v>155</v>
      </c>
      <c r="V704" s="4" t="s">
        <v>9417</v>
      </c>
      <c r="W704" s="4" t="s">
        <v>9418</v>
      </c>
      <c r="AL704" s="60" t="s">
        <v>30</v>
      </c>
    </row>
    <row r="705" spans="1:40" ht="36" x14ac:dyDescent="0.2">
      <c r="A705" s="1" t="s">
        <v>3764</v>
      </c>
      <c r="B705" s="1" t="s">
        <v>3812</v>
      </c>
      <c r="C705" s="1" t="s">
        <v>5710</v>
      </c>
      <c r="D705" s="48">
        <v>131</v>
      </c>
      <c r="E705" s="1">
        <v>2</v>
      </c>
      <c r="F705" s="1" t="s">
        <v>3768</v>
      </c>
      <c r="G705" s="1" t="s">
        <v>3813</v>
      </c>
      <c r="I705" s="1" t="s">
        <v>82</v>
      </c>
      <c r="L705" s="2" t="s">
        <v>155</v>
      </c>
      <c r="V705" s="4" t="s">
        <v>9419</v>
      </c>
      <c r="W705" s="4" t="s">
        <v>9410</v>
      </c>
      <c r="AL705" s="60" t="s">
        <v>30</v>
      </c>
    </row>
    <row r="706" spans="1:40" ht="36" x14ac:dyDescent="0.2">
      <c r="A706" s="1" t="s">
        <v>3764</v>
      </c>
      <c r="B706" s="1" t="s">
        <v>3801</v>
      </c>
      <c r="C706" s="1" t="s">
        <v>5710</v>
      </c>
      <c r="D706" s="48">
        <v>132</v>
      </c>
      <c r="E706" s="1">
        <v>1</v>
      </c>
      <c r="F706" s="1" t="s">
        <v>3768</v>
      </c>
      <c r="G706" s="1" t="s">
        <v>169</v>
      </c>
      <c r="H706" s="1" t="s">
        <v>26</v>
      </c>
      <c r="I706" s="1" t="s">
        <v>88</v>
      </c>
      <c r="K706" s="1" t="s">
        <v>385</v>
      </c>
      <c r="L706" s="2" t="s">
        <v>3802</v>
      </c>
      <c r="P706" s="56">
        <v>2</v>
      </c>
      <c r="Q706" s="57">
        <v>3</v>
      </c>
      <c r="R706" s="58">
        <v>1</v>
      </c>
      <c r="S706" s="59">
        <v>4</v>
      </c>
      <c r="V706" s="4" t="s">
        <v>9420</v>
      </c>
      <c r="AL706" s="60" t="s">
        <v>30</v>
      </c>
    </row>
    <row r="707" spans="1:40" ht="36" x14ac:dyDescent="0.2">
      <c r="A707" s="1" t="s">
        <v>3764</v>
      </c>
      <c r="B707" s="1" t="s">
        <v>3816</v>
      </c>
      <c r="C707" s="1" t="s">
        <v>5710</v>
      </c>
      <c r="D707" s="48">
        <v>133</v>
      </c>
      <c r="E707" s="1">
        <v>1</v>
      </c>
      <c r="F707" s="1" t="s">
        <v>3768</v>
      </c>
      <c r="G707" s="1" t="s">
        <v>2261</v>
      </c>
      <c r="H707" s="1" t="s">
        <v>26</v>
      </c>
      <c r="I707" s="1" t="s">
        <v>88</v>
      </c>
      <c r="K707" s="1" t="s">
        <v>29</v>
      </c>
      <c r="L707" s="2" t="s">
        <v>2262</v>
      </c>
      <c r="P707" s="56">
        <v>1</v>
      </c>
      <c r="Q707" s="57">
        <v>2</v>
      </c>
      <c r="R707" s="58">
        <v>2</v>
      </c>
      <c r="S707" s="59">
        <v>3</v>
      </c>
      <c r="V707" s="4" t="s">
        <v>9421</v>
      </c>
      <c r="AL707" s="60" t="s">
        <v>30</v>
      </c>
    </row>
    <row r="708" spans="1:40" x14ac:dyDescent="0.2">
      <c r="A708" s="109" t="s">
        <v>4858</v>
      </c>
      <c r="B708" s="109" t="s">
        <v>4867</v>
      </c>
      <c r="C708" s="109" t="s">
        <v>5716</v>
      </c>
      <c r="D708" s="110">
        <v>134</v>
      </c>
      <c r="E708" s="109">
        <v>1</v>
      </c>
      <c r="F708" s="109"/>
      <c r="G708" s="109" t="s">
        <v>5912</v>
      </c>
      <c r="H708" s="1" t="s">
        <v>26</v>
      </c>
      <c r="I708" s="1" t="s">
        <v>27</v>
      </c>
      <c r="J708" s="1" t="s">
        <v>50</v>
      </c>
      <c r="K708" s="1" t="s">
        <v>4868</v>
      </c>
      <c r="L708" s="2" t="s">
        <v>52</v>
      </c>
      <c r="M708" s="18">
        <v>12</v>
      </c>
      <c r="P708" s="56">
        <v>2</v>
      </c>
      <c r="Q708" s="57">
        <v>3</v>
      </c>
      <c r="R708" s="58">
        <v>2</v>
      </c>
      <c r="S708" s="59">
        <v>4</v>
      </c>
      <c r="V708" s="4" t="s">
        <v>4869</v>
      </c>
      <c r="AL708" s="60" t="s">
        <v>30</v>
      </c>
    </row>
    <row r="709" spans="1:40" ht="36" x14ac:dyDescent="0.2">
      <c r="A709" s="1" t="s">
        <v>4858</v>
      </c>
      <c r="B709" s="1" t="s">
        <v>4864</v>
      </c>
      <c r="C709" s="1" t="s">
        <v>5716</v>
      </c>
      <c r="D709" s="48">
        <v>135</v>
      </c>
      <c r="E709" s="1">
        <v>3</v>
      </c>
      <c r="G709" s="1" t="s">
        <v>4865</v>
      </c>
      <c r="I709" s="1" t="s">
        <v>38</v>
      </c>
      <c r="J709" s="1" t="s">
        <v>28</v>
      </c>
      <c r="K709" s="1" t="s">
        <v>205</v>
      </c>
      <c r="M709" s="18">
        <v>2</v>
      </c>
      <c r="P709" s="56">
        <v>1</v>
      </c>
      <c r="Q709" s="57">
        <v>1</v>
      </c>
      <c r="R709" s="58">
        <v>0</v>
      </c>
      <c r="S709" s="59">
        <v>2</v>
      </c>
      <c r="V709" s="4" t="s">
        <v>4866</v>
      </c>
      <c r="AL709" s="60" t="s">
        <v>30</v>
      </c>
    </row>
    <row r="710" spans="1:40" ht="24" x14ac:dyDescent="0.2">
      <c r="A710" s="1" t="s">
        <v>4858</v>
      </c>
      <c r="B710" s="1" t="s">
        <v>4870</v>
      </c>
      <c r="C710" s="1" t="s">
        <v>5716</v>
      </c>
      <c r="D710" s="48">
        <v>136</v>
      </c>
      <c r="E710" s="1">
        <v>3</v>
      </c>
      <c r="G710" s="1" t="s">
        <v>4871</v>
      </c>
      <c r="H710" s="1" t="s">
        <v>26</v>
      </c>
      <c r="I710" s="1" t="s">
        <v>56</v>
      </c>
      <c r="J710" s="1" t="s">
        <v>28</v>
      </c>
      <c r="K710" s="1" t="s">
        <v>568</v>
      </c>
      <c r="L710" s="2" t="s">
        <v>4872</v>
      </c>
      <c r="M710" s="18">
        <v>2</v>
      </c>
      <c r="V710" s="4" t="s">
        <v>4873</v>
      </c>
      <c r="AL710" s="60" t="s">
        <v>30</v>
      </c>
    </row>
    <row r="711" spans="1:40" ht="24" x14ac:dyDescent="0.2">
      <c r="A711" s="1" t="s">
        <v>4858</v>
      </c>
      <c r="B711" s="1" t="s">
        <v>4904</v>
      </c>
      <c r="C711" s="1" t="s">
        <v>5716</v>
      </c>
      <c r="D711" s="48">
        <v>137</v>
      </c>
      <c r="E711" s="1">
        <v>3</v>
      </c>
      <c r="G711" s="1" t="s">
        <v>4905</v>
      </c>
      <c r="I711" s="1" t="s">
        <v>56</v>
      </c>
      <c r="J711" s="1" t="s">
        <v>50</v>
      </c>
      <c r="K711" s="1" t="s">
        <v>196</v>
      </c>
      <c r="L711" s="2" t="s">
        <v>4906</v>
      </c>
      <c r="M711" s="18">
        <v>1</v>
      </c>
      <c r="V711" s="4" t="s">
        <v>4907</v>
      </c>
      <c r="AL711" s="60" t="s">
        <v>30</v>
      </c>
    </row>
    <row r="712" spans="1:40" ht="24" x14ac:dyDescent="0.2">
      <c r="A712" s="1" t="s">
        <v>4858</v>
      </c>
      <c r="B712" s="1" t="s">
        <v>4915</v>
      </c>
      <c r="C712" s="1" t="s">
        <v>5716</v>
      </c>
      <c r="D712" s="48">
        <v>138</v>
      </c>
      <c r="E712" s="1">
        <v>3</v>
      </c>
      <c r="G712" s="1" t="s">
        <v>4916</v>
      </c>
      <c r="I712" s="1" t="s">
        <v>63</v>
      </c>
      <c r="J712" s="1" t="s">
        <v>50</v>
      </c>
      <c r="M712" s="18">
        <v>2</v>
      </c>
      <c r="V712" s="4" t="s">
        <v>4917</v>
      </c>
      <c r="AL712" s="60" t="s">
        <v>30</v>
      </c>
    </row>
    <row r="713" spans="1:40" ht="24" x14ac:dyDescent="0.2">
      <c r="A713" s="1" t="s">
        <v>4858</v>
      </c>
      <c r="B713" s="1" t="s">
        <v>4924</v>
      </c>
      <c r="C713" s="1" t="s">
        <v>5716</v>
      </c>
      <c r="D713" s="48">
        <v>139</v>
      </c>
      <c r="E713" s="1">
        <v>3</v>
      </c>
      <c r="G713" s="1" t="s">
        <v>4925</v>
      </c>
      <c r="I713" s="1" t="s">
        <v>56</v>
      </c>
      <c r="J713" s="1" t="s">
        <v>57</v>
      </c>
      <c r="K713" s="1" t="s">
        <v>1084</v>
      </c>
      <c r="L713" s="2" t="s">
        <v>4926</v>
      </c>
      <c r="M713" s="18">
        <v>1</v>
      </c>
      <c r="V713" s="4" t="s">
        <v>4927</v>
      </c>
      <c r="AL713" s="60" t="s">
        <v>30</v>
      </c>
    </row>
    <row r="714" spans="1:40" ht="24" x14ac:dyDescent="0.2">
      <c r="A714" s="1" t="s">
        <v>4858</v>
      </c>
      <c r="B714" s="1" t="s">
        <v>4944</v>
      </c>
      <c r="C714" s="1" t="s">
        <v>5716</v>
      </c>
      <c r="D714" s="48">
        <v>140</v>
      </c>
      <c r="E714" s="1">
        <v>3</v>
      </c>
      <c r="G714" s="1" t="s">
        <v>4945</v>
      </c>
      <c r="I714" s="1" t="s">
        <v>63</v>
      </c>
      <c r="J714" s="1" t="s">
        <v>57</v>
      </c>
      <c r="K714" s="1" t="s">
        <v>324</v>
      </c>
      <c r="M714" s="18">
        <v>1</v>
      </c>
      <c r="V714" s="4" t="s">
        <v>4946</v>
      </c>
      <c r="AL714" s="60" t="s">
        <v>30</v>
      </c>
    </row>
    <row r="715" spans="1:40" ht="36" x14ac:dyDescent="0.2">
      <c r="A715" s="1" t="s">
        <v>4858</v>
      </c>
      <c r="B715" s="1" t="s">
        <v>4881</v>
      </c>
      <c r="C715" s="1" t="s">
        <v>5716</v>
      </c>
      <c r="D715" s="48">
        <v>141</v>
      </c>
      <c r="E715" s="1">
        <v>3</v>
      </c>
      <c r="G715" s="1" t="s">
        <v>4882</v>
      </c>
      <c r="I715" s="1" t="s">
        <v>38</v>
      </c>
      <c r="J715" s="1" t="s">
        <v>39</v>
      </c>
      <c r="K715" s="1" t="s">
        <v>283</v>
      </c>
      <c r="M715" s="18">
        <v>2</v>
      </c>
      <c r="P715" s="56">
        <v>1</v>
      </c>
      <c r="Q715" s="57">
        <v>0</v>
      </c>
      <c r="R715" s="58">
        <v>1</v>
      </c>
      <c r="S715" s="59">
        <v>2</v>
      </c>
      <c r="V715" s="4" t="s">
        <v>4883</v>
      </c>
      <c r="AL715" s="60" t="s">
        <v>30</v>
      </c>
    </row>
    <row r="716" spans="1:40" ht="72" x14ac:dyDescent="0.2">
      <c r="A716" s="1" t="s">
        <v>4858</v>
      </c>
      <c r="B716" s="1" t="s">
        <v>4901</v>
      </c>
      <c r="C716" s="1" t="s">
        <v>5716</v>
      </c>
      <c r="D716" s="48">
        <v>142</v>
      </c>
      <c r="E716" s="1">
        <v>3</v>
      </c>
      <c r="G716" s="1" t="s">
        <v>4902</v>
      </c>
      <c r="H716" s="1" t="s">
        <v>26</v>
      </c>
      <c r="I716" s="1" t="s">
        <v>56</v>
      </c>
      <c r="J716" s="1" t="s">
        <v>39</v>
      </c>
      <c r="K716" s="1" t="s">
        <v>188</v>
      </c>
      <c r="L716" s="2" t="s">
        <v>2345</v>
      </c>
      <c r="M716" s="18">
        <v>4</v>
      </c>
      <c r="V716" s="4" t="s">
        <v>4903</v>
      </c>
      <c r="AL716" s="60" t="s">
        <v>30</v>
      </c>
    </row>
    <row r="717" spans="1:40" ht="48" x14ac:dyDescent="0.2">
      <c r="A717" s="1" t="s">
        <v>4858</v>
      </c>
      <c r="B717" s="1" t="s">
        <v>4912</v>
      </c>
      <c r="C717" s="1" t="s">
        <v>5716</v>
      </c>
      <c r="D717" s="48">
        <v>143</v>
      </c>
      <c r="E717" s="1">
        <v>3</v>
      </c>
      <c r="G717" s="1" t="s">
        <v>4913</v>
      </c>
      <c r="I717" s="1" t="s">
        <v>63</v>
      </c>
      <c r="J717" s="1" t="s">
        <v>44</v>
      </c>
      <c r="M717" s="18">
        <v>0</v>
      </c>
      <c r="V717" s="4" t="s">
        <v>4914</v>
      </c>
      <c r="AL717" s="60" t="s">
        <v>30</v>
      </c>
    </row>
    <row r="718" spans="1:40" ht="36" x14ac:dyDescent="0.2">
      <c r="A718" s="1" t="s">
        <v>4858</v>
      </c>
      <c r="B718" s="1" t="s">
        <v>4874</v>
      </c>
      <c r="C718" s="1" t="s">
        <v>5716</v>
      </c>
      <c r="D718" s="48">
        <v>144</v>
      </c>
      <c r="E718" s="1">
        <v>1</v>
      </c>
      <c r="F718" s="1" t="s">
        <v>4863</v>
      </c>
      <c r="G718" s="1" t="s">
        <v>9555</v>
      </c>
      <c r="I718" s="1" t="s">
        <v>125</v>
      </c>
      <c r="M718" s="18">
        <v>1</v>
      </c>
      <c r="N718" s="54" t="s">
        <v>9529</v>
      </c>
      <c r="V718" s="4" t="s">
        <v>4875</v>
      </c>
      <c r="X718" s="1" t="s">
        <v>4876</v>
      </c>
      <c r="Y718" s="1" t="s">
        <v>9555</v>
      </c>
      <c r="AA718" s="1" t="s">
        <v>125</v>
      </c>
      <c r="AE718" s="1">
        <v>1</v>
      </c>
      <c r="AF718" s="54" t="s">
        <v>9530</v>
      </c>
      <c r="AL718" s="60" t="s">
        <v>799</v>
      </c>
      <c r="AN718" s="4" t="s">
        <v>4877</v>
      </c>
    </row>
    <row r="719" spans="1:40" ht="24" x14ac:dyDescent="0.2">
      <c r="A719" s="1" t="s">
        <v>4858</v>
      </c>
      <c r="B719" s="1" t="s">
        <v>4898</v>
      </c>
      <c r="C719" s="1" t="s">
        <v>5716</v>
      </c>
      <c r="D719" s="48">
        <v>145</v>
      </c>
      <c r="E719" s="1">
        <v>1</v>
      </c>
      <c r="F719" s="1" t="s">
        <v>4863</v>
      </c>
      <c r="G719" s="1" t="s">
        <v>9612</v>
      </c>
      <c r="I719" s="1" t="s">
        <v>125</v>
      </c>
      <c r="M719" s="18">
        <v>2</v>
      </c>
      <c r="N719" s="54" t="s">
        <v>9529</v>
      </c>
      <c r="V719" s="4" t="s">
        <v>4899</v>
      </c>
      <c r="Y719" s="1" t="s">
        <v>9612</v>
      </c>
      <c r="AA719" s="1" t="s">
        <v>125</v>
      </c>
      <c r="AE719" s="1">
        <v>2</v>
      </c>
      <c r="AF719" s="54" t="s">
        <v>9530</v>
      </c>
      <c r="AL719" s="60" t="s">
        <v>799</v>
      </c>
      <c r="AN719" s="4" t="s">
        <v>4900</v>
      </c>
    </row>
    <row r="720" spans="1:40" ht="72" x14ac:dyDescent="0.2">
      <c r="A720" s="1" t="s">
        <v>4858</v>
      </c>
      <c r="B720" s="1" t="s">
        <v>4921</v>
      </c>
      <c r="C720" s="1" t="s">
        <v>5716</v>
      </c>
      <c r="D720" s="48">
        <v>146</v>
      </c>
      <c r="E720" s="1">
        <v>1</v>
      </c>
      <c r="F720" s="1" t="s">
        <v>4863</v>
      </c>
      <c r="G720" s="1" t="s">
        <v>9676</v>
      </c>
      <c r="I720" s="1" t="s">
        <v>125</v>
      </c>
      <c r="M720" s="18">
        <v>3</v>
      </c>
      <c r="N720" s="54" t="s">
        <v>9529</v>
      </c>
      <c r="V720" s="4" t="s">
        <v>4922</v>
      </c>
      <c r="Y720" s="1" t="s">
        <v>9676</v>
      </c>
      <c r="AA720" s="1" t="s">
        <v>125</v>
      </c>
      <c r="AE720" s="1">
        <v>3</v>
      </c>
      <c r="AF720" s="54" t="s">
        <v>9530</v>
      </c>
      <c r="AL720" s="60" t="s">
        <v>799</v>
      </c>
      <c r="AN720" s="4" t="s">
        <v>4923</v>
      </c>
    </row>
    <row r="721" spans="1:48" ht="72" x14ac:dyDescent="0.2">
      <c r="A721" s="1" t="s">
        <v>4858</v>
      </c>
      <c r="B721" s="1" t="s">
        <v>4936</v>
      </c>
      <c r="C721" s="1" t="s">
        <v>5716</v>
      </c>
      <c r="D721" s="48">
        <v>147</v>
      </c>
      <c r="E721" s="1">
        <v>1</v>
      </c>
      <c r="F721" s="1" t="s">
        <v>4863</v>
      </c>
      <c r="G721" s="1" t="s">
        <v>4937</v>
      </c>
      <c r="I721" s="1" t="s">
        <v>88</v>
      </c>
      <c r="K721" s="1" t="s">
        <v>4938</v>
      </c>
      <c r="V721" s="4" t="s">
        <v>4939</v>
      </c>
      <c r="AL721" s="60" t="s">
        <v>30</v>
      </c>
    </row>
    <row r="722" spans="1:48" ht="24" x14ac:dyDescent="0.2">
      <c r="A722" s="1" t="s">
        <v>4858</v>
      </c>
      <c r="B722" s="1" t="s">
        <v>4940</v>
      </c>
      <c r="C722" s="1" t="s">
        <v>5716</v>
      </c>
      <c r="D722" s="48">
        <v>148</v>
      </c>
      <c r="E722" s="1">
        <v>4</v>
      </c>
      <c r="F722" s="1" t="s">
        <v>4863</v>
      </c>
      <c r="G722" s="1" t="s">
        <v>4941</v>
      </c>
      <c r="I722" s="1" t="s">
        <v>94</v>
      </c>
      <c r="K722" s="1" t="s">
        <v>2514</v>
      </c>
      <c r="N722" s="54">
        <v>35</v>
      </c>
      <c r="O722" s="55">
        <v>1</v>
      </c>
      <c r="Q722" s="57">
        <v>2</v>
      </c>
      <c r="R722" s="58">
        <v>2</v>
      </c>
      <c r="S722" s="59">
        <v>6</v>
      </c>
      <c r="V722" s="4" t="s">
        <v>4942</v>
      </c>
      <c r="W722" s="4" t="s">
        <v>4943</v>
      </c>
      <c r="AL722" s="60" t="s">
        <v>30</v>
      </c>
    </row>
    <row r="723" spans="1:48" ht="24" x14ac:dyDescent="0.2">
      <c r="A723" s="1" t="s">
        <v>4858</v>
      </c>
      <c r="B723" s="1" t="s">
        <v>4947</v>
      </c>
      <c r="C723" s="1" t="s">
        <v>5716</v>
      </c>
      <c r="D723" s="48">
        <v>149</v>
      </c>
      <c r="E723" s="1">
        <v>2</v>
      </c>
      <c r="F723" s="1" t="s">
        <v>4863</v>
      </c>
      <c r="G723" s="1" t="s">
        <v>4948</v>
      </c>
      <c r="I723" s="1" t="s">
        <v>94</v>
      </c>
      <c r="K723" s="1" t="s">
        <v>2514</v>
      </c>
      <c r="N723" s="54">
        <v>5</v>
      </c>
      <c r="O723" s="55">
        <v>1</v>
      </c>
      <c r="Q723" s="57">
        <v>3</v>
      </c>
      <c r="R723" s="58">
        <v>1</v>
      </c>
      <c r="S723" s="59">
        <v>3</v>
      </c>
      <c r="V723" s="4" t="s">
        <v>4949</v>
      </c>
      <c r="W723" s="4" t="s">
        <v>4950</v>
      </c>
      <c r="AL723" s="60" t="s">
        <v>30</v>
      </c>
    </row>
    <row r="724" spans="1:48" ht="24" x14ac:dyDescent="0.2">
      <c r="A724" s="1" t="s">
        <v>4858</v>
      </c>
      <c r="B724" s="1" t="s">
        <v>4908</v>
      </c>
      <c r="C724" s="1" t="s">
        <v>5716</v>
      </c>
      <c r="D724" s="48">
        <v>150</v>
      </c>
      <c r="E724" s="1">
        <v>3</v>
      </c>
      <c r="F724" s="1" t="s">
        <v>4863</v>
      </c>
      <c r="G724" s="1" t="s">
        <v>4909</v>
      </c>
      <c r="I724" s="1" t="s">
        <v>94</v>
      </c>
      <c r="K724" s="1" t="s">
        <v>3794</v>
      </c>
      <c r="L724" s="2" t="s">
        <v>155</v>
      </c>
      <c r="N724" s="54">
        <v>40</v>
      </c>
      <c r="O724" s="55">
        <v>4</v>
      </c>
      <c r="Q724" s="57">
        <v>1</v>
      </c>
      <c r="R724" s="58">
        <v>0</v>
      </c>
      <c r="S724" s="59">
        <v>3</v>
      </c>
      <c r="V724" s="4" t="s">
        <v>4910</v>
      </c>
      <c r="W724" s="4" t="s">
        <v>4911</v>
      </c>
      <c r="AL724" s="60" t="s">
        <v>30</v>
      </c>
    </row>
    <row r="725" spans="1:48" ht="36" x14ac:dyDescent="0.2">
      <c r="A725" s="1" t="s">
        <v>4858</v>
      </c>
      <c r="B725" s="1" t="s">
        <v>4932</v>
      </c>
      <c r="C725" s="1" t="s">
        <v>5716</v>
      </c>
      <c r="D725" s="48">
        <v>151</v>
      </c>
      <c r="E725" s="1">
        <v>1</v>
      </c>
      <c r="F725" s="1" t="s">
        <v>4863</v>
      </c>
      <c r="G725" s="1" t="s">
        <v>4933</v>
      </c>
      <c r="H725" s="1" t="s">
        <v>26</v>
      </c>
      <c r="I725" s="1" t="s">
        <v>94</v>
      </c>
      <c r="K725" s="1" t="s">
        <v>4934</v>
      </c>
      <c r="N725" s="54">
        <v>30</v>
      </c>
      <c r="O725" s="55">
        <v>2</v>
      </c>
      <c r="Q725" s="57">
        <v>5</v>
      </c>
      <c r="R725" s="58">
        <v>2</v>
      </c>
      <c r="S725" s="59">
        <v>7</v>
      </c>
      <c r="V725" s="4" t="s">
        <v>4935</v>
      </c>
      <c r="AL725" s="60" t="s">
        <v>30</v>
      </c>
      <c r="AU725" s="1" t="s">
        <v>6208</v>
      </c>
      <c r="AV725" s="1" t="s">
        <v>6209</v>
      </c>
    </row>
    <row r="726" spans="1:48" ht="72" x14ac:dyDescent="0.2">
      <c r="A726" s="1" t="s">
        <v>4858</v>
      </c>
      <c r="B726" s="1" t="s">
        <v>4895</v>
      </c>
      <c r="C726" s="1" t="s">
        <v>5716</v>
      </c>
      <c r="D726" s="48">
        <v>152</v>
      </c>
      <c r="E726" s="1">
        <v>1</v>
      </c>
      <c r="F726" s="1" t="s">
        <v>4863</v>
      </c>
      <c r="G726" s="1" t="s">
        <v>2261</v>
      </c>
      <c r="H726" s="1" t="s">
        <v>26</v>
      </c>
      <c r="I726" s="1" t="s">
        <v>94</v>
      </c>
      <c r="K726" s="1" t="s">
        <v>4896</v>
      </c>
      <c r="N726" s="54">
        <v>10</v>
      </c>
      <c r="O726" s="55">
        <v>3</v>
      </c>
      <c r="Q726" s="57">
        <v>4</v>
      </c>
      <c r="R726" s="58">
        <v>3</v>
      </c>
      <c r="S726" s="59">
        <v>5</v>
      </c>
      <c r="V726" s="4" t="s">
        <v>4897</v>
      </c>
      <c r="AL726" s="60" t="s">
        <v>30</v>
      </c>
    </row>
    <row r="727" spans="1:48" ht="36" x14ac:dyDescent="0.2">
      <c r="A727" s="1" t="s">
        <v>4858</v>
      </c>
      <c r="B727" s="1" t="s">
        <v>4884</v>
      </c>
      <c r="C727" s="1" t="s">
        <v>5716</v>
      </c>
      <c r="D727" s="48">
        <v>153</v>
      </c>
      <c r="E727" s="1">
        <v>1</v>
      </c>
      <c r="F727" s="1" t="s">
        <v>4863</v>
      </c>
      <c r="G727" s="1" t="s">
        <v>4885</v>
      </c>
      <c r="H727" s="1" t="s">
        <v>26</v>
      </c>
      <c r="I727" s="1" t="s">
        <v>94</v>
      </c>
      <c r="K727" s="1" t="s">
        <v>4886</v>
      </c>
      <c r="N727" s="54">
        <v>1</v>
      </c>
      <c r="O727" s="55">
        <v>4</v>
      </c>
      <c r="Q727" s="57">
        <v>7</v>
      </c>
      <c r="R727" s="58">
        <v>4</v>
      </c>
      <c r="S727" s="59">
        <v>5</v>
      </c>
      <c r="V727" s="4" t="s">
        <v>4887</v>
      </c>
      <c r="AL727" s="60" t="s">
        <v>30</v>
      </c>
    </row>
    <row r="728" spans="1:48" ht="36" x14ac:dyDescent="0.2">
      <c r="A728" s="1" t="s">
        <v>4858</v>
      </c>
      <c r="B728" s="1" t="s">
        <v>4878</v>
      </c>
      <c r="C728" s="1" t="s">
        <v>5716</v>
      </c>
      <c r="D728" s="48">
        <v>154</v>
      </c>
      <c r="E728" s="1">
        <v>3</v>
      </c>
      <c r="F728" s="1" t="s">
        <v>4863</v>
      </c>
      <c r="G728" s="1" t="s">
        <v>4879</v>
      </c>
      <c r="I728" s="1" t="s">
        <v>104</v>
      </c>
      <c r="K728" s="1" t="s">
        <v>3058</v>
      </c>
      <c r="O728" s="55">
        <v>2</v>
      </c>
      <c r="T728" s="60">
        <v>5</v>
      </c>
      <c r="V728" s="4" t="s">
        <v>4880</v>
      </c>
      <c r="W728" s="4" t="s">
        <v>3491</v>
      </c>
      <c r="AL728" s="60" t="s">
        <v>30</v>
      </c>
    </row>
    <row r="729" spans="1:48" ht="24" x14ac:dyDescent="0.2">
      <c r="A729" s="1" t="s">
        <v>4858</v>
      </c>
      <c r="B729" s="1" t="s">
        <v>4951</v>
      </c>
      <c r="C729" s="1" t="s">
        <v>5716</v>
      </c>
      <c r="D729" s="48">
        <v>155</v>
      </c>
      <c r="E729" s="1">
        <v>3</v>
      </c>
      <c r="F729" s="1" t="s">
        <v>4863</v>
      </c>
      <c r="G729" s="1" t="s">
        <v>4952</v>
      </c>
      <c r="I729" s="1" t="s">
        <v>104</v>
      </c>
      <c r="K729" s="1" t="s">
        <v>4953</v>
      </c>
      <c r="O729" s="55">
        <v>3</v>
      </c>
      <c r="T729" s="60">
        <v>3</v>
      </c>
      <c r="V729" s="4" t="s">
        <v>4954</v>
      </c>
      <c r="W729" s="4" t="s">
        <v>4955</v>
      </c>
      <c r="AL729" s="60" t="s">
        <v>30</v>
      </c>
    </row>
    <row r="730" spans="1:48" x14ac:dyDescent="0.2">
      <c r="A730" s="1" t="s">
        <v>4858</v>
      </c>
      <c r="B730" s="1" t="s">
        <v>4928</v>
      </c>
      <c r="C730" s="1" t="s">
        <v>5716</v>
      </c>
      <c r="D730" s="48">
        <v>156</v>
      </c>
      <c r="E730" s="1">
        <v>1</v>
      </c>
      <c r="F730" s="1" t="s">
        <v>4863</v>
      </c>
      <c r="G730" s="1" t="s">
        <v>4929</v>
      </c>
      <c r="H730" s="1" t="s">
        <v>26</v>
      </c>
      <c r="I730" s="1" t="s">
        <v>104</v>
      </c>
      <c r="K730" s="1" t="s">
        <v>4930</v>
      </c>
      <c r="O730" s="55" t="s">
        <v>113</v>
      </c>
      <c r="T730" s="60" t="s">
        <v>113</v>
      </c>
      <c r="V730" s="4" t="s">
        <v>4931</v>
      </c>
      <c r="AL730" s="60" t="s">
        <v>30</v>
      </c>
    </row>
    <row r="731" spans="1:48" ht="36" x14ac:dyDescent="0.2">
      <c r="A731" s="1" t="s">
        <v>4858</v>
      </c>
      <c r="B731" s="1" t="s">
        <v>4888</v>
      </c>
      <c r="C731" s="1" t="s">
        <v>5716</v>
      </c>
      <c r="D731" s="48">
        <v>157</v>
      </c>
      <c r="E731" s="1">
        <v>2</v>
      </c>
      <c r="F731" s="1" t="s">
        <v>4863</v>
      </c>
      <c r="G731" s="1" t="s">
        <v>4889</v>
      </c>
      <c r="I731" s="1" t="s">
        <v>82</v>
      </c>
      <c r="V731" s="4" t="s">
        <v>4890</v>
      </c>
      <c r="AL731" s="60" t="s">
        <v>30</v>
      </c>
    </row>
    <row r="732" spans="1:48" ht="24" x14ac:dyDescent="0.2">
      <c r="A732" s="1" t="s">
        <v>4858</v>
      </c>
      <c r="B732" s="1" t="s">
        <v>4891</v>
      </c>
      <c r="C732" s="1" t="s">
        <v>5716</v>
      </c>
      <c r="D732" s="48">
        <v>158</v>
      </c>
      <c r="E732" s="1">
        <v>2</v>
      </c>
      <c r="F732" s="1" t="s">
        <v>4863</v>
      </c>
      <c r="G732" s="1" t="s">
        <v>4892</v>
      </c>
      <c r="I732" s="1" t="s">
        <v>82</v>
      </c>
      <c r="L732" s="2" t="s">
        <v>4893</v>
      </c>
      <c r="V732" s="4" t="s">
        <v>4894</v>
      </c>
      <c r="W732" s="4" t="s">
        <v>3491</v>
      </c>
      <c r="AL732" s="60" t="s">
        <v>30</v>
      </c>
    </row>
    <row r="733" spans="1:48" ht="24" x14ac:dyDescent="0.2">
      <c r="A733" s="1" t="s">
        <v>4858</v>
      </c>
      <c r="B733" s="1" t="s">
        <v>4859</v>
      </c>
      <c r="C733" s="1" t="s">
        <v>5716</v>
      </c>
      <c r="D733" s="48">
        <v>159</v>
      </c>
      <c r="E733" s="1">
        <v>3</v>
      </c>
      <c r="F733" s="1" t="s">
        <v>4863</v>
      </c>
      <c r="G733" s="1" t="s">
        <v>4860</v>
      </c>
      <c r="I733" s="1" t="s">
        <v>82</v>
      </c>
      <c r="L733" s="2" t="s">
        <v>155</v>
      </c>
      <c r="V733" s="4" t="s">
        <v>4861</v>
      </c>
      <c r="W733" s="4" t="s">
        <v>4862</v>
      </c>
      <c r="AL733" s="60" t="s">
        <v>30</v>
      </c>
    </row>
    <row r="734" spans="1:48" ht="36" x14ac:dyDescent="0.2">
      <c r="A734" s="1" t="s">
        <v>4858</v>
      </c>
      <c r="B734" s="1" t="s">
        <v>4918</v>
      </c>
      <c r="C734" s="1" t="s">
        <v>5716</v>
      </c>
      <c r="D734" s="48">
        <v>160</v>
      </c>
      <c r="E734" s="1">
        <v>2</v>
      </c>
      <c r="F734" s="1" t="s">
        <v>4863</v>
      </c>
      <c r="G734" s="1" t="s">
        <v>4919</v>
      </c>
      <c r="I734" s="1" t="s">
        <v>82</v>
      </c>
      <c r="V734" s="4" t="s">
        <v>4920</v>
      </c>
      <c r="W734" s="4" t="s">
        <v>4862</v>
      </c>
      <c r="AL734" s="60" t="s">
        <v>30</v>
      </c>
    </row>
    <row r="735" spans="1:48" ht="24" x14ac:dyDescent="0.2">
      <c r="A735" s="132" t="s">
        <v>5339</v>
      </c>
      <c r="B735" s="132" t="s">
        <v>5344</v>
      </c>
      <c r="C735" s="132" t="s">
        <v>5711</v>
      </c>
      <c r="D735" s="133">
        <v>1</v>
      </c>
      <c r="E735" s="132">
        <v>1</v>
      </c>
      <c r="F735" s="132"/>
      <c r="G735" s="132" t="s">
        <v>10510</v>
      </c>
      <c r="H735" s="1" t="s">
        <v>26</v>
      </c>
      <c r="I735" s="1" t="s">
        <v>27</v>
      </c>
      <c r="J735" s="1" t="s">
        <v>50</v>
      </c>
      <c r="K735" s="1" t="s">
        <v>4868</v>
      </c>
      <c r="L735" s="4"/>
      <c r="M735" s="19">
        <v>10</v>
      </c>
      <c r="N735" s="61"/>
      <c r="O735" s="62"/>
      <c r="P735" s="63">
        <v>1</v>
      </c>
      <c r="Q735" s="64">
        <v>3</v>
      </c>
      <c r="R735" s="65">
        <v>2</v>
      </c>
      <c r="S735" s="66">
        <v>4</v>
      </c>
      <c r="V735" s="4" t="s">
        <v>10511</v>
      </c>
      <c r="AF735" s="61"/>
      <c r="AG735" s="62"/>
      <c r="AH735" s="63"/>
      <c r="AI735" s="64"/>
      <c r="AJ735" s="65"/>
      <c r="AK735" s="66"/>
      <c r="AL735" s="60" t="s">
        <v>30</v>
      </c>
    </row>
    <row r="736" spans="1:48" ht="24" x14ac:dyDescent="0.2">
      <c r="A736" s="1" t="s">
        <v>5339</v>
      </c>
      <c r="B736" s="1" t="s">
        <v>5345</v>
      </c>
      <c r="C736" s="1" t="s">
        <v>5711</v>
      </c>
      <c r="D736" s="48">
        <v>2</v>
      </c>
      <c r="E736" s="1">
        <v>1</v>
      </c>
      <c r="G736" s="1" t="s">
        <v>5341</v>
      </c>
      <c r="H736" s="1" t="s">
        <v>26</v>
      </c>
      <c r="I736" s="1" t="s">
        <v>27</v>
      </c>
      <c r="J736" s="1" t="s">
        <v>39</v>
      </c>
      <c r="K736" s="1" t="s">
        <v>5346</v>
      </c>
      <c r="L736" s="4"/>
      <c r="M736" s="19">
        <v>9</v>
      </c>
      <c r="N736" s="61"/>
      <c r="O736" s="62"/>
      <c r="P736" s="63">
        <v>2</v>
      </c>
      <c r="Q736" s="64">
        <v>1</v>
      </c>
      <c r="R736" s="65">
        <v>2</v>
      </c>
      <c r="S736" s="66">
        <v>3</v>
      </c>
      <c r="V736" s="4" t="s">
        <v>5347</v>
      </c>
      <c r="AF736" s="61"/>
      <c r="AG736" s="62"/>
      <c r="AH736" s="63"/>
      <c r="AI736" s="64"/>
      <c r="AJ736" s="65"/>
      <c r="AK736" s="66"/>
      <c r="AL736" s="60" t="s">
        <v>30</v>
      </c>
    </row>
    <row r="737" spans="1:38" ht="36" x14ac:dyDescent="0.2">
      <c r="A737" s="1" t="s">
        <v>5339</v>
      </c>
      <c r="B737" s="1" t="s">
        <v>5348</v>
      </c>
      <c r="C737" s="1" t="s">
        <v>5711</v>
      </c>
      <c r="D737" s="48">
        <v>3</v>
      </c>
      <c r="E737" s="1">
        <v>3</v>
      </c>
      <c r="G737" s="1" t="s">
        <v>5349</v>
      </c>
      <c r="H737" s="1" t="s">
        <v>26</v>
      </c>
      <c r="I737" s="1" t="s">
        <v>38</v>
      </c>
      <c r="J737" s="1" t="s">
        <v>44</v>
      </c>
      <c r="K737" s="1" t="s">
        <v>5350</v>
      </c>
      <c r="L737" s="4" t="s">
        <v>5351</v>
      </c>
      <c r="M737" s="19">
        <v>3</v>
      </c>
      <c r="N737" s="61"/>
      <c r="O737" s="62"/>
      <c r="P737" s="63">
        <v>3</v>
      </c>
      <c r="Q737" s="64">
        <v>5</v>
      </c>
      <c r="R737" s="65">
        <v>4</v>
      </c>
      <c r="S737" s="66">
        <v>4</v>
      </c>
      <c r="V737" s="4" t="s">
        <v>5352</v>
      </c>
      <c r="AF737" s="61"/>
      <c r="AG737" s="62"/>
      <c r="AH737" s="63"/>
      <c r="AI737" s="64"/>
      <c r="AJ737" s="65"/>
      <c r="AK737" s="66"/>
      <c r="AL737" s="60" t="s">
        <v>30</v>
      </c>
    </row>
    <row r="738" spans="1:38" ht="24" x14ac:dyDescent="0.2">
      <c r="A738" s="1" t="s">
        <v>5339</v>
      </c>
      <c r="B738" s="1" t="s">
        <v>5353</v>
      </c>
      <c r="C738" s="1" t="s">
        <v>5711</v>
      </c>
      <c r="D738" s="48">
        <v>4</v>
      </c>
      <c r="E738" s="1">
        <v>3</v>
      </c>
      <c r="G738" s="1" t="s">
        <v>5354</v>
      </c>
      <c r="I738" s="1" t="s">
        <v>38</v>
      </c>
      <c r="J738" s="1" t="s">
        <v>28</v>
      </c>
      <c r="K738" s="1" t="s">
        <v>5355</v>
      </c>
      <c r="L738" s="4"/>
      <c r="M738" s="19">
        <v>2</v>
      </c>
      <c r="N738" s="61"/>
      <c r="O738" s="62"/>
      <c r="P738" s="63">
        <v>1</v>
      </c>
      <c r="Q738" s="64">
        <v>0</v>
      </c>
      <c r="R738" s="65">
        <v>2</v>
      </c>
      <c r="S738" s="66">
        <v>2</v>
      </c>
      <c r="V738" s="4" t="s">
        <v>5356</v>
      </c>
      <c r="AF738" s="61"/>
      <c r="AG738" s="62"/>
      <c r="AH738" s="63"/>
      <c r="AI738" s="64"/>
      <c r="AJ738" s="65"/>
      <c r="AK738" s="66"/>
      <c r="AL738" s="60" t="s">
        <v>30</v>
      </c>
    </row>
    <row r="739" spans="1:38" ht="36" x14ac:dyDescent="0.2">
      <c r="A739" s="1" t="s">
        <v>5339</v>
      </c>
      <c r="B739" s="1" t="s">
        <v>5357</v>
      </c>
      <c r="C739" s="1" t="s">
        <v>5711</v>
      </c>
      <c r="D739" s="48">
        <v>5</v>
      </c>
      <c r="E739" s="1">
        <v>3</v>
      </c>
      <c r="G739" s="1" t="s">
        <v>5358</v>
      </c>
      <c r="I739" s="1" t="s">
        <v>38</v>
      </c>
      <c r="J739" s="1" t="s">
        <v>39</v>
      </c>
      <c r="K739" s="1" t="s">
        <v>5355</v>
      </c>
      <c r="L739" s="4"/>
      <c r="M739" s="19">
        <v>2</v>
      </c>
      <c r="N739" s="61"/>
      <c r="O739" s="62"/>
      <c r="P739" s="63">
        <v>1</v>
      </c>
      <c r="Q739" s="64">
        <v>0</v>
      </c>
      <c r="R739" s="65">
        <v>1</v>
      </c>
      <c r="S739" s="66">
        <v>2</v>
      </c>
      <c r="V739" s="4" t="s">
        <v>5359</v>
      </c>
      <c r="AF739" s="61"/>
      <c r="AG739" s="62"/>
      <c r="AH739" s="63"/>
      <c r="AI739" s="64"/>
      <c r="AJ739" s="65"/>
      <c r="AK739" s="66"/>
      <c r="AL739" s="60" t="s">
        <v>30</v>
      </c>
    </row>
    <row r="740" spans="1:38" ht="24" x14ac:dyDescent="0.2">
      <c r="A740" s="1" t="s">
        <v>5339</v>
      </c>
      <c r="B740" s="1" t="s">
        <v>5360</v>
      </c>
      <c r="C740" s="1" t="s">
        <v>5711</v>
      </c>
      <c r="D740" s="48">
        <v>6</v>
      </c>
      <c r="E740" s="1">
        <v>3</v>
      </c>
      <c r="G740" s="1" t="s">
        <v>5361</v>
      </c>
      <c r="I740" s="1" t="s">
        <v>38</v>
      </c>
      <c r="J740" s="1" t="s">
        <v>50</v>
      </c>
      <c r="K740" s="1" t="s">
        <v>393</v>
      </c>
      <c r="L740" s="4"/>
      <c r="M740" s="19">
        <v>2</v>
      </c>
      <c r="N740" s="61"/>
      <c r="O740" s="62"/>
      <c r="P740" s="63">
        <v>0</v>
      </c>
      <c r="Q740" s="64">
        <v>2</v>
      </c>
      <c r="R740" s="65">
        <v>1</v>
      </c>
      <c r="S740" s="66">
        <v>2</v>
      </c>
      <c r="V740" s="4" t="s">
        <v>5362</v>
      </c>
      <c r="AF740" s="61"/>
      <c r="AG740" s="62"/>
      <c r="AH740" s="63"/>
      <c r="AI740" s="64"/>
      <c r="AJ740" s="65"/>
      <c r="AK740" s="66"/>
      <c r="AL740" s="60" t="s">
        <v>30</v>
      </c>
    </row>
    <row r="741" spans="1:38" ht="36" x14ac:dyDescent="0.2">
      <c r="A741" s="1" t="s">
        <v>5339</v>
      </c>
      <c r="B741" s="1" t="s">
        <v>5363</v>
      </c>
      <c r="C741" s="1" t="s">
        <v>5711</v>
      </c>
      <c r="D741" s="48">
        <v>7</v>
      </c>
      <c r="E741" s="1">
        <v>3</v>
      </c>
      <c r="G741" s="1" t="s">
        <v>5364</v>
      </c>
      <c r="I741" s="1" t="s">
        <v>38</v>
      </c>
      <c r="J741" s="1" t="s">
        <v>57</v>
      </c>
      <c r="K741" s="1" t="s">
        <v>75</v>
      </c>
      <c r="L741" s="4"/>
      <c r="M741" s="19">
        <v>1</v>
      </c>
      <c r="N741" s="61"/>
      <c r="O741" s="62"/>
      <c r="P741" s="63">
        <v>1</v>
      </c>
      <c r="Q741" s="64">
        <v>0</v>
      </c>
      <c r="R741" s="65">
        <v>0</v>
      </c>
      <c r="S741" s="66">
        <v>1</v>
      </c>
      <c r="V741" s="4" t="s">
        <v>5365</v>
      </c>
      <c r="AF741" s="61"/>
      <c r="AG741" s="62"/>
      <c r="AH741" s="63"/>
      <c r="AI741" s="64"/>
      <c r="AJ741" s="65"/>
      <c r="AK741" s="66"/>
      <c r="AL741" s="60" t="s">
        <v>30</v>
      </c>
    </row>
    <row r="742" spans="1:38" ht="24" x14ac:dyDescent="0.2">
      <c r="A742" s="1" t="s">
        <v>5339</v>
      </c>
      <c r="B742" s="1" t="s">
        <v>5366</v>
      </c>
      <c r="C742" s="1" t="s">
        <v>5711</v>
      </c>
      <c r="D742" s="48">
        <v>8</v>
      </c>
      <c r="E742" s="1">
        <v>3</v>
      </c>
      <c r="G742" s="1" t="s">
        <v>5367</v>
      </c>
      <c r="I742" s="1" t="s">
        <v>56</v>
      </c>
      <c r="J742" s="1" t="s">
        <v>50</v>
      </c>
      <c r="K742" s="1" t="s">
        <v>1084</v>
      </c>
      <c r="L742" s="4" t="s">
        <v>5368</v>
      </c>
      <c r="M742" s="19">
        <v>1</v>
      </c>
      <c r="N742" s="61"/>
      <c r="O742" s="62"/>
      <c r="P742" s="63"/>
      <c r="Q742" s="64"/>
      <c r="R742" s="65"/>
      <c r="S742" s="66"/>
      <c r="V742" s="4" t="s">
        <v>5369</v>
      </c>
      <c r="AF742" s="61"/>
      <c r="AG742" s="62"/>
      <c r="AH742" s="63"/>
      <c r="AI742" s="64"/>
      <c r="AJ742" s="65"/>
      <c r="AK742" s="66"/>
      <c r="AL742" s="60" t="s">
        <v>30</v>
      </c>
    </row>
    <row r="743" spans="1:38" ht="36" x14ac:dyDescent="0.2">
      <c r="A743" s="1" t="s">
        <v>5339</v>
      </c>
      <c r="B743" s="1" t="s">
        <v>5370</v>
      </c>
      <c r="C743" s="1" t="s">
        <v>5711</v>
      </c>
      <c r="D743" s="48">
        <v>9</v>
      </c>
      <c r="E743" s="1">
        <v>3</v>
      </c>
      <c r="G743" s="1" t="s">
        <v>5371</v>
      </c>
      <c r="I743" s="1" t="s">
        <v>56</v>
      </c>
      <c r="J743" s="1" t="s">
        <v>57</v>
      </c>
      <c r="K743" s="1" t="s">
        <v>89</v>
      </c>
      <c r="L743" s="4" t="s">
        <v>189</v>
      </c>
      <c r="M743" s="19">
        <v>2</v>
      </c>
      <c r="N743" s="61"/>
      <c r="O743" s="62"/>
      <c r="P743" s="63"/>
      <c r="Q743" s="64"/>
      <c r="R743" s="65"/>
      <c r="S743" s="66"/>
      <c r="V743" s="4" t="s">
        <v>5372</v>
      </c>
      <c r="AF743" s="61"/>
      <c r="AG743" s="62"/>
      <c r="AH743" s="63"/>
      <c r="AI743" s="64"/>
      <c r="AJ743" s="65"/>
      <c r="AK743" s="66"/>
      <c r="AL743" s="60" t="s">
        <v>30</v>
      </c>
    </row>
    <row r="744" spans="1:38" ht="36" x14ac:dyDescent="0.2">
      <c r="A744" s="1" t="s">
        <v>5339</v>
      </c>
      <c r="B744" s="1" t="s">
        <v>5373</v>
      </c>
      <c r="C744" s="1" t="s">
        <v>5711</v>
      </c>
      <c r="D744" s="48">
        <v>10</v>
      </c>
      <c r="E744" s="1">
        <v>3</v>
      </c>
      <c r="G744" s="1" t="s">
        <v>5374</v>
      </c>
      <c r="H744" s="1" t="s">
        <v>26</v>
      </c>
      <c r="I744" s="1" t="s">
        <v>56</v>
      </c>
      <c r="J744" s="1" t="s">
        <v>44</v>
      </c>
      <c r="K744" s="1" t="s">
        <v>89</v>
      </c>
      <c r="L744" s="4" t="s">
        <v>5375</v>
      </c>
      <c r="M744" s="19">
        <v>1</v>
      </c>
      <c r="N744" s="61"/>
      <c r="O744" s="62"/>
      <c r="P744" s="63"/>
      <c r="Q744" s="64"/>
      <c r="R744" s="65"/>
      <c r="S744" s="66"/>
      <c r="V744" s="4" t="s">
        <v>5376</v>
      </c>
      <c r="AF744" s="61"/>
      <c r="AG744" s="62"/>
      <c r="AH744" s="63"/>
      <c r="AI744" s="64"/>
      <c r="AJ744" s="65"/>
      <c r="AK744" s="66"/>
      <c r="AL744" s="60" t="s">
        <v>30</v>
      </c>
    </row>
    <row r="745" spans="1:38" x14ac:dyDescent="0.2">
      <c r="A745" s="1" t="s">
        <v>5339</v>
      </c>
      <c r="B745" s="1" t="s">
        <v>5377</v>
      </c>
      <c r="C745" s="1" t="s">
        <v>5711</v>
      </c>
      <c r="D745" s="48">
        <v>11</v>
      </c>
      <c r="E745" s="1">
        <v>3</v>
      </c>
      <c r="G745" s="1" t="s">
        <v>5913</v>
      </c>
      <c r="I745" s="1" t="s">
        <v>63</v>
      </c>
      <c r="J745" s="1" t="s">
        <v>28</v>
      </c>
      <c r="L745" s="4" t="s">
        <v>5378</v>
      </c>
      <c r="M745" s="19">
        <v>0</v>
      </c>
      <c r="N745" s="61"/>
      <c r="O745" s="62"/>
      <c r="P745" s="63"/>
      <c r="Q745" s="64"/>
      <c r="R745" s="65"/>
      <c r="S745" s="66"/>
      <c r="V745" s="4" t="s">
        <v>5379</v>
      </c>
      <c r="AF745" s="61"/>
      <c r="AG745" s="62"/>
      <c r="AH745" s="63"/>
      <c r="AI745" s="64"/>
      <c r="AJ745" s="65"/>
      <c r="AK745" s="66"/>
      <c r="AL745" s="60" t="s">
        <v>30</v>
      </c>
    </row>
    <row r="746" spans="1:38" x14ac:dyDescent="0.2">
      <c r="A746" s="1" t="s">
        <v>5339</v>
      </c>
      <c r="B746" s="1" t="s">
        <v>5380</v>
      </c>
      <c r="C746" s="1" t="s">
        <v>5711</v>
      </c>
      <c r="D746" s="48">
        <v>12</v>
      </c>
      <c r="E746" s="1">
        <v>3</v>
      </c>
      <c r="G746" s="1" t="s">
        <v>5381</v>
      </c>
      <c r="I746" s="1" t="s">
        <v>63</v>
      </c>
      <c r="J746" s="1" t="s">
        <v>39</v>
      </c>
      <c r="L746" s="4" t="s">
        <v>1233</v>
      </c>
      <c r="M746" s="19">
        <v>0</v>
      </c>
      <c r="N746" s="61"/>
      <c r="O746" s="62"/>
      <c r="P746" s="63"/>
      <c r="Q746" s="64"/>
      <c r="R746" s="65"/>
      <c r="S746" s="66"/>
      <c r="V746" s="4" t="s">
        <v>5382</v>
      </c>
      <c r="AF746" s="61"/>
      <c r="AG746" s="62"/>
      <c r="AH746" s="63"/>
      <c r="AI746" s="64"/>
      <c r="AJ746" s="65"/>
      <c r="AK746" s="66"/>
      <c r="AL746" s="60" t="s">
        <v>30</v>
      </c>
    </row>
    <row r="747" spans="1:38" ht="36" x14ac:dyDescent="0.2">
      <c r="A747" s="1" t="s">
        <v>5339</v>
      </c>
      <c r="B747" s="1" t="s">
        <v>5383</v>
      </c>
      <c r="C747" s="1" t="s">
        <v>5711</v>
      </c>
      <c r="D747" s="48">
        <v>13</v>
      </c>
      <c r="E747" s="1">
        <v>3</v>
      </c>
      <c r="G747" s="1" t="s">
        <v>5384</v>
      </c>
      <c r="I747" s="1" t="s">
        <v>63</v>
      </c>
      <c r="J747" s="1" t="s">
        <v>50</v>
      </c>
      <c r="K747" s="1" t="s">
        <v>5385</v>
      </c>
      <c r="L747" s="4" t="s">
        <v>2620</v>
      </c>
      <c r="M747" s="19">
        <v>0</v>
      </c>
      <c r="N747" s="61"/>
      <c r="O747" s="62"/>
      <c r="P747" s="63"/>
      <c r="Q747" s="64"/>
      <c r="R747" s="65"/>
      <c r="S747" s="66"/>
      <c r="V747" s="4" t="s">
        <v>5386</v>
      </c>
      <c r="AF747" s="61"/>
      <c r="AG747" s="62"/>
      <c r="AH747" s="63"/>
      <c r="AI747" s="64"/>
      <c r="AJ747" s="65"/>
      <c r="AK747" s="66"/>
      <c r="AL747" s="60" t="s">
        <v>30</v>
      </c>
    </row>
    <row r="748" spans="1:38" ht="24" x14ac:dyDescent="0.2">
      <c r="A748" s="1" t="s">
        <v>5339</v>
      </c>
      <c r="B748" s="1" t="s">
        <v>5387</v>
      </c>
      <c r="C748" s="1" t="s">
        <v>5711</v>
      </c>
      <c r="D748" s="48">
        <v>14</v>
      </c>
      <c r="E748" s="1">
        <v>3</v>
      </c>
      <c r="G748" s="1" t="s">
        <v>5388</v>
      </c>
      <c r="I748" s="1" t="s">
        <v>63</v>
      </c>
      <c r="J748" s="1" t="s">
        <v>57</v>
      </c>
      <c r="K748" s="1" t="s">
        <v>5385</v>
      </c>
      <c r="L748" s="4" t="s">
        <v>1233</v>
      </c>
      <c r="M748" s="19">
        <v>0</v>
      </c>
      <c r="N748" s="61"/>
      <c r="O748" s="62"/>
      <c r="P748" s="63"/>
      <c r="Q748" s="64"/>
      <c r="R748" s="65"/>
      <c r="S748" s="66"/>
      <c r="V748" s="4" t="s">
        <v>5389</v>
      </c>
      <c r="AF748" s="61"/>
      <c r="AG748" s="62"/>
      <c r="AH748" s="63"/>
      <c r="AI748" s="64"/>
      <c r="AJ748" s="65"/>
      <c r="AK748" s="66"/>
      <c r="AL748" s="60" t="s">
        <v>30</v>
      </c>
    </row>
    <row r="749" spans="1:38" ht="24" x14ac:dyDescent="0.2">
      <c r="A749" s="1" t="s">
        <v>5339</v>
      </c>
      <c r="B749" s="1" t="s">
        <v>5390</v>
      </c>
      <c r="C749" s="1" t="s">
        <v>5711</v>
      </c>
      <c r="D749" s="48">
        <v>15</v>
      </c>
      <c r="E749" s="1">
        <v>3</v>
      </c>
      <c r="G749" s="1" t="s">
        <v>5391</v>
      </c>
      <c r="I749" s="1" t="s">
        <v>63</v>
      </c>
      <c r="J749" s="1" t="s">
        <v>44</v>
      </c>
      <c r="L749" s="4" t="s">
        <v>685</v>
      </c>
      <c r="M749" s="19">
        <v>0</v>
      </c>
      <c r="N749" s="61"/>
      <c r="O749" s="62"/>
      <c r="P749" s="63"/>
      <c r="Q749" s="64"/>
      <c r="R749" s="65"/>
      <c r="S749" s="66"/>
      <c r="V749" s="4" t="s">
        <v>5392</v>
      </c>
      <c r="AF749" s="61"/>
      <c r="AG749" s="62"/>
      <c r="AH749" s="63"/>
      <c r="AI749" s="64"/>
      <c r="AJ749" s="65"/>
      <c r="AK749" s="66"/>
      <c r="AL749" s="60" t="s">
        <v>30</v>
      </c>
    </row>
    <row r="750" spans="1:38" ht="60" x14ac:dyDescent="0.2">
      <c r="A750" s="111" t="s">
        <v>5339</v>
      </c>
      <c r="B750" s="111" t="s">
        <v>5340</v>
      </c>
      <c r="C750" s="111" t="s">
        <v>5711</v>
      </c>
      <c r="D750" s="112">
        <v>16</v>
      </c>
      <c r="E750" s="111">
        <v>1</v>
      </c>
      <c r="F750" s="111" t="s">
        <v>5343</v>
      </c>
      <c r="G750" s="111" t="s">
        <v>5341</v>
      </c>
      <c r="H750" s="1" t="s">
        <v>26</v>
      </c>
      <c r="I750" s="1" t="s">
        <v>88</v>
      </c>
      <c r="J750" s="1" t="s">
        <v>44</v>
      </c>
      <c r="K750" s="1" t="s">
        <v>75</v>
      </c>
      <c r="L750" s="4"/>
      <c r="M750" s="19"/>
      <c r="N750" s="61"/>
      <c r="O750" s="62"/>
      <c r="P750" s="63">
        <v>2</v>
      </c>
      <c r="Q750" s="64">
        <v>1</v>
      </c>
      <c r="R750" s="65">
        <v>2</v>
      </c>
      <c r="S750" s="66">
        <v>3</v>
      </c>
      <c r="V750" s="4" t="s">
        <v>5342</v>
      </c>
      <c r="AF750" s="61"/>
      <c r="AG750" s="62"/>
      <c r="AH750" s="63"/>
      <c r="AI750" s="64"/>
      <c r="AJ750" s="65"/>
      <c r="AK750" s="66"/>
      <c r="AL750" s="60" t="s">
        <v>30</v>
      </c>
    </row>
    <row r="751" spans="1:38" ht="24" x14ac:dyDescent="0.2">
      <c r="A751" s="1" t="s">
        <v>5339</v>
      </c>
      <c r="B751" s="1" t="s">
        <v>5393</v>
      </c>
      <c r="C751" s="1" t="s">
        <v>5711</v>
      </c>
      <c r="D751" s="48">
        <v>17</v>
      </c>
      <c r="E751" s="1">
        <v>1</v>
      </c>
      <c r="F751" s="1" t="s">
        <v>5343</v>
      </c>
      <c r="G751" s="1" t="s">
        <v>5394</v>
      </c>
      <c r="H751" s="1" t="s">
        <v>26</v>
      </c>
      <c r="I751" s="1" t="s">
        <v>104</v>
      </c>
      <c r="K751" s="1" t="s">
        <v>3548</v>
      </c>
      <c r="L751" s="4" t="s">
        <v>5395</v>
      </c>
      <c r="M751" s="19"/>
      <c r="N751" s="61"/>
      <c r="O751" s="62">
        <v>1</v>
      </c>
      <c r="P751" s="63"/>
      <c r="Q751" s="64"/>
      <c r="R751" s="65"/>
      <c r="S751" s="66"/>
      <c r="T751" s="60">
        <v>1</v>
      </c>
      <c r="U751" s="1">
        <v>1</v>
      </c>
      <c r="V751" s="4" t="s">
        <v>5396</v>
      </c>
      <c r="AF751" s="61"/>
      <c r="AG751" s="62"/>
      <c r="AH751" s="63"/>
      <c r="AI751" s="64"/>
      <c r="AJ751" s="65"/>
      <c r="AK751" s="66"/>
      <c r="AL751" s="60" t="s">
        <v>30</v>
      </c>
    </row>
    <row r="752" spans="1:38" ht="72" x14ac:dyDescent="0.2">
      <c r="A752" s="1" t="s">
        <v>5339</v>
      </c>
      <c r="B752" s="1" t="s">
        <v>5397</v>
      </c>
      <c r="C752" s="1" t="s">
        <v>5711</v>
      </c>
      <c r="D752" s="48">
        <v>18</v>
      </c>
      <c r="E752" s="1">
        <v>3</v>
      </c>
      <c r="F752" s="1" t="s">
        <v>5343</v>
      </c>
      <c r="G752" s="1" t="s">
        <v>5343</v>
      </c>
      <c r="I752" s="1" t="s">
        <v>104</v>
      </c>
      <c r="K752" s="1" t="s">
        <v>3548</v>
      </c>
      <c r="L752" s="4"/>
      <c r="M752" s="19"/>
      <c r="N752" s="61"/>
      <c r="O752" s="62">
        <v>3</v>
      </c>
      <c r="P752" s="63"/>
      <c r="Q752" s="64"/>
      <c r="R752" s="65"/>
      <c r="S752" s="66"/>
      <c r="T752" s="60">
        <v>4</v>
      </c>
      <c r="V752" s="4" t="s">
        <v>5398</v>
      </c>
      <c r="AF752" s="61"/>
      <c r="AG752" s="62"/>
      <c r="AH752" s="63"/>
      <c r="AI752" s="64"/>
      <c r="AJ752" s="65"/>
      <c r="AK752" s="66"/>
      <c r="AL752" s="60" t="s">
        <v>30</v>
      </c>
    </row>
    <row r="753" spans="1:38" ht="72" x14ac:dyDescent="0.2">
      <c r="A753" s="1" t="s">
        <v>5339</v>
      </c>
      <c r="B753" s="1" t="s">
        <v>5399</v>
      </c>
      <c r="C753" s="1" t="s">
        <v>5711</v>
      </c>
      <c r="D753" s="48">
        <v>19</v>
      </c>
      <c r="E753" s="1">
        <v>2</v>
      </c>
      <c r="F753" s="1" t="s">
        <v>5343</v>
      </c>
      <c r="G753" s="1" t="s">
        <v>5400</v>
      </c>
      <c r="I753" s="1" t="s">
        <v>104</v>
      </c>
      <c r="K753" s="1" t="s">
        <v>3058</v>
      </c>
      <c r="L753" s="4"/>
      <c r="M753" s="19"/>
      <c r="N753" s="61"/>
      <c r="O753" s="62">
        <v>2</v>
      </c>
      <c r="P753" s="63"/>
      <c r="Q753" s="64"/>
      <c r="R753" s="65"/>
      <c r="S753" s="66"/>
      <c r="T753" s="60">
        <v>2</v>
      </c>
      <c r="V753" s="4" t="s">
        <v>5401</v>
      </c>
      <c r="AF753" s="61"/>
      <c r="AG753" s="62"/>
      <c r="AH753" s="63"/>
      <c r="AI753" s="64"/>
      <c r="AJ753" s="65"/>
      <c r="AK753" s="66"/>
      <c r="AL753" s="60" t="s">
        <v>30</v>
      </c>
    </row>
    <row r="754" spans="1:38" ht="24" x14ac:dyDescent="0.2">
      <c r="A754" s="1" t="s">
        <v>5339</v>
      </c>
      <c r="B754" s="1" t="s">
        <v>5402</v>
      </c>
      <c r="C754" s="1" t="s">
        <v>5711</v>
      </c>
      <c r="D754" s="48">
        <v>20</v>
      </c>
      <c r="E754" s="1">
        <v>4</v>
      </c>
      <c r="F754" s="1" t="s">
        <v>5343</v>
      </c>
      <c r="G754" s="1" t="s">
        <v>5403</v>
      </c>
      <c r="I754" s="1" t="s">
        <v>104</v>
      </c>
      <c r="K754" s="1" t="s">
        <v>4953</v>
      </c>
      <c r="L754" s="4"/>
      <c r="M754" s="19"/>
      <c r="N754" s="61"/>
      <c r="O754" s="62">
        <v>2</v>
      </c>
      <c r="P754" s="63"/>
      <c r="Q754" s="64"/>
      <c r="R754" s="65"/>
      <c r="S754" s="66"/>
      <c r="T754" s="60">
        <v>3</v>
      </c>
      <c r="U754" s="1">
        <v>1</v>
      </c>
      <c r="V754" s="4" t="s">
        <v>5404</v>
      </c>
      <c r="W754" s="4" t="s">
        <v>5405</v>
      </c>
      <c r="AF754" s="61"/>
      <c r="AG754" s="62"/>
      <c r="AH754" s="63"/>
      <c r="AI754" s="64"/>
      <c r="AJ754" s="65"/>
      <c r="AK754" s="66"/>
      <c r="AL754" s="60" t="s">
        <v>30</v>
      </c>
    </row>
    <row r="755" spans="1:38" ht="36" x14ac:dyDescent="0.2">
      <c r="A755" s="1" t="s">
        <v>5339</v>
      </c>
      <c r="B755" s="1" t="s">
        <v>5406</v>
      </c>
      <c r="C755" s="1" t="s">
        <v>5711</v>
      </c>
      <c r="D755" s="48">
        <v>21</v>
      </c>
      <c r="E755" s="1">
        <v>2</v>
      </c>
      <c r="F755" s="1" t="s">
        <v>5343</v>
      </c>
      <c r="G755" s="1" t="s">
        <v>5407</v>
      </c>
      <c r="I755" s="1" t="s">
        <v>82</v>
      </c>
      <c r="L755" s="4"/>
      <c r="M755" s="19"/>
      <c r="N755" s="61"/>
      <c r="O755" s="62"/>
      <c r="P755" s="63"/>
      <c r="Q755" s="64"/>
      <c r="R755" s="65"/>
      <c r="S755" s="66"/>
      <c r="V755" s="4" t="s">
        <v>5408</v>
      </c>
      <c r="W755" s="4" t="s">
        <v>5409</v>
      </c>
      <c r="AF755" s="61"/>
      <c r="AG755" s="62"/>
      <c r="AH755" s="63"/>
      <c r="AI755" s="64"/>
      <c r="AJ755" s="65"/>
      <c r="AK755" s="66"/>
      <c r="AL755" s="60" t="s">
        <v>30</v>
      </c>
    </row>
    <row r="756" spans="1:38" ht="60" x14ac:dyDescent="0.2">
      <c r="A756" s="1" t="s">
        <v>5339</v>
      </c>
      <c r="B756" s="1" t="s">
        <v>5410</v>
      </c>
      <c r="C756" s="1" t="s">
        <v>5711</v>
      </c>
      <c r="D756" s="48">
        <v>22</v>
      </c>
      <c r="E756" s="1">
        <v>1</v>
      </c>
      <c r="F756" s="1" t="s">
        <v>5343</v>
      </c>
      <c r="G756" s="1" t="s">
        <v>5411</v>
      </c>
      <c r="I756" s="1" t="s">
        <v>82</v>
      </c>
      <c r="L756" s="4"/>
      <c r="M756" s="19"/>
      <c r="N756" s="61"/>
      <c r="O756" s="62"/>
      <c r="P756" s="63"/>
      <c r="Q756" s="64"/>
      <c r="R756" s="65"/>
      <c r="S756" s="66"/>
      <c r="V756" s="4" t="s">
        <v>5412</v>
      </c>
      <c r="AF756" s="61"/>
      <c r="AG756" s="62"/>
      <c r="AH756" s="63"/>
      <c r="AI756" s="64"/>
      <c r="AJ756" s="65"/>
      <c r="AK756" s="66"/>
      <c r="AL756" s="60" t="s">
        <v>30</v>
      </c>
    </row>
    <row r="757" spans="1:38" ht="36" x14ac:dyDescent="0.2">
      <c r="A757" s="1" t="s">
        <v>5339</v>
      </c>
      <c r="B757" s="1" t="s">
        <v>5413</v>
      </c>
      <c r="C757" s="1" t="s">
        <v>5711</v>
      </c>
      <c r="D757" s="48">
        <v>23</v>
      </c>
      <c r="E757" s="1">
        <v>2</v>
      </c>
      <c r="F757" s="1" t="s">
        <v>5343</v>
      </c>
      <c r="G757" s="1" t="s">
        <v>5414</v>
      </c>
      <c r="I757" s="1" t="s">
        <v>82</v>
      </c>
      <c r="L757" s="4"/>
      <c r="M757" s="19"/>
      <c r="N757" s="61"/>
      <c r="O757" s="62"/>
      <c r="P757" s="63"/>
      <c r="Q757" s="64"/>
      <c r="R757" s="65"/>
      <c r="S757" s="66"/>
      <c r="V757" s="4" t="s">
        <v>5415</v>
      </c>
      <c r="AF757" s="61"/>
      <c r="AG757" s="62"/>
      <c r="AH757" s="63"/>
      <c r="AI757" s="64"/>
      <c r="AJ757" s="65"/>
      <c r="AK757" s="66"/>
      <c r="AL757" s="60" t="s">
        <v>30</v>
      </c>
    </row>
    <row r="758" spans="1:38" ht="48" x14ac:dyDescent="0.2">
      <c r="A758" s="111" t="s">
        <v>5339</v>
      </c>
      <c r="B758" s="111" t="s">
        <v>5462</v>
      </c>
      <c r="C758" s="111" t="s">
        <v>5711</v>
      </c>
      <c r="D758" s="112">
        <v>24</v>
      </c>
      <c r="E758" s="111">
        <v>1</v>
      </c>
      <c r="F758" s="111" t="s">
        <v>5456</v>
      </c>
      <c r="G758" s="111" t="s">
        <v>5463</v>
      </c>
      <c r="H758" s="1" t="s">
        <v>26</v>
      </c>
      <c r="I758" s="1" t="s">
        <v>94</v>
      </c>
      <c r="K758" s="1" t="s">
        <v>2266</v>
      </c>
      <c r="L758" s="4" t="s">
        <v>5464</v>
      </c>
      <c r="M758" s="19"/>
      <c r="N758" s="61">
        <v>1</v>
      </c>
      <c r="O758" s="62">
        <v>4</v>
      </c>
      <c r="P758" s="63"/>
      <c r="Q758" s="64">
        <v>7</v>
      </c>
      <c r="R758" s="65">
        <v>4</v>
      </c>
      <c r="S758" s="66">
        <v>8</v>
      </c>
      <c r="V758" s="4" t="s">
        <v>5465</v>
      </c>
      <c r="AF758" s="61"/>
      <c r="AG758" s="62"/>
      <c r="AH758" s="63"/>
      <c r="AI758" s="64"/>
      <c r="AJ758" s="65"/>
      <c r="AK758" s="66"/>
      <c r="AL758" s="60" t="s">
        <v>30</v>
      </c>
    </row>
    <row r="759" spans="1:38" ht="60" x14ac:dyDescent="0.2">
      <c r="A759" s="1" t="s">
        <v>5339</v>
      </c>
      <c r="B759" s="1" t="s">
        <v>5466</v>
      </c>
      <c r="C759" s="1" t="s">
        <v>5711</v>
      </c>
      <c r="D759" s="48">
        <v>25</v>
      </c>
      <c r="E759" s="1">
        <v>3</v>
      </c>
      <c r="F759" s="1" t="s">
        <v>5456</v>
      </c>
      <c r="G759" s="1" t="s">
        <v>5467</v>
      </c>
      <c r="I759" s="1" t="s">
        <v>94</v>
      </c>
      <c r="K759" s="1" t="s">
        <v>2266</v>
      </c>
      <c r="L759" s="4"/>
      <c r="M759" s="19"/>
      <c r="N759" s="61">
        <v>40</v>
      </c>
      <c r="O759" s="62">
        <v>3</v>
      </c>
      <c r="P759" s="63"/>
      <c r="Q759" s="64">
        <v>6</v>
      </c>
      <c r="R759" s="65">
        <v>3</v>
      </c>
      <c r="S759" s="66">
        <v>6</v>
      </c>
      <c r="U759" s="1">
        <v>3</v>
      </c>
      <c r="V759" s="4" t="s">
        <v>5468</v>
      </c>
      <c r="AF759" s="61"/>
      <c r="AG759" s="62"/>
      <c r="AH759" s="63"/>
      <c r="AI759" s="64"/>
      <c r="AJ759" s="65"/>
      <c r="AK759" s="66"/>
      <c r="AL759" s="60" t="s">
        <v>30</v>
      </c>
    </row>
    <row r="760" spans="1:38" ht="24" x14ac:dyDescent="0.2">
      <c r="A760" s="1" t="s">
        <v>5339</v>
      </c>
      <c r="B760" s="1" t="s">
        <v>5469</v>
      </c>
      <c r="C760" s="1" t="s">
        <v>5711</v>
      </c>
      <c r="D760" s="48">
        <v>26</v>
      </c>
      <c r="E760" s="1">
        <v>3</v>
      </c>
      <c r="F760" s="1" t="s">
        <v>5456</v>
      </c>
      <c r="G760" s="1" t="s">
        <v>5470</v>
      </c>
      <c r="I760" s="1" t="s">
        <v>94</v>
      </c>
      <c r="K760" s="1" t="s">
        <v>944</v>
      </c>
      <c r="L760" s="4"/>
      <c r="M760" s="19"/>
      <c r="N760" s="61">
        <v>30</v>
      </c>
      <c r="O760" s="62">
        <v>3</v>
      </c>
      <c r="P760" s="63"/>
      <c r="Q760" s="64">
        <v>5</v>
      </c>
      <c r="R760" s="65">
        <v>3</v>
      </c>
      <c r="S760" s="66">
        <v>5</v>
      </c>
      <c r="V760" s="4" t="s">
        <v>5471</v>
      </c>
      <c r="W760" s="4" t="s">
        <v>5472</v>
      </c>
      <c r="AF760" s="61"/>
      <c r="AG760" s="62"/>
      <c r="AH760" s="63"/>
      <c r="AI760" s="64"/>
      <c r="AJ760" s="65"/>
      <c r="AK760" s="66"/>
      <c r="AL760" s="60" t="s">
        <v>30</v>
      </c>
    </row>
    <row r="761" spans="1:38" ht="60" x14ac:dyDescent="0.2">
      <c r="A761" s="1" t="s">
        <v>5339</v>
      </c>
      <c r="B761" s="1" t="s">
        <v>5473</v>
      </c>
      <c r="C761" s="1" t="s">
        <v>5711</v>
      </c>
      <c r="D761" s="48">
        <v>27</v>
      </c>
      <c r="E761" s="1">
        <v>4</v>
      </c>
      <c r="F761" s="1" t="s">
        <v>5456</v>
      </c>
      <c r="G761" s="1" t="s">
        <v>5474</v>
      </c>
      <c r="I761" s="1" t="s">
        <v>104</v>
      </c>
      <c r="K761" s="1" t="s">
        <v>5478</v>
      </c>
      <c r="L761" s="4"/>
      <c r="M761" s="19"/>
      <c r="N761" s="61"/>
      <c r="O761" s="62">
        <v>2</v>
      </c>
      <c r="P761" s="63"/>
      <c r="Q761" s="64"/>
      <c r="R761" s="65"/>
      <c r="S761" s="66"/>
      <c r="T761" s="60">
        <v>3</v>
      </c>
      <c r="V761" s="4" t="s">
        <v>5475</v>
      </c>
      <c r="AF761" s="61"/>
      <c r="AG761" s="62"/>
      <c r="AH761" s="63"/>
      <c r="AI761" s="64"/>
      <c r="AJ761" s="65"/>
      <c r="AK761" s="66"/>
      <c r="AL761" s="60" t="s">
        <v>30</v>
      </c>
    </row>
    <row r="762" spans="1:38" ht="72" x14ac:dyDescent="0.2">
      <c r="A762" s="1" t="s">
        <v>5339</v>
      </c>
      <c r="B762" s="1" t="s">
        <v>5476</v>
      </c>
      <c r="C762" s="1" t="s">
        <v>5711</v>
      </c>
      <c r="D762" s="48">
        <v>28</v>
      </c>
      <c r="E762" s="1">
        <v>3</v>
      </c>
      <c r="F762" s="1" t="s">
        <v>5456</v>
      </c>
      <c r="G762" s="1" t="s">
        <v>5477</v>
      </c>
      <c r="I762" s="1" t="s">
        <v>104</v>
      </c>
      <c r="K762" s="1" t="s">
        <v>5478</v>
      </c>
      <c r="L762" s="4"/>
      <c r="M762" s="19"/>
      <c r="N762" s="61"/>
      <c r="O762" s="62">
        <v>3</v>
      </c>
      <c r="P762" s="63"/>
      <c r="Q762" s="64"/>
      <c r="R762" s="65"/>
      <c r="S762" s="66"/>
      <c r="T762" s="60">
        <v>4</v>
      </c>
      <c r="V762" s="4" t="s">
        <v>5479</v>
      </c>
      <c r="AF762" s="61"/>
      <c r="AG762" s="62"/>
      <c r="AH762" s="63"/>
      <c r="AI762" s="64"/>
      <c r="AJ762" s="65"/>
      <c r="AK762" s="66"/>
      <c r="AL762" s="60" t="s">
        <v>30</v>
      </c>
    </row>
    <row r="763" spans="1:38" ht="36" x14ac:dyDescent="0.2">
      <c r="A763" s="1" t="s">
        <v>5339</v>
      </c>
      <c r="B763" s="1" t="s">
        <v>5480</v>
      </c>
      <c r="C763" s="1" t="s">
        <v>5711</v>
      </c>
      <c r="D763" s="48">
        <v>29</v>
      </c>
      <c r="E763" s="1">
        <v>2</v>
      </c>
      <c r="F763" s="1" t="s">
        <v>5456</v>
      </c>
      <c r="G763" s="1" t="s">
        <v>5481</v>
      </c>
      <c r="I763" s="1" t="s">
        <v>104</v>
      </c>
      <c r="K763" s="1" t="s">
        <v>5478</v>
      </c>
      <c r="L763" s="4"/>
      <c r="M763" s="19"/>
      <c r="N763" s="61"/>
      <c r="O763" s="62">
        <v>4</v>
      </c>
      <c r="P763" s="63"/>
      <c r="Q763" s="64"/>
      <c r="R763" s="65"/>
      <c r="S763" s="66"/>
      <c r="T763" s="60">
        <v>2</v>
      </c>
      <c r="V763" s="4" t="s">
        <v>5482</v>
      </c>
      <c r="W763" s="4" t="s">
        <v>5483</v>
      </c>
      <c r="AF763" s="61"/>
      <c r="AG763" s="62"/>
      <c r="AH763" s="63"/>
      <c r="AI763" s="64"/>
      <c r="AJ763" s="65"/>
      <c r="AK763" s="66"/>
      <c r="AL763" s="60" t="s">
        <v>30</v>
      </c>
    </row>
    <row r="764" spans="1:38" ht="60" x14ac:dyDescent="0.2">
      <c r="A764" s="1" t="s">
        <v>5339</v>
      </c>
      <c r="B764" s="1" t="s">
        <v>5484</v>
      </c>
      <c r="C764" s="1" t="s">
        <v>5711</v>
      </c>
      <c r="D764" s="48">
        <v>30</v>
      </c>
      <c r="E764" s="1">
        <v>2</v>
      </c>
      <c r="F764" s="1" t="s">
        <v>5456</v>
      </c>
      <c r="G764" s="1" t="s">
        <v>5485</v>
      </c>
      <c r="I764" s="1" t="s">
        <v>82</v>
      </c>
      <c r="L764" s="4"/>
      <c r="M764" s="19"/>
      <c r="N764" s="61"/>
      <c r="O764" s="62"/>
      <c r="P764" s="63"/>
      <c r="Q764" s="64"/>
      <c r="R764" s="65"/>
      <c r="S764" s="66"/>
      <c r="V764" s="4" t="s">
        <v>5486</v>
      </c>
      <c r="AF764" s="61"/>
      <c r="AG764" s="62"/>
      <c r="AH764" s="63"/>
      <c r="AI764" s="64"/>
      <c r="AJ764" s="65"/>
      <c r="AK764" s="66"/>
      <c r="AL764" s="60" t="s">
        <v>30</v>
      </c>
    </row>
    <row r="765" spans="1:38" ht="60" x14ac:dyDescent="0.2">
      <c r="A765" s="111" t="s">
        <v>5339</v>
      </c>
      <c r="B765" s="111" t="s">
        <v>5521</v>
      </c>
      <c r="C765" s="111" t="s">
        <v>5711</v>
      </c>
      <c r="D765" s="112">
        <v>31</v>
      </c>
      <c r="E765" s="111">
        <v>1</v>
      </c>
      <c r="F765" s="111" t="s">
        <v>5514</v>
      </c>
      <c r="G765" s="111" t="s">
        <v>5463</v>
      </c>
      <c r="H765" s="1" t="s">
        <v>26</v>
      </c>
      <c r="I765" s="1" t="s">
        <v>88</v>
      </c>
      <c r="K765" s="1" t="s">
        <v>2266</v>
      </c>
      <c r="L765" s="4" t="s">
        <v>90</v>
      </c>
      <c r="M765" s="19"/>
      <c r="N765" s="61"/>
      <c r="O765" s="62"/>
      <c r="P765" s="63"/>
      <c r="Q765" s="64"/>
      <c r="R765" s="65"/>
      <c r="S765" s="66"/>
      <c r="V765" s="4" t="s">
        <v>5522</v>
      </c>
      <c r="AF765" s="61"/>
      <c r="AG765" s="62"/>
      <c r="AH765" s="63"/>
      <c r="AI765" s="64"/>
      <c r="AJ765" s="65"/>
      <c r="AK765" s="66"/>
      <c r="AL765" s="60" t="s">
        <v>30</v>
      </c>
    </row>
    <row r="766" spans="1:38" ht="36" x14ac:dyDescent="0.2">
      <c r="A766" s="1" t="s">
        <v>5339</v>
      </c>
      <c r="B766" s="1" t="s">
        <v>5523</v>
      </c>
      <c r="C766" s="1" t="s">
        <v>5711</v>
      </c>
      <c r="D766" s="48">
        <v>32</v>
      </c>
      <c r="E766" s="1">
        <v>1</v>
      </c>
      <c r="F766" s="1" t="s">
        <v>5514</v>
      </c>
      <c r="G766" s="1" t="s">
        <v>5524</v>
      </c>
      <c r="H766" s="1" t="s">
        <v>26</v>
      </c>
      <c r="I766" s="1" t="s">
        <v>104</v>
      </c>
      <c r="K766" s="1" t="s">
        <v>105</v>
      </c>
      <c r="L766" s="4" t="s">
        <v>331</v>
      </c>
      <c r="M766" s="19"/>
      <c r="N766" s="61"/>
      <c r="O766" s="62">
        <v>2</v>
      </c>
      <c r="P766" s="63"/>
      <c r="Q766" s="64"/>
      <c r="R766" s="65"/>
      <c r="S766" s="66"/>
      <c r="T766" s="60">
        <v>2</v>
      </c>
      <c r="U766" s="1">
        <v>1</v>
      </c>
      <c r="V766" s="4" t="s">
        <v>5525</v>
      </c>
      <c r="AF766" s="61"/>
      <c r="AG766" s="62"/>
      <c r="AH766" s="63"/>
      <c r="AI766" s="64"/>
      <c r="AJ766" s="65"/>
      <c r="AK766" s="66"/>
      <c r="AL766" s="60" t="s">
        <v>30</v>
      </c>
    </row>
    <row r="767" spans="1:38" ht="24" x14ac:dyDescent="0.2">
      <c r="A767" s="1" t="s">
        <v>5339</v>
      </c>
      <c r="B767" s="1" t="s">
        <v>5536</v>
      </c>
      <c r="C767" s="1" t="s">
        <v>5711</v>
      </c>
      <c r="D767" s="48">
        <v>33</v>
      </c>
      <c r="E767" s="1">
        <v>4</v>
      </c>
      <c r="F767" s="1" t="s">
        <v>5514</v>
      </c>
      <c r="G767" s="1" t="s">
        <v>5537</v>
      </c>
      <c r="I767" s="1" t="s">
        <v>94</v>
      </c>
      <c r="K767" s="1" t="s">
        <v>5538</v>
      </c>
      <c r="L767" s="2" t="s">
        <v>5539</v>
      </c>
      <c r="N767" s="54">
        <v>1</v>
      </c>
      <c r="O767" s="55">
        <v>2</v>
      </c>
      <c r="Q767" s="57">
        <v>4</v>
      </c>
      <c r="R767" s="58">
        <v>4</v>
      </c>
      <c r="S767" s="59">
        <v>5</v>
      </c>
      <c r="V767" s="4" t="s">
        <v>5540</v>
      </c>
      <c r="AL767" s="60" t="s">
        <v>30</v>
      </c>
    </row>
    <row r="768" spans="1:38" ht="24" x14ac:dyDescent="0.2">
      <c r="A768" s="1" t="s">
        <v>5339</v>
      </c>
      <c r="B768" s="1" t="s">
        <v>5541</v>
      </c>
      <c r="C768" s="1" t="s">
        <v>5711</v>
      </c>
      <c r="D768" s="48">
        <v>34</v>
      </c>
      <c r="E768" s="1">
        <v>3</v>
      </c>
      <c r="F768" s="1" t="s">
        <v>5514</v>
      </c>
      <c r="G768" s="1" t="s">
        <v>5542</v>
      </c>
      <c r="I768" s="1" t="s">
        <v>94</v>
      </c>
      <c r="K768" s="1" t="s">
        <v>5538</v>
      </c>
      <c r="L768" s="2" t="s">
        <v>5539</v>
      </c>
      <c r="N768" s="54">
        <v>38</v>
      </c>
      <c r="O768" s="55">
        <v>3</v>
      </c>
      <c r="Q768" s="57">
        <v>5</v>
      </c>
      <c r="R768" s="58">
        <v>4</v>
      </c>
      <c r="S768" s="59">
        <v>8</v>
      </c>
      <c r="V768" s="4" t="s">
        <v>5543</v>
      </c>
      <c r="AL768" s="60" t="s">
        <v>30</v>
      </c>
    </row>
    <row r="769" spans="1:38" ht="24" x14ac:dyDescent="0.2">
      <c r="A769" s="1" t="s">
        <v>5339</v>
      </c>
      <c r="B769" s="1" t="s">
        <v>5544</v>
      </c>
      <c r="C769" s="1" t="s">
        <v>5711</v>
      </c>
      <c r="D769" s="48">
        <v>35</v>
      </c>
      <c r="E769" s="1">
        <v>3</v>
      </c>
      <c r="F769" s="1" t="s">
        <v>5514</v>
      </c>
      <c r="G769" s="1" t="s">
        <v>5545</v>
      </c>
      <c r="I769" s="1" t="s">
        <v>94</v>
      </c>
      <c r="K769" s="1" t="s">
        <v>5538</v>
      </c>
      <c r="L769" s="2" t="s">
        <v>5539</v>
      </c>
      <c r="N769" s="54">
        <v>34</v>
      </c>
      <c r="O769" s="55">
        <v>2</v>
      </c>
      <c r="Q769" s="57">
        <v>3</v>
      </c>
      <c r="R769" s="58">
        <v>4</v>
      </c>
      <c r="S769" s="59">
        <v>6</v>
      </c>
      <c r="V769" s="4" t="s">
        <v>5546</v>
      </c>
      <c r="AL769" s="60" t="s">
        <v>30</v>
      </c>
    </row>
    <row r="770" spans="1:38" ht="24" x14ac:dyDescent="0.2">
      <c r="A770" s="1" t="s">
        <v>5339</v>
      </c>
      <c r="B770" s="1" t="s">
        <v>5547</v>
      </c>
      <c r="C770" s="1" t="s">
        <v>5711</v>
      </c>
      <c r="D770" s="48">
        <v>36</v>
      </c>
      <c r="E770" s="1">
        <v>3</v>
      </c>
      <c r="F770" s="1" t="s">
        <v>5514</v>
      </c>
      <c r="G770" s="1" t="s">
        <v>5548</v>
      </c>
      <c r="I770" s="1" t="s">
        <v>104</v>
      </c>
      <c r="K770" s="1" t="s">
        <v>105</v>
      </c>
      <c r="O770" s="55">
        <v>3</v>
      </c>
      <c r="T770" s="60">
        <v>3</v>
      </c>
      <c r="V770" s="4" t="s">
        <v>5549</v>
      </c>
      <c r="W770" s="4" t="s">
        <v>3638</v>
      </c>
      <c r="AL770" s="60" t="s">
        <v>30</v>
      </c>
    </row>
    <row r="771" spans="1:38" ht="60" x14ac:dyDescent="0.2">
      <c r="A771" s="1" t="s">
        <v>5339</v>
      </c>
      <c r="B771" s="1" t="s">
        <v>5550</v>
      </c>
      <c r="C771" s="1" t="s">
        <v>5711</v>
      </c>
      <c r="D771" s="48">
        <v>37</v>
      </c>
      <c r="E771" s="1">
        <v>4</v>
      </c>
      <c r="F771" s="1" t="s">
        <v>5514</v>
      </c>
      <c r="G771" s="1" t="s">
        <v>5551</v>
      </c>
      <c r="I771" s="1" t="s">
        <v>82</v>
      </c>
      <c r="V771" s="4" t="s">
        <v>5552</v>
      </c>
      <c r="AL771" s="60" t="s">
        <v>30</v>
      </c>
    </row>
    <row r="772" spans="1:38" ht="36" x14ac:dyDescent="0.2">
      <c r="A772" s="111" t="s">
        <v>5339</v>
      </c>
      <c r="B772" s="111" t="s">
        <v>5487</v>
      </c>
      <c r="C772" s="111" t="s">
        <v>5711</v>
      </c>
      <c r="D772" s="112">
        <v>38</v>
      </c>
      <c r="E772" s="111">
        <v>3</v>
      </c>
      <c r="F772" s="111" t="s">
        <v>5490</v>
      </c>
      <c r="G772" s="111" t="s">
        <v>5488</v>
      </c>
      <c r="I772" s="1" t="s">
        <v>94</v>
      </c>
      <c r="K772" s="1" t="s">
        <v>944</v>
      </c>
      <c r="L772" s="4"/>
      <c r="M772" s="19"/>
      <c r="N772" s="61">
        <v>33</v>
      </c>
      <c r="O772" s="62">
        <v>3</v>
      </c>
      <c r="P772" s="63"/>
      <c r="Q772" s="64">
        <v>4</v>
      </c>
      <c r="R772" s="65">
        <v>2</v>
      </c>
      <c r="S772" s="66">
        <v>4</v>
      </c>
      <c r="V772" s="4" t="s">
        <v>5489</v>
      </c>
      <c r="W772" s="4" t="s">
        <v>5428</v>
      </c>
      <c r="AF772" s="61"/>
      <c r="AG772" s="62"/>
      <c r="AH772" s="63"/>
      <c r="AI772" s="64"/>
      <c r="AJ772" s="65"/>
      <c r="AK772" s="66"/>
      <c r="AL772" s="60" t="s">
        <v>30</v>
      </c>
    </row>
    <row r="773" spans="1:38" ht="24" x14ac:dyDescent="0.2">
      <c r="A773" s="1" t="s">
        <v>5339</v>
      </c>
      <c r="B773" s="1" t="s">
        <v>5491</v>
      </c>
      <c r="C773" s="1" t="s">
        <v>5711</v>
      </c>
      <c r="D773" s="48">
        <v>39</v>
      </c>
      <c r="E773" s="1">
        <v>3</v>
      </c>
      <c r="F773" s="1" t="s">
        <v>5490</v>
      </c>
      <c r="G773" s="1" t="s">
        <v>5492</v>
      </c>
      <c r="I773" s="1" t="s">
        <v>94</v>
      </c>
      <c r="K773" s="1" t="s">
        <v>944</v>
      </c>
      <c r="L773" s="4"/>
      <c r="M773" s="19"/>
      <c r="N773" s="61">
        <v>35</v>
      </c>
      <c r="O773" s="62">
        <v>2</v>
      </c>
      <c r="P773" s="63"/>
      <c r="Q773" s="64">
        <v>3</v>
      </c>
      <c r="R773" s="65">
        <v>1</v>
      </c>
      <c r="S773" s="66">
        <v>3</v>
      </c>
      <c r="V773" s="4" t="s">
        <v>5493</v>
      </c>
      <c r="W773" s="4" t="s">
        <v>5494</v>
      </c>
      <c r="AF773" s="61"/>
      <c r="AG773" s="62"/>
      <c r="AH773" s="63"/>
      <c r="AI773" s="64"/>
      <c r="AJ773" s="65"/>
      <c r="AK773" s="66"/>
      <c r="AL773" s="60" t="s">
        <v>30</v>
      </c>
    </row>
    <row r="774" spans="1:38" ht="24" x14ac:dyDescent="0.2">
      <c r="A774" s="1" t="s">
        <v>5339</v>
      </c>
      <c r="B774" s="1" t="s">
        <v>5495</v>
      </c>
      <c r="C774" s="1" t="s">
        <v>5711</v>
      </c>
      <c r="D774" s="48">
        <v>40</v>
      </c>
      <c r="E774" s="1">
        <v>2</v>
      </c>
      <c r="F774" s="1" t="s">
        <v>5490</v>
      </c>
      <c r="G774" s="1" t="s">
        <v>5496</v>
      </c>
      <c r="I774" s="1" t="s">
        <v>94</v>
      </c>
      <c r="K774" s="1" t="s">
        <v>95</v>
      </c>
      <c r="L774" s="4" t="s">
        <v>3261</v>
      </c>
      <c r="M774" s="19"/>
      <c r="N774" s="61">
        <v>20</v>
      </c>
      <c r="O774" s="62">
        <v>1</v>
      </c>
      <c r="P774" s="63"/>
      <c r="Q774" s="64">
        <v>2</v>
      </c>
      <c r="R774" s="65">
        <v>1</v>
      </c>
      <c r="S774" s="66">
        <v>2</v>
      </c>
      <c r="V774" s="4" t="s">
        <v>5497</v>
      </c>
      <c r="AF774" s="61"/>
      <c r="AG774" s="62"/>
      <c r="AH774" s="63"/>
      <c r="AI774" s="64"/>
      <c r="AJ774" s="65"/>
      <c r="AK774" s="66"/>
      <c r="AL774" s="60" t="s">
        <v>30</v>
      </c>
    </row>
    <row r="775" spans="1:38" ht="48" x14ac:dyDescent="0.2">
      <c r="A775" s="1" t="s">
        <v>5339</v>
      </c>
      <c r="B775" s="1" t="s">
        <v>5498</v>
      </c>
      <c r="C775" s="1" t="s">
        <v>5711</v>
      </c>
      <c r="D775" s="48">
        <v>41</v>
      </c>
      <c r="E775" s="1">
        <v>2</v>
      </c>
      <c r="F775" s="1" t="s">
        <v>5490</v>
      </c>
      <c r="G775" s="1" t="s">
        <v>5499</v>
      </c>
      <c r="I775" s="1" t="s">
        <v>82</v>
      </c>
      <c r="L775" s="4"/>
      <c r="M775" s="19"/>
      <c r="N775" s="61"/>
      <c r="O775" s="62"/>
      <c r="P775" s="63"/>
      <c r="Q775" s="64"/>
      <c r="R775" s="65"/>
      <c r="S775" s="66"/>
      <c r="V775" s="4" t="s">
        <v>5500</v>
      </c>
      <c r="AF775" s="61"/>
      <c r="AG775" s="62"/>
      <c r="AH775" s="63"/>
      <c r="AI775" s="64"/>
      <c r="AJ775" s="65"/>
      <c r="AK775" s="66"/>
      <c r="AL775" s="60" t="s">
        <v>30</v>
      </c>
    </row>
    <row r="776" spans="1:38" ht="60" x14ac:dyDescent="0.2">
      <c r="A776" s="111" t="s">
        <v>5339</v>
      </c>
      <c r="B776" s="111" t="s">
        <v>5416</v>
      </c>
      <c r="C776" s="111" t="s">
        <v>5711</v>
      </c>
      <c r="D776" s="112">
        <v>42</v>
      </c>
      <c r="E776" s="111">
        <v>3</v>
      </c>
      <c r="F776" s="111" t="s">
        <v>5420</v>
      </c>
      <c r="G776" s="111" t="s">
        <v>5417</v>
      </c>
      <c r="I776" s="1" t="s">
        <v>94</v>
      </c>
      <c r="K776" s="1" t="s">
        <v>5418</v>
      </c>
      <c r="L776" s="4"/>
      <c r="M776" s="19"/>
      <c r="N776" s="61">
        <v>30</v>
      </c>
      <c r="O776" s="62">
        <v>1</v>
      </c>
      <c r="P776" s="63"/>
      <c r="Q776" s="64">
        <v>2</v>
      </c>
      <c r="R776" s="65">
        <v>3</v>
      </c>
      <c r="S776" s="66">
        <v>3</v>
      </c>
      <c r="V776" s="4" t="s">
        <v>5419</v>
      </c>
      <c r="AF776" s="61"/>
      <c r="AG776" s="62"/>
      <c r="AH776" s="63"/>
      <c r="AI776" s="64"/>
      <c r="AJ776" s="65"/>
      <c r="AK776" s="66"/>
      <c r="AL776" s="60" t="s">
        <v>30</v>
      </c>
    </row>
    <row r="777" spans="1:38" ht="24" x14ac:dyDescent="0.2">
      <c r="A777" s="1" t="s">
        <v>5339</v>
      </c>
      <c r="B777" s="1" t="s">
        <v>5438</v>
      </c>
      <c r="C777" s="1" t="s">
        <v>5711</v>
      </c>
      <c r="D777" s="48">
        <v>43</v>
      </c>
      <c r="E777" s="1">
        <v>2</v>
      </c>
      <c r="F777" s="1" t="s">
        <v>5420</v>
      </c>
      <c r="G777" s="1" t="s">
        <v>5439</v>
      </c>
      <c r="I777" s="1" t="s">
        <v>94</v>
      </c>
      <c r="K777" s="1" t="s">
        <v>5418</v>
      </c>
      <c r="L777" s="4"/>
      <c r="M777" s="19"/>
      <c r="N777" s="61">
        <v>33</v>
      </c>
      <c r="O777" s="62">
        <v>2</v>
      </c>
      <c r="P777" s="63"/>
      <c r="Q777" s="64">
        <v>1</v>
      </c>
      <c r="R777" s="65">
        <v>2</v>
      </c>
      <c r="S777" s="66">
        <v>4</v>
      </c>
      <c r="V777" s="4" t="s">
        <v>5440</v>
      </c>
      <c r="W777" s="4" t="s">
        <v>5441</v>
      </c>
      <c r="AF777" s="61"/>
      <c r="AG777" s="62"/>
      <c r="AH777" s="63"/>
      <c r="AI777" s="64"/>
      <c r="AJ777" s="65"/>
      <c r="AK777" s="66"/>
      <c r="AL777" s="60" t="s">
        <v>30</v>
      </c>
    </row>
    <row r="778" spans="1:38" ht="36" x14ac:dyDescent="0.2">
      <c r="A778" s="1" t="s">
        <v>5339</v>
      </c>
      <c r="B778" s="1" t="s">
        <v>5442</v>
      </c>
      <c r="C778" s="1" t="s">
        <v>5711</v>
      </c>
      <c r="D778" s="48">
        <v>44</v>
      </c>
      <c r="E778" s="1">
        <v>2</v>
      </c>
      <c r="F778" s="1" t="s">
        <v>5420</v>
      </c>
      <c r="G778" s="1" t="s">
        <v>5443</v>
      </c>
      <c r="I778" s="1" t="s">
        <v>94</v>
      </c>
      <c r="K778" s="1" t="s">
        <v>5418</v>
      </c>
      <c r="L778" s="4"/>
      <c r="M778" s="19"/>
      <c r="N778" s="61">
        <v>35</v>
      </c>
      <c r="O778" s="62">
        <v>3</v>
      </c>
      <c r="P778" s="63"/>
      <c r="Q778" s="64">
        <v>5</v>
      </c>
      <c r="R778" s="65">
        <v>3</v>
      </c>
      <c r="S778" s="66">
        <v>5</v>
      </c>
      <c r="V778" s="4" t="s">
        <v>5444</v>
      </c>
      <c r="W778" s="4" t="s">
        <v>5445</v>
      </c>
      <c r="AF778" s="61"/>
      <c r="AG778" s="62"/>
      <c r="AH778" s="63"/>
      <c r="AI778" s="64"/>
      <c r="AJ778" s="65"/>
      <c r="AK778" s="66"/>
      <c r="AL778" s="60" t="s">
        <v>30</v>
      </c>
    </row>
    <row r="779" spans="1:38" ht="36" x14ac:dyDescent="0.2">
      <c r="A779" s="1" t="s">
        <v>5339</v>
      </c>
      <c r="B779" s="1" t="s">
        <v>5435</v>
      </c>
      <c r="C779" s="1" t="s">
        <v>5711</v>
      </c>
      <c r="D779" s="48">
        <v>45</v>
      </c>
      <c r="E779" s="1">
        <v>2</v>
      </c>
      <c r="F779" s="1" t="s">
        <v>5420</v>
      </c>
      <c r="G779" s="1" t="s">
        <v>5436</v>
      </c>
      <c r="I779" s="1" t="s">
        <v>82</v>
      </c>
      <c r="L779" s="4" t="s">
        <v>155</v>
      </c>
      <c r="M779" s="19"/>
      <c r="N779" s="61"/>
      <c r="O779" s="62"/>
      <c r="P779" s="63"/>
      <c r="Q779" s="64"/>
      <c r="R779" s="65"/>
      <c r="S779" s="66"/>
      <c r="V779" s="4" t="s">
        <v>5437</v>
      </c>
      <c r="AF779" s="61"/>
      <c r="AG779" s="62"/>
      <c r="AH779" s="63"/>
      <c r="AI779" s="64"/>
      <c r="AJ779" s="65"/>
      <c r="AK779" s="66"/>
      <c r="AL779" s="60" t="s">
        <v>30</v>
      </c>
    </row>
    <row r="780" spans="1:38" ht="48" x14ac:dyDescent="0.2">
      <c r="A780" s="111" t="s">
        <v>5339</v>
      </c>
      <c r="B780" s="111" t="s">
        <v>5425</v>
      </c>
      <c r="C780" s="111" t="s">
        <v>5711</v>
      </c>
      <c r="D780" s="112">
        <v>46</v>
      </c>
      <c r="E780" s="111">
        <v>2</v>
      </c>
      <c r="F780" s="111" t="s">
        <v>5424</v>
      </c>
      <c r="G780" s="111" t="s">
        <v>5426</v>
      </c>
      <c r="I780" s="1" t="s">
        <v>94</v>
      </c>
      <c r="K780" s="1" t="s">
        <v>5418</v>
      </c>
      <c r="L780" s="4"/>
      <c r="M780" s="19"/>
      <c r="N780" s="61">
        <v>37</v>
      </c>
      <c r="O780" s="62">
        <v>0</v>
      </c>
      <c r="P780" s="63"/>
      <c r="Q780" s="64">
        <v>4</v>
      </c>
      <c r="R780" s="65">
        <v>2</v>
      </c>
      <c r="S780" s="66">
        <v>3</v>
      </c>
      <c r="V780" s="4" t="s">
        <v>5427</v>
      </c>
      <c r="W780" s="4" t="s">
        <v>5428</v>
      </c>
      <c r="AF780" s="61"/>
      <c r="AG780" s="62"/>
      <c r="AH780" s="63"/>
      <c r="AI780" s="64"/>
      <c r="AJ780" s="65"/>
      <c r="AK780" s="66"/>
      <c r="AL780" s="60" t="s">
        <v>30</v>
      </c>
    </row>
    <row r="781" spans="1:38" ht="48" x14ac:dyDescent="0.2">
      <c r="A781" s="1" t="s">
        <v>5339</v>
      </c>
      <c r="B781" s="1" t="s">
        <v>5421</v>
      </c>
      <c r="C781" s="1" t="s">
        <v>5711</v>
      </c>
      <c r="D781" s="48">
        <v>47</v>
      </c>
      <c r="E781" s="1">
        <v>2</v>
      </c>
      <c r="F781" s="1" t="s">
        <v>5424</v>
      </c>
      <c r="G781" s="1" t="s">
        <v>5422</v>
      </c>
      <c r="I781" s="1" t="s">
        <v>94</v>
      </c>
      <c r="K781" s="1" t="s">
        <v>5418</v>
      </c>
      <c r="L781" s="4"/>
      <c r="M781" s="19"/>
      <c r="N781" s="61">
        <v>35</v>
      </c>
      <c r="O781" s="62">
        <v>3</v>
      </c>
      <c r="P781" s="63"/>
      <c r="Q781" s="64">
        <v>5</v>
      </c>
      <c r="R781" s="65">
        <v>3</v>
      </c>
      <c r="S781" s="66">
        <v>6</v>
      </c>
      <c r="V781" s="4" t="s">
        <v>5423</v>
      </c>
      <c r="AF781" s="61"/>
      <c r="AG781" s="62"/>
      <c r="AH781" s="63"/>
      <c r="AI781" s="64"/>
      <c r="AJ781" s="65"/>
      <c r="AK781" s="66"/>
      <c r="AL781" s="60" t="s">
        <v>30</v>
      </c>
    </row>
    <row r="782" spans="1:38" ht="24" x14ac:dyDescent="0.2">
      <c r="A782" s="1" t="s">
        <v>5339</v>
      </c>
      <c r="B782" s="1" t="s">
        <v>5429</v>
      </c>
      <c r="C782" s="1" t="s">
        <v>5711</v>
      </c>
      <c r="D782" s="48">
        <v>48</v>
      </c>
      <c r="E782" s="1">
        <v>3</v>
      </c>
      <c r="F782" s="1" t="s">
        <v>5424</v>
      </c>
      <c r="G782" s="1" t="s">
        <v>5430</v>
      </c>
      <c r="I782" s="1" t="s">
        <v>94</v>
      </c>
      <c r="K782" s="1" t="s">
        <v>5418</v>
      </c>
      <c r="L782" s="4"/>
      <c r="M782" s="19"/>
      <c r="N782" s="61">
        <v>25</v>
      </c>
      <c r="O782" s="62">
        <v>2</v>
      </c>
      <c r="P782" s="63"/>
      <c r="Q782" s="64">
        <v>2</v>
      </c>
      <c r="R782" s="65">
        <v>1</v>
      </c>
      <c r="S782" s="66">
        <v>4</v>
      </c>
      <c r="V782" s="4" t="s">
        <v>5431</v>
      </c>
      <c r="W782" s="4" t="s">
        <v>3638</v>
      </c>
      <c r="AF782" s="61"/>
      <c r="AG782" s="62"/>
      <c r="AH782" s="63"/>
      <c r="AI782" s="64"/>
      <c r="AJ782" s="65"/>
      <c r="AK782" s="66"/>
      <c r="AL782" s="60" t="s">
        <v>30</v>
      </c>
    </row>
    <row r="783" spans="1:38" ht="36" x14ac:dyDescent="0.2">
      <c r="A783" s="1" t="s">
        <v>5339</v>
      </c>
      <c r="B783" s="1" t="s">
        <v>5432</v>
      </c>
      <c r="C783" s="1" t="s">
        <v>5711</v>
      </c>
      <c r="D783" s="48">
        <v>49</v>
      </c>
      <c r="E783" s="1">
        <v>2</v>
      </c>
      <c r="F783" s="1" t="s">
        <v>5424</v>
      </c>
      <c r="G783" s="1" t="s">
        <v>5433</v>
      </c>
      <c r="I783" s="1" t="s">
        <v>82</v>
      </c>
      <c r="L783" s="4" t="s">
        <v>155</v>
      </c>
      <c r="M783" s="19"/>
      <c r="N783" s="61"/>
      <c r="O783" s="62"/>
      <c r="P783" s="63"/>
      <c r="Q783" s="64"/>
      <c r="R783" s="65"/>
      <c r="S783" s="66"/>
      <c r="V783" s="4" t="s">
        <v>5434</v>
      </c>
      <c r="AF783" s="61"/>
      <c r="AG783" s="62"/>
      <c r="AH783" s="63"/>
      <c r="AI783" s="64"/>
      <c r="AJ783" s="65"/>
      <c r="AK783" s="66"/>
      <c r="AL783" s="60" t="s">
        <v>30</v>
      </c>
    </row>
    <row r="784" spans="1:38" ht="36" x14ac:dyDescent="0.2">
      <c r="A784" s="111" t="s">
        <v>5339</v>
      </c>
      <c r="B784" s="111" t="s">
        <v>5526</v>
      </c>
      <c r="C784" s="111" t="s">
        <v>5711</v>
      </c>
      <c r="D784" s="112">
        <v>50</v>
      </c>
      <c r="E784" s="111">
        <v>3</v>
      </c>
      <c r="F784" s="111" t="s">
        <v>5527</v>
      </c>
      <c r="G784" s="111" t="s">
        <v>5527</v>
      </c>
      <c r="I784" s="1" t="s">
        <v>104</v>
      </c>
      <c r="K784" s="1" t="s">
        <v>105</v>
      </c>
      <c r="L784" s="4"/>
      <c r="M784" s="19"/>
      <c r="N784" s="61"/>
      <c r="O784" s="62">
        <v>2</v>
      </c>
      <c r="P784" s="63"/>
      <c r="Q784" s="64"/>
      <c r="R784" s="65"/>
      <c r="S784" s="66"/>
      <c r="T784" s="60">
        <v>5</v>
      </c>
      <c r="V784" s="4" t="s">
        <v>5528</v>
      </c>
      <c r="W784" s="4" t="s">
        <v>3583</v>
      </c>
      <c r="AF784" s="61"/>
      <c r="AG784" s="62"/>
      <c r="AH784" s="63"/>
      <c r="AI784" s="64"/>
      <c r="AJ784" s="65"/>
      <c r="AK784" s="66"/>
      <c r="AL784" s="60" t="s">
        <v>30</v>
      </c>
    </row>
    <row r="785" spans="1:40" ht="36" x14ac:dyDescent="0.2">
      <c r="A785" s="1" t="s">
        <v>5339</v>
      </c>
      <c r="B785" s="1" t="s">
        <v>5529</v>
      </c>
      <c r="C785" s="1" t="s">
        <v>5711</v>
      </c>
      <c r="D785" s="48">
        <v>51</v>
      </c>
      <c r="E785" s="1">
        <v>3</v>
      </c>
      <c r="F785" s="1" t="s">
        <v>5527</v>
      </c>
      <c r="G785" s="1" t="s">
        <v>5530</v>
      </c>
      <c r="I785" s="1" t="s">
        <v>104</v>
      </c>
      <c r="K785" s="1" t="s">
        <v>105</v>
      </c>
      <c r="O785" s="55">
        <v>2</v>
      </c>
      <c r="T785" s="60">
        <v>4</v>
      </c>
      <c r="V785" s="4" t="s">
        <v>5531</v>
      </c>
      <c r="AL785" s="60" t="s">
        <v>30</v>
      </c>
    </row>
    <row r="786" spans="1:40" ht="24" x14ac:dyDescent="0.2">
      <c r="A786" s="1" t="s">
        <v>5339</v>
      </c>
      <c r="B786" s="1" t="s">
        <v>5532</v>
      </c>
      <c r="C786" s="1" t="s">
        <v>5711</v>
      </c>
      <c r="D786" s="48">
        <v>52</v>
      </c>
      <c r="E786" s="1">
        <v>3</v>
      </c>
      <c r="F786" s="1" t="s">
        <v>5527</v>
      </c>
      <c r="G786" s="1" t="s">
        <v>5533</v>
      </c>
      <c r="I786" s="1" t="s">
        <v>82</v>
      </c>
      <c r="V786" s="4" t="s">
        <v>5534</v>
      </c>
      <c r="W786" s="4" t="s">
        <v>5535</v>
      </c>
      <c r="AL786" s="60" t="s">
        <v>30</v>
      </c>
    </row>
    <row r="787" spans="1:40" ht="24" x14ac:dyDescent="0.2">
      <c r="A787" s="111" t="s">
        <v>5339</v>
      </c>
      <c r="B787" s="111" t="s">
        <v>5501</v>
      </c>
      <c r="C787" s="111" t="s">
        <v>5711</v>
      </c>
      <c r="D787" s="112">
        <v>53</v>
      </c>
      <c r="E787" s="111">
        <v>3</v>
      </c>
      <c r="F787" s="111" t="s">
        <v>5504</v>
      </c>
      <c r="G787" s="111" t="s">
        <v>5502</v>
      </c>
      <c r="I787" s="1" t="s">
        <v>94</v>
      </c>
      <c r="K787" s="1" t="s">
        <v>95</v>
      </c>
      <c r="L787" s="4"/>
      <c r="M787" s="19"/>
      <c r="N787" s="61">
        <v>28</v>
      </c>
      <c r="O787" s="62">
        <v>3</v>
      </c>
      <c r="P787" s="63"/>
      <c r="Q787" s="64">
        <v>1</v>
      </c>
      <c r="R787" s="65">
        <v>1</v>
      </c>
      <c r="S787" s="66">
        <v>3</v>
      </c>
      <c r="V787" s="4" t="s">
        <v>5503</v>
      </c>
      <c r="W787" s="4" t="s">
        <v>3583</v>
      </c>
      <c r="AF787" s="61"/>
      <c r="AG787" s="62"/>
      <c r="AH787" s="63"/>
      <c r="AI787" s="64"/>
      <c r="AJ787" s="65"/>
      <c r="AK787" s="66"/>
      <c r="AL787" s="60" t="s">
        <v>30</v>
      </c>
    </row>
    <row r="788" spans="1:40" ht="24" x14ac:dyDescent="0.2">
      <c r="A788" s="1" t="s">
        <v>5339</v>
      </c>
      <c r="B788" s="1" t="s">
        <v>5505</v>
      </c>
      <c r="C788" s="1" t="s">
        <v>5711</v>
      </c>
      <c r="D788" s="48">
        <v>54</v>
      </c>
      <c r="E788" s="1">
        <v>3</v>
      </c>
      <c r="F788" s="1" t="s">
        <v>5504</v>
      </c>
      <c r="G788" s="1" t="s">
        <v>5504</v>
      </c>
      <c r="I788" s="1" t="s">
        <v>104</v>
      </c>
      <c r="K788" s="1" t="s">
        <v>5506</v>
      </c>
      <c r="L788" s="4"/>
      <c r="M788" s="19"/>
      <c r="N788" s="61"/>
      <c r="O788" s="62">
        <v>2</v>
      </c>
      <c r="P788" s="63"/>
      <c r="Q788" s="64"/>
      <c r="R788" s="65"/>
      <c r="S788" s="66"/>
      <c r="T788" s="60">
        <v>6</v>
      </c>
      <c r="V788" s="4" t="s">
        <v>5507</v>
      </c>
      <c r="W788" s="4" t="s">
        <v>5508</v>
      </c>
      <c r="AF788" s="61"/>
      <c r="AG788" s="62"/>
      <c r="AH788" s="63"/>
      <c r="AI788" s="64"/>
      <c r="AJ788" s="65"/>
      <c r="AK788" s="66"/>
      <c r="AL788" s="60" t="s">
        <v>30</v>
      </c>
    </row>
    <row r="789" spans="1:40" ht="24" x14ac:dyDescent="0.2">
      <c r="A789" s="1" t="s">
        <v>5339</v>
      </c>
      <c r="B789" s="1" t="s">
        <v>5509</v>
      </c>
      <c r="C789" s="1" t="s">
        <v>5711</v>
      </c>
      <c r="D789" s="48">
        <v>55</v>
      </c>
      <c r="E789" s="1">
        <v>3</v>
      </c>
      <c r="F789" s="1" t="s">
        <v>5504</v>
      </c>
      <c r="G789" s="1" t="s">
        <v>5510</v>
      </c>
      <c r="I789" s="1" t="s">
        <v>82</v>
      </c>
      <c r="L789" s="4" t="s">
        <v>155</v>
      </c>
      <c r="M789" s="19"/>
      <c r="N789" s="61"/>
      <c r="O789" s="62"/>
      <c r="P789" s="63"/>
      <c r="Q789" s="64"/>
      <c r="R789" s="65"/>
      <c r="S789" s="66"/>
      <c r="V789" s="4" t="s">
        <v>5511</v>
      </c>
      <c r="AF789" s="61"/>
      <c r="AG789" s="62"/>
      <c r="AH789" s="63"/>
      <c r="AI789" s="64"/>
      <c r="AJ789" s="65"/>
      <c r="AK789" s="66"/>
      <c r="AL789" s="60" t="s">
        <v>30</v>
      </c>
    </row>
    <row r="790" spans="1:40" ht="36" x14ac:dyDescent="0.2">
      <c r="A790" s="111" t="s">
        <v>5339</v>
      </c>
      <c r="B790" s="111" t="s">
        <v>5553</v>
      </c>
      <c r="C790" s="111" t="s">
        <v>5711</v>
      </c>
      <c r="D790" s="112">
        <v>56</v>
      </c>
      <c r="E790" s="111">
        <v>3</v>
      </c>
      <c r="F790" s="111" t="s">
        <v>5557</v>
      </c>
      <c r="G790" s="111" t="s">
        <v>5554</v>
      </c>
      <c r="I790" s="1" t="s">
        <v>82</v>
      </c>
      <c r="V790" s="4" t="s">
        <v>5555</v>
      </c>
      <c r="W790" s="4" t="s">
        <v>5556</v>
      </c>
      <c r="AL790" s="60" t="s">
        <v>30</v>
      </c>
    </row>
    <row r="791" spans="1:40" ht="60" x14ac:dyDescent="0.2">
      <c r="A791" s="1" t="s">
        <v>5339</v>
      </c>
      <c r="B791" s="1" t="s">
        <v>5558</v>
      </c>
      <c r="C791" s="1" t="s">
        <v>5711</v>
      </c>
      <c r="D791" s="48">
        <v>57</v>
      </c>
      <c r="E791" s="1">
        <v>2</v>
      </c>
      <c r="F791" s="1" t="s">
        <v>5557</v>
      </c>
      <c r="G791" s="1" t="s">
        <v>5559</v>
      </c>
      <c r="I791" s="1" t="s">
        <v>82</v>
      </c>
      <c r="L791" s="2" t="s">
        <v>155</v>
      </c>
      <c r="V791" s="4" t="s">
        <v>5560</v>
      </c>
      <c r="AL791" s="60" t="s">
        <v>30</v>
      </c>
    </row>
    <row r="792" spans="1:40" ht="48" x14ac:dyDescent="0.2">
      <c r="A792" s="1" t="s">
        <v>5339</v>
      </c>
      <c r="B792" s="1" t="s">
        <v>5561</v>
      </c>
      <c r="C792" s="1" t="s">
        <v>5711</v>
      </c>
      <c r="D792" s="48">
        <v>58</v>
      </c>
      <c r="E792" s="1">
        <v>2</v>
      </c>
      <c r="F792" s="1" t="s">
        <v>5557</v>
      </c>
      <c r="G792" s="1" t="s">
        <v>5562</v>
      </c>
      <c r="I792" s="1" t="s">
        <v>82</v>
      </c>
      <c r="V792" s="4" t="s">
        <v>5563</v>
      </c>
      <c r="AL792" s="60" t="s">
        <v>30</v>
      </c>
    </row>
    <row r="793" spans="1:40" ht="48" x14ac:dyDescent="0.2">
      <c r="A793" s="1" t="s">
        <v>5339</v>
      </c>
      <c r="B793" s="1" t="s">
        <v>5446</v>
      </c>
      <c r="C793" s="1" t="s">
        <v>5711</v>
      </c>
      <c r="D793" s="48">
        <v>59</v>
      </c>
      <c r="E793" s="1">
        <v>1</v>
      </c>
      <c r="F793" s="1" t="s">
        <v>5343</v>
      </c>
      <c r="G793" s="1" t="s">
        <v>9556</v>
      </c>
      <c r="I793" s="1" t="s">
        <v>125</v>
      </c>
      <c r="L793" s="4"/>
      <c r="M793" s="19">
        <v>1</v>
      </c>
      <c r="N793" s="61" t="s">
        <v>9529</v>
      </c>
      <c r="O793" s="62"/>
      <c r="P793" s="63"/>
      <c r="Q793" s="64"/>
      <c r="R793" s="65"/>
      <c r="S793" s="66"/>
      <c r="V793" s="4" t="s">
        <v>5447</v>
      </c>
      <c r="X793" s="1" t="s">
        <v>127</v>
      </c>
      <c r="Y793" s="1" t="s">
        <v>9556</v>
      </c>
      <c r="AA793" s="1" t="s">
        <v>125</v>
      </c>
      <c r="AE793" s="1">
        <v>1</v>
      </c>
      <c r="AF793" s="54" t="s">
        <v>9530</v>
      </c>
      <c r="AG793" s="62"/>
      <c r="AH793" s="63"/>
      <c r="AI793" s="64"/>
      <c r="AJ793" s="65"/>
      <c r="AK793" s="66"/>
      <c r="AL793" s="60" t="s">
        <v>166</v>
      </c>
      <c r="AN793" s="4" t="s">
        <v>5448</v>
      </c>
    </row>
    <row r="794" spans="1:40" ht="84" x14ac:dyDescent="0.2">
      <c r="A794" s="1" t="s">
        <v>5339</v>
      </c>
      <c r="B794" s="1" t="s">
        <v>5449</v>
      </c>
      <c r="C794" s="1" t="s">
        <v>5711</v>
      </c>
      <c r="D794" s="48">
        <v>60</v>
      </c>
      <c r="E794" s="1">
        <v>1</v>
      </c>
      <c r="F794" s="1" t="s">
        <v>5343</v>
      </c>
      <c r="G794" s="1" t="s">
        <v>9613</v>
      </c>
      <c r="I794" s="1" t="s">
        <v>125</v>
      </c>
      <c r="L794" s="4"/>
      <c r="M794" s="19">
        <v>2</v>
      </c>
      <c r="N794" s="61" t="s">
        <v>9529</v>
      </c>
      <c r="O794" s="62"/>
      <c r="P794" s="63"/>
      <c r="Q794" s="64"/>
      <c r="R794" s="65"/>
      <c r="S794" s="66"/>
      <c r="Y794" s="1" t="s">
        <v>9613</v>
      </c>
      <c r="AA794" s="1" t="s">
        <v>125</v>
      </c>
      <c r="AE794" s="1">
        <v>2</v>
      </c>
      <c r="AF794" s="54" t="s">
        <v>9530</v>
      </c>
      <c r="AG794" s="62"/>
      <c r="AH794" s="63"/>
      <c r="AI794" s="64"/>
      <c r="AJ794" s="65"/>
      <c r="AK794" s="66"/>
      <c r="AL794" s="60" t="s">
        <v>5621</v>
      </c>
      <c r="AN794" s="4" t="s">
        <v>5450</v>
      </c>
    </row>
    <row r="795" spans="1:40" ht="84" x14ac:dyDescent="0.2">
      <c r="A795" s="1" t="s">
        <v>5339</v>
      </c>
      <c r="B795" s="1" t="s">
        <v>5451</v>
      </c>
      <c r="C795" s="1" t="s">
        <v>5711</v>
      </c>
      <c r="D795" s="48">
        <v>61</v>
      </c>
      <c r="E795" s="1">
        <v>1</v>
      </c>
      <c r="F795" s="1" t="s">
        <v>5343</v>
      </c>
      <c r="G795" s="1" t="s">
        <v>9677</v>
      </c>
      <c r="I795" s="1" t="s">
        <v>125</v>
      </c>
      <c r="L795" s="4"/>
      <c r="M795" s="19">
        <v>3</v>
      </c>
      <c r="N795" s="61" t="s">
        <v>9529</v>
      </c>
      <c r="O795" s="62"/>
      <c r="P795" s="63"/>
      <c r="Q795" s="64"/>
      <c r="R795" s="65"/>
      <c r="S795" s="66"/>
      <c r="V795" s="4" t="s">
        <v>5452</v>
      </c>
      <c r="Y795" s="1" t="s">
        <v>9677</v>
      </c>
      <c r="AA795" s="1" t="s">
        <v>125</v>
      </c>
      <c r="AE795" s="1">
        <v>3</v>
      </c>
      <c r="AF795" s="54" t="s">
        <v>9530</v>
      </c>
      <c r="AG795" s="62"/>
      <c r="AH795" s="63"/>
      <c r="AI795" s="64"/>
      <c r="AJ795" s="65"/>
      <c r="AK795" s="66"/>
      <c r="AL795" s="60" t="s">
        <v>1982</v>
      </c>
      <c r="AN795" s="4" t="s">
        <v>5453</v>
      </c>
    </row>
    <row r="796" spans="1:40" ht="60" x14ac:dyDescent="0.2">
      <c r="A796" s="1" t="s">
        <v>5339</v>
      </c>
      <c r="B796" s="1" t="s">
        <v>5454</v>
      </c>
      <c r="C796" s="1" t="s">
        <v>5711</v>
      </c>
      <c r="D796" s="48">
        <v>62</v>
      </c>
      <c r="E796" s="1">
        <v>1</v>
      </c>
      <c r="F796" s="1" t="s">
        <v>5456</v>
      </c>
      <c r="G796" s="1" t="s">
        <v>9557</v>
      </c>
      <c r="I796" s="1" t="s">
        <v>125</v>
      </c>
      <c r="L796" s="4"/>
      <c r="M796" s="19">
        <v>1</v>
      </c>
      <c r="N796" s="61" t="s">
        <v>9529</v>
      </c>
      <c r="O796" s="62"/>
      <c r="P796" s="63"/>
      <c r="Q796" s="64"/>
      <c r="R796" s="65"/>
      <c r="S796" s="66"/>
      <c r="V796" s="4" t="s">
        <v>5455</v>
      </c>
      <c r="X796" s="1" t="s">
        <v>4334</v>
      </c>
      <c r="Y796" s="1" t="s">
        <v>9557</v>
      </c>
      <c r="AA796" s="1" t="s">
        <v>125</v>
      </c>
      <c r="AE796" s="1">
        <v>1</v>
      </c>
      <c r="AF796" s="54" t="s">
        <v>9530</v>
      </c>
      <c r="AG796" s="62"/>
      <c r="AH796" s="63"/>
      <c r="AI796" s="64"/>
      <c r="AJ796" s="65"/>
      <c r="AK796" s="66"/>
      <c r="AL796" s="60" t="s">
        <v>799</v>
      </c>
      <c r="AN796" s="4" t="s">
        <v>5457</v>
      </c>
    </row>
    <row r="797" spans="1:40" ht="84" x14ac:dyDescent="0.2">
      <c r="A797" s="1" t="s">
        <v>5339</v>
      </c>
      <c r="B797" s="1" t="s">
        <v>5458</v>
      </c>
      <c r="C797" s="1" t="s">
        <v>5711</v>
      </c>
      <c r="D797" s="48">
        <v>63</v>
      </c>
      <c r="E797" s="1">
        <v>1</v>
      </c>
      <c r="F797" s="1" t="s">
        <v>5456</v>
      </c>
      <c r="G797" s="1" t="s">
        <v>9614</v>
      </c>
      <c r="I797" s="1" t="s">
        <v>125</v>
      </c>
      <c r="L797" s="4"/>
      <c r="M797" s="19">
        <v>2</v>
      </c>
      <c r="N797" s="61" t="s">
        <v>9529</v>
      </c>
      <c r="O797" s="62"/>
      <c r="P797" s="63"/>
      <c r="Q797" s="64"/>
      <c r="R797" s="65"/>
      <c r="S797" s="66"/>
      <c r="Y797" s="1" t="s">
        <v>9614</v>
      </c>
      <c r="AA797" s="1" t="s">
        <v>125</v>
      </c>
      <c r="AE797" s="1">
        <v>2</v>
      </c>
      <c r="AF797" s="54" t="s">
        <v>9530</v>
      </c>
      <c r="AG797" s="62"/>
      <c r="AH797" s="63"/>
      <c r="AI797" s="64"/>
      <c r="AJ797" s="65"/>
      <c r="AK797" s="66"/>
      <c r="AL797" s="60" t="s">
        <v>799</v>
      </c>
      <c r="AN797" s="4" t="s">
        <v>5459</v>
      </c>
    </row>
    <row r="798" spans="1:40" ht="84" x14ac:dyDescent="0.2">
      <c r="A798" s="1" t="s">
        <v>5339</v>
      </c>
      <c r="B798" s="1" t="s">
        <v>5460</v>
      </c>
      <c r="C798" s="1" t="s">
        <v>5711</v>
      </c>
      <c r="D798" s="48">
        <v>64</v>
      </c>
      <c r="E798" s="1">
        <v>1</v>
      </c>
      <c r="F798" s="1" t="s">
        <v>5456</v>
      </c>
      <c r="G798" s="1" t="s">
        <v>9678</v>
      </c>
      <c r="I798" s="1" t="s">
        <v>125</v>
      </c>
      <c r="L798" s="4"/>
      <c r="M798" s="19">
        <v>3</v>
      </c>
      <c r="N798" s="61" t="s">
        <v>9529</v>
      </c>
      <c r="O798" s="62"/>
      <c r="P798" s="63"/>
      <c r="Q798" s="64"/>
      <c r="R798" s="65"/>
      <c r="S798" s="66"/>
      <c r="Y798" s="1" t="s">
        <v>9678</v>
      </c>
      <c r="AA798" s="1" t="s">
        <v>125</v>
      </c>
      <c r="AE798" s="1">
        <v>3</v>
      </c>
      <c r="AF798" s="54" t="s">
        <v>9530</v>
      </c>
      <c r="AG798" s="62"/>
      <c r="AH798" s="63"/>
      <c r="AI798" s="64"/>
      <c r="AJ798" s="65"/>
      <c r="AK798" s="66"/>
      <c r="AL798" s="60" t="s">
        <v>666</v>
      </c>
      <c r="AN798" s="4" t="s">
        <v>5461</v>
      </c>
    </row>
    <row r="799" spans="1:40" ht="48" x14ac:dyDescent="0.2">
      <c r="A799" s="1" t="s">
        <v>5339</v>
      </c>
      <c r="B799" s="1" t="s">
        <v>5512</v>
      </c>
      <c r="C799" s="1" t="s">
        <v>5711</v>
      </c>
      <c r="D799" s="48">
        <v>65</v>
      </c>
      <c r="E799" s="1">
        <v>1</v>
      </c>
      <c r="F799" s="1" t="s">
        <v>5514</v>
      </c>
      <c r="G799" s="1" t="s">
        <v>9558</v>
      </c>
      <c r="I799" s="1" t="s">
        <v>125</v>
      </c>
      <c r="L799" s="4"/>
      <c r="M799" s="19">
        <v>1</v>
      </c>
      <c r="N799" s="61" t="s">
        <v>9529</v>
      </c>
      <c r="O799" s="62"/>
      <c r="P799" s="63"/>
      <c r="Q799" s="64"/>
      <c r="R799" s="65"/>
      <c r="S799" s="66"/>
      <c r="V799" s="4" t="s">
        <v>5513</v>
      </c>
      <c r="X799" s="1" t="s">
        <v>127</v>
      </c>
      <c r="Y799" s="1" t="s">
        <v>9558</v>
      </c>
      <c r="AA799" s="1" t="s">
        <v>125</v>
      </c>
      <c r="AE799" s="1">
        <v>11</v>
      </c>
      <c r="AF799" s="54" t="s">
        <v>9530</v>
      </c>
      <c r="AG799" s="62"/>
      <c r="AH799" s="63"/>
      <c r="AI799" s="64"/>
      <c r="AJ799" s="65"/>
      <c r="AK799" s="66"/>
      <c r="AL799" s="60" t="s">
        <v>346</v>
      </c>
      <c r="AN799" s="4" t="s">
        <v>5515</v>
      </c>
    </row>
    <row r="800" spans="1:40" ht="72" x14ac:dyDescent="0.2">
      <c r="A800" s="1" t="s">
        <v>5339</v>
      </c>
      <c r="B800" s="1" t="s">
        <v>5516</v>
      </c>
      <c r="C800" s="1" t="s">
        <v>5711</v>
      </c>
      <c r="D800" s="48">
        <v>66</v>
      </c>
      <c r="E800" s="1">
        <v>1</v>
      </c>
      <c r="F800" s="1" t="s">
        <v>5514</v>
      </c>
      <c r="G800" s="1" t="s">
        <v>9615</v>
      </c>
      <c r="I800" s="1" t="s">
        <v>125</v>
      </c>
      <c r="L800" s="4"/>
      <c r="M800" s="19">
        <v>2</v>
      </c>
      <c r="N800" s="61" t="s">
        <v>9529</v>
      </c>
      <c r="O800" s="62"/>
      <c r="P800" s="63"/>
      <c r="Q800" s="64"/>
      <c r="R800" s="65"/>
      <c r="S800" s="66"/>
      <c r="V800" s="4" t="s">
        <v>5517</v>
      </c>
      <c r="Y800" s="1" t="s">
        <v>9615</v>
      </c>
      <c r="AA800" s="1" t="s">
        <v>125</v>
      </c>
      <c r="AE800" s="1">
        <v>2</v>
      </c>
      <c r="AF800" s="54" t="s">
        <v>9530</v>
      </c>
      <c r="AG800" s="62"/>
      <c r="AH800" s="63"/>
      <c r="AI800" s="64"/>
      <c r="AJ800" s="65"/>
      <c r="AK800" s="66"/>
      <c r="AL800" s="60" t="s">
        <v>337</v>
      </c>
      <c r="AN800" s="4" t="s">
        <v>5518</v>
      </c>
    </row>
    <row r="801" spans="1:40" ht="84" x14ac:dyDescent="0.2">
      <c r="A801" s="1" t="s">
        <v>5339</v>
      </c>
      <c r="B801" s="1" t="s">
        <v>5519</v>
      </c>
      <c r="C801" s="1" t="s">
        <v>5711</v>
      </c>
      <c r="D801" s="48">
        <v>67</v>
      </c>
      <c r="E801" s="1">
        <v>1</v>
      </c>
      <c r="F801" s="1" t="s">
        <v>5514</v>
      </c>
      <c r="G801" s="1" t="s">
        <v>9679</v>
      </c>
      <c r="I801" s="1" t="s">
        <v>125</v>
      </c>
      <c r="L801" s="4"/>
      <c r="M801" s="19">
        <v>3</v>
      </c>
      <c r="N801" s="61" t="s">
        <v>9529</v>
      </c>
      <c r="O801" s="62"/>
      <c r="P801" s="63"/>
      <c r="Q801" s="64"/>
      <c r="R801" s="65"/>
      <c r="S801" s="66"/>
      <c r="Y801" s="1" t="s">
        <v>9679</v>
      </c>
      <c r="AA801" s="1" t="s">
        <v>125</v>
      </c>
      <c r="AE801" s="1">
        <v>3</v>
      </c>
      <c r="AF801" s="54" t="s">
        <v>9530</v>
      </c>
      <c r="AG801" s="62"/>
      <c r="AH801" s="63"/>
      <c r="AI801" s="64"/>
      <c r="AJ801" s="65"/>
      <c r="AK801" s="66"/>
      <c r="AL801" s="60" t="s">
        <v>799</v>
      </c>
      <c r="AN801" s="4" t="s">
        <v>5520</v>
      </c>
    </row>
    <row r="802" spans="1:40" ht="24" x14ac:dyDescent="0.2">
      <c r="A802" s="109" t="s">
        <v>5666</v>
      </c>
      <c r="B802" s="109" t="s">
        <v>5667</v>
      </c>
      <c r="C802" s="109" t="s">
        <v>5712</v>
      </c>
      <c r="D802" s="110">
        <v>1</v>
      </c>
      <c r="E802" s="109">
        <v>1</v>
      </c>
      <c r="F802" s="109"/>
      <c r="G802" s="109" t="s">
        <v>5633</v>
      </c>
      <c r="H802" s="1" t="s">
        <v>26</v>
      </c>
      <c r="I802" s="1" t="s">
        <v>27</v>
      </c>
      <c r="J802" s="1" t="s">
        <v>28</v>
      </c>
      <c r="K802" s="1" t="s">
        <v>5634</v>
      </c>
      <c r="M802" s="18">
        <v>11</v>
      </c>
      <c r="P802" s="56">
        <v>3</v>
      </c>
      <c r="Q802" s="57">
        <v>3</v>
      </c>
      <c r="R802" s="58">
        <v>3</v>
      </c>
      <c r="S802" s="59">
        <v>4</v>
      </c>
      <c r="V802" s="4" t="s">
        <v>5635</v>
      </c>
      <c r="AL802" s="60" t="s">
        <v>30</v>
      </c>
    </row>
    <row r="803" spans="1:40" ht="24" x14ac:dyDescent="0.2">
      <c r="A803" s="1" t="s">
        <v>5666</v>
      </c>
      <c r="B803" s="1" t="s">
        <v>5668</v>
      </c>
      <c r="C803" s="1" t="s">
        <v>5712</v>
      </c>
      <c r="D803" s="48">
        <v>2</v>
      </c>
      <c r="E803" s="1">
        <v>3</v>
      </c>
      <c r="G803" s="1" t="s">
        <v>5602</v>
      </c>
      <c r="I803" s="1" t="s">
        <v>38</v>
      </c>
      <c r="J803" s="1" t="s">
        <v>28</v>
      </c>
      <c r="K803" s="1" t="s">
        <v>481</v>
      </c>
      <c r="L803" s="4"/>
      <c r="M803" s="19">
        <v>2</v>
      </c>
      <c r="N803" s="61"/>
      <c r="O803" s="62"/>
      <c r="P803" s="63">
        <v>1</v>
      </c>
      <c r="Q803" s="64">
        <v>1</v>
      </c>
      <c r="R803" s="65">
        <v>0</v>
      </c>
      <c r="S803" s="66">
        <v>1</v>
      </c>
      <c r="V803" s="4" t="s">
        <v>5603</v>
      </c>
      <c r="AF803" s="61"/>
      <c r="AG803" s="62"/>
      <c r="AH803" s="63"/>
      <c r="AI803" s="64"/>
      <c r="AJ803" s="65"/>
      <c r="AK803" s="66"/>
      <c r="AL803" s="60" t="s">
        <v>30</v>
      </c>
    </row>
    <row r="804" spans="1:40" ht="36" x14ac:dyDescent="0.2">
      <c r="A804" s="1" t="s">
        <v>5666</v>
      </c>
      <c r="B804" s="1" t="s">
        <v>5669</v>
      </c>
      <c r="C804" s="1" t="s">
        <v>5712</v>
      </c>
      <c r="D804" s="48">
        <v>3</v>
      </c>
      <c r="E804" s="1">
        <v>3</v>
      </c>
      <c r="G804" s="1" t="s">
        <v>5611</v>
      </c>
      <c r="I804" s="1" t="s">
        <v>63</v>
      </c>
      <c r="J804" s="1" t="s">
        <v>28</v>
      </c>
      <c r="L804" s="4"/>
      <c r="M804" s="19">
        <v>1</v>
      </c>
      <c r="N804" s="61"/>
      <c r="O804" s="62"/>
      <c r="P804" s="63"/>
      <c r="Q804" s="64"/>
      <c r="R804" s="65"/>
      <c r="S804" s="66"/>
      <c r="V804" s="4" t="s">
        <v>5612</v>
      </c>
      <c r="AF804" s="61"/>
      <c r="AG804" s="62"/>
      <c r="AH804" s="63"/>
      <c r="AI804" s="64"/>
      <c r="AJ804" s="65"/>
      <c r="AK804" s="66"/>
      <c r="AL804" s="60" t="s">
        <v>30</v>
      </c>
    </row>
    <row r="805" spans="1:40" ht="84" x14ac:dyDescent="0.2">
      <c r="A805" s="1" t="s">
        <v>5666</v>
      </c>
      <c r="B805" s="1" t="s">
        <v>5670</v>
      </c>
      <c r="C805" s="1" t="s">
        <v>5712</v>
      </c>
      <c r="D805" s="48">
        <v>4</v>
      </c>
      <c r="E805" s="1">
        <v>3</v>
      </c>
      <c r="G805" s="1" t="s">
        <v>5643</v>
      </c>
      <c r="H805" s="1" t="s">
        <v>26</v>
      </c>
      <c r="I805" s="1" t="s">
        <v>56</v>
      </c>
      <c r="J805" s="1" t="s">
        <v>50</v>
      </c>
      <c r="L805" s="2" t="s">
        <v>5644</v>
      </c>
      <c r="M805" s="18">
        <v>2</v>
      </c>
      <c r="V805" s="4" t="s">
        <v>5645</v>
      </c>
      <c r="AL805" s="60" t="s">
        <v>30</v>
      </c>
    </row>
    <row r="806" spans="1:40" x14ac:dyDescent="0.2">
      <c r="A806" s="1" t="s">
        <v>5666</v>
      </c>
      <c r="B806" s="1" t="s">
        <v>5671</v>
      </c>
      <c r="C806" s="1" t="s">
        <v>5712</v>
      </c>
      <c r="D806" s="48">
        <v>5</v>
      </c>
      <c r="E806" s="1">
        <v>3</v>
      </c>
      <c r="G806" s="1" t="s">
        <v>5638</v>
      </c>
      <c r="I806" s="1" t="s">
        <v>63</v>
      </c>
      <c r="J806" s="1" t="s">
        <v>50</v>
      </c>
      <c r="L806" s="2" t="s">
        <v>5639</v>
      </c>
      <c r="M806" s="18">
        <v>0</v>
      </c>
      <c r="V806" s="4" t="s">
        <v>5640</v>
      </c>
      <c r="AL806" s="60" t="s">
        <v>30</v>
      </c>
    </row>
    <row r="807" spans="1:40" ht="48" x14ac:dyDescent="0.2">
      <c r="A807" s="1" t="s">
        <v>5666</v>
      </c>
      <c r="B807" s="1" t="s">
        <v>5672</v>
      </c>
      <c r="C807" s="1" t="s">
        <v>5712</v>
      </c>
      <c r="D807" s="48">
        <v>6</v>
      </c>
      <c r="E807" s="1">
        <v>3</v>
      </c>
      <c r="G807" s="1" t="s">
        <v>5623</v>
      </c>
      <c r="I807" s="1" t="s">
        <v>38</v>
      </c>
      <c r="J807" s="1" t="s">
        <v>57</v>
      </c>
      <c r="K807" s="1" t="s">
        <v>283</v>
      </c>
      <c r="M807" s="18">
        <v>2</v>
      </c>
      <c r="P807" s="56">
        <v>1</v>
      </c>
      <c r="Q807" s="57">
        <v>0</v>
      </c>
      <c r="R807" s="58">
        <v>1</v>
      </c>
      <c r="S807" s="59">
        <v>2</v>
      </c>
      <c r="V807" s="4" t="s">
        <v>5625</v>
      </c>
      <c r="AL807" s="60" t="s">
        <v>30</v>
      </c>
    </row>
    <row r="808" spans="1:40" ht="60" x14ac:dyDescent="0.2">
      <c r="A808" s="1" t="s">
        <v>5666</v>
      </c>
      <c r="B808" s="1" t="s">
        <v>5673</v>
      </c>
      <c r="C808" s="1" t="s">
        <v>5712</v>
      </c>
      <c r="D808" s="48">
        <v>7</v>
      </c>
      <c r="E808" s="1">
        <v>3</v>
      </c>
      <c r="G808" s="1" t="s">
        <v>5613</v>
      </c>
      <c r="I808" s="1" t="s">
        <v>63</v>
      </c>
      <c r="J808" s="1" t="s">
        <v>57</v>
      </c>
      <c r="L808" s="4"/>
      <c r="M808" s="19">
        <v>1</v>
      </c>
      <c r="N808" s="61"/>
      <c r="O808" s="62"/>
      <c r="P808" s="63"/>
      <c r="Q808" s="64"/>
      <c r="R808" s="65"/>
      <c r="S808" s="66"/>
      <c r="V808" s="4" t="s">
        <v>5614</v>
      </c>
      <c r="AF808" s="61"/>
      <c r="AG808" s="62"/>
      <c r="AH808" s="63"/>
      <c r="AI808" s="64"/>
      <c r="AJ808" s="65"/>
      <c r="AK808" s="66"/>
      <c r="AL808" s="60" t="s">
        <v>30</v>
      </c>
    </row>
    <row r="809" spans="1:40" ht="24" x14ac:dyDescent="0.2">
      <c r="A809" s="1" t="s">
        <v>5666</v>
      </c>
      <c r="B809" s="1" t="s">
        <v>5674</v>
      </c>
      <c r="C809" s="1" t="s">
        <v>5712</v>
      </c>
      <c r="D809" s="48">
        <v>8</v>
      </c>
      <c r="E809" s="1">
        <v>3</v>
      </c>
      <c r="G809" s="1" t="s">
        <v>5596</v>
      </c>
      <c r="I809" s="1" t="s">
        <v>38</v>
      </c>
      <c r="J809" s="1" t="s">
        <v>39</v>
      </c>
      <c r="K809" s="1" t="s">
        <v>2103</v>
      </c>
      <c r="L809" s="2" t="s">
        <v>5597</v>
      </c>
      <c r="M809" s="18">
        <v>3</v>
      </c>
      <c r="P809" s="56">
        <v>1</v>
      </c>
      <c r="Q809" s="57">
        <v>2</v>
      </c>
      <c r="R809" s="58">
        <v>0</v>
      </c>
      <c r="S809" s="59">
        <v>2</v>
      </c>
      <c r="V809" s="4" t="s">
        <v>5598</v>
      </c>
      <c r="AL809" s="60" t="s">
        <v>30</v>
      </c>
    </row>
    <row r="810" spans="1:40" ht="48" x14ac:dyDescent="0.2">
      <c r="A810" s="1" t="s">
        <v>5666</v>
      </c>
      <c r="B810" s="1" t="s">
        <v>5675</v>
      </c>
      <c r="C810" s="1" t="s">
        <v>5712</v>
      </c>
      <c r="D810" s="48">
        <v>9</v>
      </c>
      <c r="E810" s="1">
        <v>3</v>
      </c>
      <c r="G810" s="1" t="s">
        <v>5617</v>
      </c>
      <c r="I810" s="1" t="s">
        <v>63</v>
      </c>
      <c r="J810" s="1" t="s">
        <v>39</v>
      </c>
      <c r="L810" s="4"/>
      <c r="M810" s="19">
        <v>0</v>
      </c>
      <c r="N810" s="61"/>
      <c r="O810" s="62"/>
      <c r="P810" s="63"/>
      <c r="Q810" s="64"/>
      <c r="R810" s="65"/>
      <c r="S810" s="66"/>
      <c r="V810" s="4" t="s">
        <v>5618</v>
      </c>
      <c r="AF810" s="61"/>
      <c r="AG810" s="62"/>
      <c r="AH810" s="63"/>
      <c r="AI810" s="64"/>
      <c r="AJ810" s="65"/>
      <c r="AK810" s="66"/>
      <c r="AL810" s="60" t="s">
        <v>30</v>
      </c>
    </row>
    <row r="811" spans="1:40" ht="72" x14ac:dyDescent="0.2">
      <c r="A811" s="1" t="s">
        <v>5666</v>
      </c>
      <c r="B811" s="1" t="s">
        <v>5676</v>
      </c>
      <c r="C811" s="1" t="s">
        <v>5712</v>
      </c>
      <c r="D811" s="48">
        <v>10</v>
      </c>
      <c r="E811" s="1">
        <v>3</v>
      </c>
      <c r="G811" s="1" t="s">
        <v>5619</v>
      </c>
      <c r="I811" s="1" t="s">
        <v>63</v>
      </c>
      <c r="J811" s="1" t="s">
        <v>44</v>
      </c>
      <c r="L811" s="4"/>
      <c r="M811" s="19" t="s">
        <v>113</v>
      </c>
      <c r="N811" s="61"/>
      <c r="O811" s="62"/>
      <c r="P811" s="63"/>
      <c r="Q811" s="64"/>
      <c r="R811" s="65"/>
      <c r="S811" s="66"/>
      <c r="V811" s="4" t="s">
        <v>5620</v>
      </c>
      <c r="AF811" s="61"/>
      <c r="AG811" s="62"/>
      <c r="AH811" s="63"/>
      <c r="AI811" s="64"/>
      <c r="AJ811" s="65"/>
      <c r="AK811" s="66"/>
      <c r="AL811" s="60" t="s">
        <v>30</v>
      </c>
    </row>
    <row r="812" spans="1:40" ht="48" x14ac:dyDescent="0.2">
      <c r="A812" s="1" t="s">
        <v>5666</v>
      </c>
      <c r="B812" s="1" t="s">
        <v>5677</v>
      </c>
      <c r="C812" s="1" t="s">
        <v>5712</v>
      </c>
      <c r="D812" s="48">
        <v>11</v>
      </c>
      <c r="E812" s="1">
        <v>1</v>
      </c>
      <c r="F812" s="1" t="s">
        <v>5601</v>
      </c>
      <c r="G812" s="1" t="s">
        <v>9559</v>
      </c>
      <c r="I812" s="1" t="s">
        <v>125</v>
      </c>
      <c r="L812" s="4"/>
      <c r="M812" s="19">
        <v>1</v>
      </c>
      <c r="N812" s="61" t="s">
        <v>9529</v>
      </c>
      <c r="O812" s="62"/>
      <c r="P812" s="63"/>
      <c r="Q812" s="64"/>
      <c r="R812" s="65"/>
      <c r="S812" s="66"/>
      <c r="V812" s="4" t="s">
        <v>5615</v>
      </c>
      <c r="X812" s="1" t="s">
        <v>7984</v>
      </c>
      <c r="Y812" s="1" t="s">
        <v>9588</v>
      </c>
      <c r="AA812" s="1" t="s">
        <v>125</v>
      </c>
      <c r="AE812" s="1">
        <v>1</v>
      </c>
      <c r="AF812" s="54" t="s">
        <v>9530</v>
      </c>
      <c r="AG812" s="62"/>
      <c r="AH812" s="63"/>
      <c r="AI812" s="64"/>
      <c r="AJ812" s="65"/>
      <c r="AK812" s="66"/>
      <c r="AL812" s="60">
        <v>18</v>
      </c>
      <c r="AN812" s="4" t="s">
        <v>5616</v>
      </c>
    </row>
    <row r="813" spans="1:40" ht="72" x14ac:dyDescent="0.2">
      <c r="A813" s="1" t="s">
        <v>5666</v>
      </c>
      <c r="B813" s="1" t="s">
        <v>5678</v>
      </c>
      <c r="C813" s="1" t="s">
        <v>5712</v>
      </c>
      <c r="D813" s="48">
        <v>12</v>
      </c>
      <c r="E813" s="1">
        <v>1</v>
      </c>
      <c r="F813" s="1" t="s">
        <v>5601</v>
      </c>
      <c r="G813" s="1" t="s">
        <v>9616</v>
      </c>
      <c r="I813" s="1" t="s">
        <v>125</v>
      </c>
      <c r="M813" s="18">
        <v>2</v>
      </c>
      <c r="N813" s="54" t="s">
        <v>9529</v>
      </c>
      <c r="V813" s="4" t="s">
        <v>5626</v>
      </c>
      <c r="Y813" s="1" t="s">
        <v>9616</v>
      </c>
      <c r="AA813" s="1" t="s">
        <v>125</v>
      </c>
      <c r="AE813" s="1">
        <v>2</v>
      </c>
      <c r="AF813" s="54" t="s">
        <v>9530</v>
      </c>
      <c r="AL813" s="60" t="s">
        <v>799</v>
      </c>
      <c r="AN813" s="4" t="s">
        <v>5627</v>
      </c>
    </row>
    <row r="814" spans="1:40" ht="84" x14ac:dyDescent="0.2">
      <c r="A814" s="1" t="s">
        <v>5666</v>
      </c>
      <c r="B814" s="1" t="s">
        <v>5679</v>
      </c>
      <c r="C814" s="1" t="s">
        <v>5712</v>
      </c>
      <c r="D814" s="48">
        <v>13</v>
      </c>
      <c r="E814" s="1">
        <v>1</v>
      </c>
      <c r="F814" s="1" t="s">
        <v>5601</v>
      </c>
      <c r="G814" s="1" t="s">
        <v>9680</v>
      </c>
      <c r="I814" s="1" t="s">
        <v>125</v>
      </c>
      <c r="L814" s="4"/>
      <c r="M814" s="19">
        <v>3</v>
      </c>
      <c r="N814" s="61" t="s">
        <v>9529</v>
      </c>
      <c r="O814" s="62"/>
      <c r="P814" s="63"/>
      <c r="Q814" s="64"/>
      <c r="R814" s="65"/>
      <c r="S814" s="66"/>
      <c r="V814" s="4" t="s">
        <v>5604</v>
      </c>
      <c r="Y814" s="1" t="s">
        <v>9680</v>
      </c>
      <c r="AA814" s="1" t="s">
        <v>125</v>
      </c>
      <c r="AE814" s="1">
        <v>3</v>
      </c>
      <c r="AF814" s="54" t="s">
        <v>9530</v>
      </c>
      <c r="AG814" s="62"/>
      <c r="AH814" s="63"/>
      <c r="AI814" s="64"/>
      <c r="AJ814" s="65"/>
      <c r="AK814" s="66"/>
      <c r="AL814" s="60" t="s">
        <v>799</v>
      </c>
      <c r="AN814" s="4" t="s">
        <v>5605</v>
      </c>
    </row>
    <row r="815" spans="1:40" ht="96" x14ac:dyDescent="0.2">
      <c r="A815" s="1" t="s">
        <v>5666</v>
      </c>
      <c r="B815" s="1" t="s">
        <v>5680</v>
      </c>
      <c r="C815" s="1" t="s">
        <v>5712</v>
      </c>
      <c r="D815" s="48">
        <v>14</v>
      </c>
      <c r="E815" s="1">
        <v>1</v>
      </c>
      <c r="G815" s="1" t="s">
        <v>5636</v>
      </c>
      <c r="H815" s="1" t="s">
        <v>26</v>
      </c>
      <c r="I815" s="1" t="s">
        <v>94</v>
      </c>
      <c r="K815" s="1" t="s">
        <v>7824</v>
      </c>
      <c r="N815" s="54">
        <v>50</v>
      </c>
      <c r="O815" s="55">
        <v>3</v>
      </c>
      <c r="P815" s="56">
        <v>0</v>
      </c>
      <c r="Q815" s="57">
        <v>5</v>
      </c>
      <c r="R815" s="58">
        <v>3</v>
      </c>
      <c r="S815" s="59">
        <v>5</v>
      </c>
      <c r="V815" s="4" t="s">
        <v>5637</v>
      </c>
      <c r="AL815" s="60" t="s">
        <v>30</v>
      </c>
    </row>
    <row r="816" spans="1:40" x14ac:dyDescent="0.2">
      <c r="A816" s="1" t="s">
        <v>5666</v>
      </c>
      <c r="B816" s="1" t="s">
        <v>5681</v>
      </c>
      <c r="C816" s="1" t="s">
        <v>5712</v>
      </c>
      <c r="D816" s="48">
        <v>15</v>
      </c>
      <c r="E816" s="1">
        <v>1</v>
      </c>
      <c r="F816" s="1" t="s">
        <v>5601</v>
      </c>
      <c r="G816" s="1" t="s">
        <v>5599</v>
      </c>
      <c r="H816" s="1" t="s">
        <v>26</v>
      </c>
      <c r="I816" s="1" t="s">
        <v>104</v>
      </c>
      <c r="K816" s="1" t="s">
        <v>7825</v>
      </c>
      <c r="L816" s="4"/>
      <c r="M816" s="19"/>
      <c r="N816" s="61"/>
      <c r="O816" s="62">
        <v>4</v>
      </c>
      <c r="P816" s="63"/>
      <c r="Q816" s="64"/>
      <c r="R816" s="65"/>
      <c r="S816" s="66"/>
      <c r="T816" s="60">
        <v>6</v>
      </c>
      <c r="U816" s="1">
        <v>3</v>
      </c>
      <c r="V816" s="4" t="s">
        <v>5600</v>
      </c>
      <c r="AF816" s="61"/>
      <c r="AG816" s="62"/>
      <c r="AH816" s="63"/>
      <c r="AI816" s="64"/>
      <c r="AJ816" s="65"/>
      <c r="AK816" s="66"/>
      <c r="AL816" s="60" t="s">
        <v>30</v>
      </c>
    </row>
    <row r="817" spans="1:47" ht="24" x14ac:dyDescent="0.2">
      <c r="A817" s="1" t="s">
        <v>5666</v>
      </c>
      <c r="B817" s="1" t="s">
        <v>5682</v>
      </c>
      <c r="C817" s="1" t="s">
        <v>5712</v>
      </c>
      <c r="D817" s="48">
        <v>16</v>
      </c>
      <c r="E817" s="1">
        <v>1</v>
      </c>
      <c r="F817" s="1" t="s">
        <v>5601</v>
      </c>
      <c r="G817" s="1" t="s">
        <v>5606</v>
      </c>
      <c r="H817" s="1" t="s">
        <v>26</v>
      </c>
      <c r="I817" s="1" t="s">
        <v>104</v>
      </c>
      <c r="K817" s="1" t="s">
        <v>3058</v>
      </c>
      <c r="L817" s="4"/>
      <c r="M817" s="19"/>
      <c r="N817" s="61"/>
      <c r="O817" s="62">
        <v>1</v>
      </c>
      <c r="P817" s="63"/>
      <c r="Q817" s="64"/>
      <c r="R817" s="65"/>
      <c r="S817" s="66"/>
      <c r="T817" s="60">
        <v>4</v>
      </c>
      <c r="U817" s="1">
        <v>1</v>
      </c>
      <c r="V817" s="4" t="s">
        <v>5607</v>
      </c>
      <c r="AF817" s="61"/>
      <c r="AG817" s="62"/>
      <c r="AH817" s="63"/>
      <c r="AI817" s="64"/>
      <c r="AJ817" s="65"/>
      <c r="AK817" s="66"/>
      <c r="AL817" s="60" t="s">
        <v>30</v>
      </c>
    </row>
    <row r="818" spans="1:47" ht="60" x14ac:dyDescent="0.2">
      <c r="A818" s="1" t="s">
        <v>5666</v>
      </c>
      <c r="B818" s="1" t="s">
        <v>5683</v>
      </c>
      <c r="C818" s="1" t="s">
        <v>5712</v>
      </c>
      <c r="D818" s="48">
        <v>17</v>
      </c>
      <c r="E818" s="1">
        <v>3</v>
      </c>
      <c r="G818" s="1" t="s">
        <v>5628</v>
      </c>
      <c r="I818" s="1" t="s">
        <v>94</v>
      </c>
      <c r="K818" s="1" t="s">
        <v>7824</v>
      </c>
      <c r="N818" s="54">
        <v>28</v>
      </c>
      <c r="O818" s="55">
        <v>3</v>
      </c>
      <c r="P818" s="56">
        <v>0</v>
      </c>
      <c r="Q818" s="57">
        <v>0</v>
      </c>
      <c r="R818" s="58">
        <v>0</v>
      </c>
      <c r="S818" s="59">
        <v>5</v>
      </c>
      <c r="V818" s="4" t="s">
        <v>5629</v>
      </c>
      <c r="AL818" s="60" t="s">
        <v>30</v>
      </c>
    </row>
    <row r="819" spans="1:47" ht="24" x14ac:dyDescent="0.2">
      <c r="A819" s="1" t="s">
        <v>5666</v>
      </c>
      <c r="B819" s="1" t="s">
        <v>5684</v>
      </c>
      <c r="C819" s="1" t="s">
        <v>5712</v>
      </c>
      <c r="D819" s="48">
        <v>18</v>
      </c>
      <c r="E819" s="1">
        <v>4</v>
      </c>
      <c r="G819" s="1" t="s">
        <v>5630</v>
      </c>
      <c r="I819" s="1" t="s">
        <v>94</v>
      </c>
      <c r="K819" s="1" t="s">
        <v>7824</v>
      </c>
      <c r="N819" s="54">
        <v>20</v>
      </c>
      <c r="O819" s="55">
        <v>2</v>
      </c>
      <c r="P819" s="56">
        <v>0</v>
      </c>
      <c r="Q819" s="57">
        <v>3</v>
      </c>
      <c r="R819" s="58">
        <v>1</v>
      </c>
      <c r="S819" s="59">
        <v>4</v>
      </c>
      <c r="V819" s="4" t="s">
        <v>5631</v>
      </c>
      <c r="W819" s="4" t="s">
        <v>5632</v>
      </c>
      <c r="AL819" s="60" t="s">
        <v>30</v>
      </c>
    </row>
    <row r="820" spans="1:47" ht="48" x14ac:dyDescent="0.2">
      <c r="A820" s="1" t="s">
        <v>5666</v>
      </c>
      <c r="B820" s="1" t="s">
        <v>5685</v>
      </c>
      <c r="C820" s="1" t="s">
        <v>5712</v>
      </c>
      <c r="D820" s="48">
        <v>19</v>
      </c>
      <c r="E820" s="1">
        <v>2</v>
      </c>
      <c r="F820" s="1" t="s">
        <v>5601</v>
      </c>
      <c r="G820" s="1" t="s">
        <v>5652</v>
      </c>
      <c r="I820" s="1" t="s">
        <v>104</v>
      </c>
      <c r="K820" s="1" t="s">
        <v>5650</v>
      </c>
      <c r="L820" s="2" t="s">
        <v>3261</v>
      </c>
      <c r="O820" s="55" t="s">
        <v>113</v>
      </c>
      <c r="T820" s="60">
        <v>4</v>
      </c>
      <c r="V820" s="4" t="s">
        <v>5653</v>
      </c>
      <c r="AL820" s="60" t="s">
        <v>30</v>
      </c>
    </row>
    <row r="821" spans="1:47" ht="84" x14ac:dyDescent="0.2">
      <c r="A821" s="1" t="s">
        <v>5666</v>
      </c>
      <c r="B821" s="1" t="s">
        <v>5686</v>
      </c>
      <c r="C821" s="1" t="s">
        <v>5712</v>
      </c>
      <c r="D821" s="48">
        <v>20</v>
      </c>
      <c r="E821" s="1">
        <v>4</v>
      </c>
      <c r="F821" s="1" t="s">
        <v>5601</v>
      </c>
      <c r="G821" s="1" t="s">
        <v>5649</v>
      </c>
      <c r="I821" s="1" t="s">
        <v>104</v>
      </c>
      <c r="K821" s="1" t="s">
        <v>5650</v>
      </c>
      <c r="O821" s="55">
        <v>2</v>
      </c>
      <c r="T821" s="60">
        <v>3</v>
      </c>
      <c r="V821" s="4" t="s">
        <v>5651</v>
      </c>
      <c r="AL821" s="60" t="s">
        <v>30</v>
      </c>
    </row>
    <row r="822" spans="1:47" ht="24" x14ac:dyDescent="0.2">
      <c r="A822" s="1" t="s">
        <v>5666</v>
      </c>
      <c r="B822" s="1" t="s">
        <v>5687</v>
      </c>
      <c r="C822" s="1" t="s">
        <v>5712</v>
      </c>
      <c r="D822" s="48">
        <v>21</v>
      </c>
      <c r="E822" s="1">
        <v>3</v>
      </c>
      <c r="F822" s="1" t="s">
        <v>5601</v>
      </c>
      <c r="G822" s="1" t="s">
        <v>5608</v>
      </c>
      <c r="I822" s="1" t="s">
        <v>104</v>
      </c>
      <c r="K822" s="1" t="s">
        <v>7823</v>
      </c>
      <c r="L822" s="4"/>
      <c r="M822" s="19"/>
      <c r="N822" s="61"/>
      <c r="O822" s="62">
        <v>2</v>
      </c>
      <c r="P822" s="63"/>
      <c r="Q822" s="64"/>
      <c r="R822" s="65"/>
      <c r="S822" s="66"/>
      <c r="T822" s="60">
        <v>2</v>
      </c>
      <c r="V822" s="4" t="s">
        <v>5609</v>
      </c>
      <c r="W822" s="4" t="s">
        <v>5610</v>
      </c>
      <c r="AF822" s="61"/>
      <c r="AG822" s="62"/>
      <c r="AH822" s="63"/>
      <c r="AI822" s="64"/>
      <c r="AJ822" s="65"/>
      <c r="AK822" s="66"/>
      <c r="AL822" s="60" t="s">
        <v>30</v>
      </c>
    </row>
    <row r="823" spans="1:47" ht="24" x14ac:dyDescent="0.2">
      <c r="A823" s="1" t="s">
        <v>5666</v>
      </c>
      <c r="B823" s="1" t="s">
        <v>5688</v>
      </c>
      <c r="C823" s="1" t="s">
        <v>5712</v>
      </c>
      <c r="D823" s="48">
        <v>22</v>
      </c>
      <c r="E823" s="1">
        <v>4</v>
      </c>
      <c r="F823" s="1" t="s">
        <v>5601</v>
      </c>
      <c r="G823" s="1" t="s">
        <v>5654</v>
      </c>
      <c r="I823" s="1" t="s">
        <v>104</v>
      </c>
      <c r="K823" s="1" t="s">
        <v>7826</v>
      </c>
      <c r="L823" s="2" t="s">
        <v>3261</v>
      </c>
      <c r="O823" s="55">
        <v>3</v>
      </c>
      <c r="T823" s="60">
        <v>4</v>
      </c>
      <c r="V823" s="4" t="s">
        <v>5655</v>
      </c>
      <c r="W823" s="4" t="s">
        <v>5656</v>
      </c>
      <c r="AL823" s="60" t="s">
        <v>30</v>
      </c>
    </row>
    <row r="824" spans="1:47" ht="36" x14ac:dyDescent="0.2">
      <c r="A824" s="1" t="s">
        <v>5666</v>
      </c>
      <c r="B824" s="1" t="s">
        <v>5689</v>
      </c>
      <c r="C824" s="1" t="s">
        <v>5712</v>
      </c>
      <c r="D824" s="48">
        <v>23</v>
      </c>
      <c r="E824" s="1">
        <v>3</v>
      </c>
      <c r="F824" s="1" t="s">
        <v>5601</v>
      </c>
      <c r="G824" s="1" t="s">
        <v>5646</v>
      </c>
      <c r="I824" s="1" t="s">
        <v>82</v>
      </c>
      <c r="V824" s="4" t="s">
        <v>5647</v>
      </c>
      <c r="W824" s="4" t="s">
        <v>5648</v>
      </c>
      <c r="AL824" s="60" t="s">
        <v>30</v>
      </c>
    </row>
    <row r="825" spans="1:47" ht="60" x14ac:dyDescent="0.2">
      <c r="A825" s="1" t="s">
        <v>5666</v>
      </c>
      <c r="B825" s="1" t="s">
        <v>5690</v>
      </c>
      <c r="C825" s="1" t="s">
        <v>5712</v>
      </c>
      <c r="D825" s="48">
        <v>24</v>
      </c>
      <c r="E825" s="1">
        <v>3</v>
      </c>
      <c r="F825" s="1" t="s">
        <v>5601</v>
      </c>
      <c r="G825" s="1" t="s">
        <v>5641</v>
      </c>
      <c r="I825" s="1" t="s">
        <v>82</v>
      </c>
      <c r="L825" s="2" t="s">
        <v>3261</v>
      </c>
      <c r="V825" s="4" t="s">
        <v>5642</v>
      </c>
      <c r="AL825" s="60" t="s">
        <v>30</v>
      </c>
    </row>
    <row r="826" spans="1:47" x14ac:dyDescent="0.2">
      <c r="A826" s="109" t="s">
        <v>8095</v>
      </c>
      <c r="B826" s="109" t="s">
        <v>8119</v>
      </c>
      <c r="C826" s="109" t="s">
        <v>8096</v>
      </c>
      <c r="D826" s="110">
        <v>25</v>
      </c>
      <c r="E826" s="109">
        <v>1</v>
      </c>
      <c r="F826" s="109"/>
      <c r="G826" s="109" t="s">
        <v>8097</v>
      </c>
      <c r="H826" s="1" t="s">
        <v>26</v>
      </c>
      <c r="I826" s="1" t="s">
        <v>27</v>
      </c>
      <c r="J826" s="1" t="s">
        <v>57</v>
      </c>
      <c r="K826" s="1" t="s">
        <v>8100</v>
      </c>
      <c r="M826" s="18">
        <v>11</v>
      </c>
      <c r="P826" s="56">
        <v>2</v>
      </c>
      <c r="Q826" s="57">
        <v>3</v>
      </c>
      <c r="R826" s="58">
        <v>2</v>
      </c>
      <c r="S826" s="59">
        <v>4</v>
      </c>
      <c r="V826" s="4" t="s">
        <v>8098</v>
      </c>
      <c r="AL826" s="60" t="s">
        <v>30</v>
      </c>
      <c r="AU826" s="1" t="s">
        <v>6210</v>
      </c>
    </row>
    <row r="827" spans="1:47" x14ac:dyDescent="0.2">
      <c r="A827" s="1" t="s">
        <v>8095</v>
      </c>
      <c r="B827" s="1" t="s">
        <v>8120</v>
      </c>
      <c r="C827" s="1" t="s">
        <v>8096</v>
      </c>
      <c r="D827" s="48">
        <v>26</v>
      </c>
      <c r="E827" s="1">
        <v>3</v>
      </c>
      <c r="G827" s="1" t="s">
        <v>8099</v>
      </c>
      <c r="I827" s="1" t="s">
        <v>38</v>
      </c>
      <c r="J827" s="1" t="s">
        <v>28</v>
      </c>
      <c r="K827" s="1" t="s">
        <v>2384</v>
      </c>
      <c r="L827" s="2" t="s">
        <v>3043</v>
      </c>
      <c r="M827" s="18">
        <v>2</v>
      </c>
      <c r="P827" s="56">
        <v>1</v>
      </c>
      <c r="Q827" s="57">
        <v>1</v>
      </c>
      <c r="R827" s="58">
        <v>0</v>
      </c>
      <c r="S827" s="59">
        <v>2</v>
      </c>
      <c r="AL827" s="60" t="s">
        <v>30</v>
      </c>
    </row>
    <row r="828" spans="1:47" ht="36" x14ac:dyDescent="0.2">
      <c r="A828" s="1" t="s">
        <v>8095</v>
      </c>
      <c r="B828" s="1" t="s">
        <v>8121</v>
      </c>
      <c r="C828" s="1" t="s">
        <v>8096</v>
      </c>
      <c r="D828" s="48">
        <v>27</v>
      </c>
      <c r="E828" s="1">
        <v>3</v>
      </c>
      <c r="G828" s="1" t="s">
        <v>8101</v>
      </c>
      <c r="I828" s="1" t="s">
        <v>63</v>
      </c>
      <c r="J828" s="1" t="s">
        <v>28</v>
      </c>
      <c r="M828" s="18">
        <v>0</v>
      </c>
      <c r="V828" s="4" t="s">
        <v>8102</v>
      </c>
      <c r="AL828" s="60" t="s">
        <v>30</v>
      </c>
    </row>
    <row r="829" spans="1:47" ht="36" x14ac:dyDescent="0.2">
      <c r="A829" s="1" t="s">
        <v>8095</v>
      </c>
      <c r="B829" s="1" t="s">
        <v>8122</v>
      </c>
      <c r="C829" s="1" t="s">
        <v>8096</v>
      </c>
      <c r="D829" s="48">
        <v>28</v>
      </c>
      <c r="E829" s="1">
        <v>3</v>
      </c>
      <c r="G829" s="1" t="s">
        <v>8103</v>
      </c>
      <c r="H829" s="1" t="s">
        <v>26</v>
      </c>
      <c r="I829" s="1" t="s">
        <v>38</v>
      </c>
      <c r="J829" s="1" t="s">
        <v>50</v>
      </c>
      <c r="K829" s="1" t="s">
        <v>481</v>
      </c>
      <c r="L829" s="2" t="s">
        <v>171</v>
      </c>
      <c r="M829" s="18">
        <v>4</v>
      </c>
      <c r="P829" s="56">
        <v>2</v>
      </c>
      <c r="Q829" s="57">
        <v>2</v>
      </c>
      <c r="R829" s="58">
        <v>1</v>
      </c>
      <c r="S829" s="59">
        <v>2</v>
      </c>
      <c r="V829" s="4" t="s">
        <v>8104</v>
      </c>
      <c r="AL829" s="60" t="s">
        <v>30</v>
      </c>
      <c r="AU829" s="1" t="s">
        <v>6211</v>
      </c>
    </row>
    <row r="830" spans="1:47" ht="24" x14ac:dyDescent="0.2">
      <c r="A830" s="1" t="s">
        <v>8095</v>
      </c>
      <c r="B830" s="1" t="s">
        <v>8123</v>
      </c>
      <c r="C830" s="1" t="s">
        <v>8096</v>
      </c>
      <c r="D830" s="48">
        <v>29</v>
      </c>
      <c r="E830" s="1">
        <v>3</v>
      </c>
      <c r="G830" s="1" t="s">
        <v>8105</v>
      </c>
      <c r="I830" s="1" t="s">
        <v>56</v>
      </c>
      <c r="J830" s="1" t="s">
        <v>50</v>
      </c>
      <c r="K830" s="1" t="s">
        <v>467</v>
      </c>
      <c r="L830" s="2" t="s">
        <v>3054</v>
      </c>
      <c r="M830" s="18">
        <v>2</v>
      </c>
      <c r="V830" s="4" t="s">
        <v>8106</v>
      </c>
      <c r="AL830" s="60" t="s">
        <v>30</v>
      </c>
      <c r="AU830" s="1" t="s">
        <v>6212</v>
      </c>
    </row>
    <row r="831" spans="1:47" ht="48" x14ac:dyDescent="0.2">
      <c r="A831" s="1" t="s">
        <v>8095</v>
      </c>
      <c r="B831" s="1" t="s">
        <v>8124</v>
      </c>
      <c r="C831" s="1" t="s">
        <v>8096</v>
      </c>
      <c r="D831" s="48">
        <v>30</v>
      </c>
      <c r="E831" s="1">
        <v>3</v>
      </c>
      <c r="G831" s="1" t="s">
        <v>8107</v>
      </c>
      <c r="I831" s="1" t="s">
        <v>38</v>
      </c>
      <c r="J831" s="1" t="s">
        <v>57</v>
      </c>
      <c r="K831" s="1" t="s">
        <v>8108</v>
      </c>
      <c r="M831" s="18">
        <v>3</v>
      </c>
      <c r="P831" s="56">
        <v>2</v>
      </c>
      <c r="Q831" s="57">
        <v>1</v>
      </c>
      <c r="R831" s="58">
        <v>0</v>
      </c>
      <c r="S831" s="59">
        <v>2</v>
      </c>
      <c r="V831" s="4" t="s">
        <v>8109</v>
      </c>
      <c r="AL831" s="60" t="s">
        <v>30</v>
      </c>
      <c r="AU831" s="1" t="s">
        <v>6212</v>
      </c>
    </row>
    <row r="832" spans="1:47" ht="24" x14ac:dyDescent="0.2">
      <c r="A832" s="1" t="s">
        <v>8095</v>
      </c>
      <c r="B832" s="1" t="s">
        <v>8125</v>
      </c>
      <c r="C832" s="1" t="s">
        <v>8096</v>
      </c>
      <c r="D832" s="48">
        <v>31</v>
      </c>
      <c r="E832" s="1">
        <v>3</v>
      </c>
      <c r="G832" s="1" t="s">
        <v>8110</v>
      </c>
      <c r="H832" s="1" t="s">
        <v>26</v>
      </c>
      <c r="I832" s="1" t="s">
        <v>56</v>
      </c>
      <c r="J832" s="1" t="s">
        <v>57</v>
      </c>
      <c r="K832" s="1" t="s">
        <v>298</v>
      </c>
      <c r="L832" s="2" t="s">
        <v>8111</v>
      </c>
      <c r="M832" s="18">
        <v>1</v>
      </c>
      <c r="V832" s="4" t="s">
        <v>8112</v>
      </c>
      <c r="AL832" s="60" t="s">
        <v>30</v>
      </c>
      <c r="AU832" s="1" t="s">
        <v>6213</v>
      </c>
    </row>
    <row r="833" spans="1:47" ht="48" x14ac:dyDescent="0.2">
      <c r="A833" s="1" t="s">
        <v>8095</v>
      </c>
      <c r="B833" s="1" t="s">
        <v>8126</v>
      </c>
      <c r="C833" s="1" t="s">
        <v>8096</v>
      </c>
      <c r="D833" s="48">
        <v>32</v>
      </c>
      <c r="E833" s="1">
        <v>3</v>
      </c>
      <c r="G833" s="1" t="s">
        <v>8113</v>
      </c>
      <c r="I833" s="1" t="s">
        <v>63</v>
      </c>
      <c r="J833" s="1" t="s">
        <v>39</v>
      </c>
      <c r="M833" s="18">
        <v>0</v>
      </c>
      <c r="V833" s="4" t="s">
        <v>8114</v>
      </c>
      <c r="AL833" s="60" t="s">
        <v>30</v>
      </c>
      <c r="AU833" s="1" t="s">
        <v>6214</v>
      </c>
    </row>
    <row r="834" spans="1:47" ht="48" x14ac:dyDescent="0.2">
      <c r="A834" s="1" t="s">
        <v>8095</v>
      </c>
      <c r="B834" s="1" t="s">
        <v>8127</v>
      </c>
      <c r="C834" s="1" t="s">
        <v>8096</v>
      </c>
      <c r="D834" s="48">
        <v>33</v>
      </c>
      <c r="E834" s="1">
        <v>3</v>
      </c>
      <c r="G834" s="1" t="s">
        <v>8115</v>
      </c>
      <c r="I834" s="1" t="s">
        <v>63</v>
      </c>
      <c r="J834" s="1" t="s">
        <v>39</v>
      </c>
      <c r="M834" s="18">
        <v>1</v>
      </c>
      <c r="V834" s="4" t="s">
        <v>8116</v>
      </c>
      <c r="AL834" s="60" t="s">
        <v>30</v>
      </c>
      <c r="AU834" s="1" t="s">
        <v>6212</v>
      </c>
    </row>
    <row r="835" spans="1:47" ht="24" x14ac:dyDescent="0.2">
      <c r="A835" s="1" t="s">
        <v>8095</v>
      </c>
      <c r="B835" s="1" t="s">
        <v>8128</v>
      </c>
      <c r="C835" s="1" t="s">
        <v>8096</v>
      </c>
      <c r="D835" s="48">
        <v>34</v>
      </c>
      <c r="E835" s="1">
        <v>3</v>
      </c>
      <c r="G835" s="1" t="s">
        <v>8117</v>
      </c>
      <c r="I835" s="1" t="s">
        <v>56</v>
      </c>
      <c r="J835" s="1" t="s">
        <v>44</v>
      </c>
      <c r="K835" s="1" t="s">
        <v>89</v>
      </c>
      <c r="L835" s="2" t="s">
        <v>4090</v>
      </c>
      <c r="V835" s="4" t="s">
        <v>8118</v>
      </c>
      <c r="AL835" s="60" t="s">
        <v>30</v>
      </c>
      <c r="AU835" s="1" t="s">
        <v>6215</v>
      </c>
    </row>
    <row r="836" spans="1:47" ht="24" x14ac:dyDescent="0.2">
      <c r="A836" s="1" t="s">
        <v>8095</v>
      </c>
      <c r="B836" s="1" t="s">
        <v>8178</v>
      </c>
      <c r="C836" s="1" t="s">
        <v>8096</v>
      </c>
      <c r="D836" s="48">
        <v>35</v>
      </c>
      <c r="E836" s="1">
        <v>1</v>
      </c>
      <c r="F836" s="1" t="s">
        <v>8094</v>
      </c>
      <c r="G836" s="1" t="s">
        <v>9560</v>
      </c>
      <c r="I836" s="1" t="s">
        <v>125</v>
      </c>
      <c r="M836" s="18">
        <v>1</v>
      </c>
      <c r="N836" s="54" t="s">
        <v>9529</v>
      </c>
      <c r="V836" s="4" t="s">
        <v>8129</v>
      </c>
      <c r="X836" s="1" t="s">
        <v>2145</v>
      </c>
      <c r="Y836" s="1" t="s">
        <v>9560</v>
      </c>
      <c r="AA836" s="1" t="s">
        <v>125</v>
      </c>
      <c r="AE836" s="1">
        <v>1</v>
      </c>
      <c r="AF836" s="54" t="s">
        <v>9530</v>
      </c>
      <c r="AL836" s="60" t="s">
        <v>8130</v>
      </c>
      <c r="AN836" s="4" t="s">
        <v>8131</v>
      </c>
      <c r="AU836" s="1" t="s">
        <v>6212</v>
      </c>
    </row>
    <row r="837" spans="1:47" ht="84" x14ac:dyDescent="0.2">
      <c r="A837" s="1" t="s">
        <v>8095</v>
      </c>
      <c r="B837" s="1" t="s">
        <v>8179</v>
      </c>
      <c r="C837" s="1" t="s">
        <v>8096</v>
      </c>
      <c r="D837" s="48">
        <v>36</v>
      </c>
      <c r="E837" s="1">
        <v>1</v>
      </c>
      <c r="F837" s="1" t="s">
        <v>8094</v>
      </c>
      <c r="G837" s="1" t="s">
        <v>9617</v>
      </c>
      <c r="I837" s="1" t="s">
        <v>125</v>
      </c>
      <c r="M837" s="18">
        <v>2</v>
      </c>
      <c r="N837" s="54" t="s">
        <v>9529</v>
      </c>
      <c r="V837" s="4" t="s">
        <v>8132</v>
      </c>
      <c r="Y837" s="1" t="s">
        <v>9617</v>
      </c>
      <c r="AA837" s="1" t="s">
        <v>125</v>
      </c>
      <c r="AE837" s="1">
        <v>2</v>
      </c>
      <c r="AF837" s="54" t="s">
        <v>9530</v>
      </c>
      <c r="AL837" s="60" t="s">
        <v>8130</v>
      </c>
      <c r="AN837" s="4" t="s">
        <v>8133</v>
      </c>
    </row>
    <row r="838" spans="1:47" ht="84" x14ac:dyDescent="0.2">
      <c r="A838" s="1" t="s">
        <v>8095</v>
      </c>
      <c r="B838" s="1" t="s">
        <v>8180</v>
      </c>
      <c r="C838" s="1" t="s">
        <v>8096</v>
      </c>
      <c r="D838" s="48">
        <v>37</v>
      </c>
      <c r="E838" s="1">
        <v>1</v>
      </c>
      <c r="F838" s="1" t="s">
        <v>8094</v>
      </c>
      <c r="G838" s="1" t="s">
        <v>9618</v>
      </c>
      <c r="I838" s="1" t="s">
        <v>125</v>
      </c>
      <c r="M838" s="18">
        <v>2</v>
      </c>
      <c r="N838" s="54" t="s">
        <v>9529</v>
      </c>
      <c r="V838" s="4" t="s">
        <v>8199</v>
      </c>
      <c r="Y838" s="1" t="s">
        <v>9618</v>
      </c>
      <c r="AA838" s="1" t="s">
        <v>125</v>
      </c>
      <c r="AE838" s="1">
        <v>2</v>
      </c>
      <c r="AF838" s="54" t="s">
        <v>9530</v>
      </c>
      <c r="AL838" s="60" t="s">
        <v>8130</v>
      </c>
      <c r="AN838" s="4" t="s">
        <v>8200</v>
      </c>
    </row>
    <row r="839" spans="1:47" ht="108" x14ac:dyDescent="0.2">
      <c r="A839" s="1" t="s">
        <v>8095</v>
      </c>
      <c r="B839" s="1" t="s">
        <v>8181</v>
      </c>
      <c r="C839" s="1" t="s">
        <v>8096</v>
      </c>
      <c r="D839" s="48">
        <v>38</v>
      </c>
      <c r="E839" s="1">
        <v>1</v>
      </c>
      <c r="F839" s="1" t="s">
        <v>8094</v>
      </c>
      <c r="G839" s="1" t="s">
        <v>9619</v>
      </c>
      <c r="I839" s="1" t="s">
        <v>125</v>
      </c>
      <c r="M839" s="18">
        <v>2</v>
      </c>
      <c r="N839" s="54" t="s">
        <v>9529</v>
      </c>
      <c r="V839" s="4" t="s">
        <v>8134</v>
      </c>
      <c r="Y839" s="1" t="s">
        <v>9619</v>
      </c>
      <c r="AA839" s="1" t="s">
        <v>125</v>
      </c>
      <c r="AE839" s="1">
        <v>2</v>
      </c>
      <c r="AF839" s="54" t="s">
        <v>9530</v>
      </c>
      <c r="AL839" s="60" t="s">
        <v>8130</v>
      </c>
      <c r="AN839" s="4" t="s">
        <v>8135</v>
      </c>
      <c r="AU839" s="1" t="s">
        <v>6212</v>
      </c>
    </row>
    <row r="840" spans="1:47" ht="60" x14ac:dyDescent="0.2">
      <c r="A840" s="1" t="s">
        <v>8095</v>
      </c>
      <c r="B840" s="1" t="s">
        <v>8182</v>
      </c>
      <c r="C840" s="1" t="s">
        <v>8096</v>
      </c>
      <c r="D840" s="48">
        <v>39</v>
      </c>
      <c r="E840" s="1">
        <v>1</v>
      </c>
      <c r="F840" s="1" t="s">
        <v>8094</v>
      </c>
      <c r="G840" s="1" t="s">
        <v>9681</v>
      </c>
      <c r="I840" s="1" t="s">
        <v>125</v>
      </c>
      <c r="M840" s="18">
        <v>3</v>
      </c>
      <c r="N840" s="54" t="s">
        <v>9529</v>
      </c>
      <c r="V840" s="4" t="s">
        <v>8136</v>
      </c>
      <c r="Y840" s="1" t="s">
        <v>9681</v>
      </c>
      <c r="AA840" s="1" t="s">
        <v>125</v>
      </c>
      <c r="AE840" s="1">
        <v>3</v>
      </c>
      <c r="AF840" s="54" t="s">
        <v>9530</v>
      </c>
      <c r="AL840" s="60">
        <v>1</v>
      </c>
      <c r="AN840" s="4" t="s">
        <v>8137</v>
      </c>
    </row>
    <row r="841" spans="1:47" ht="36" x14ac:dyDescent="0.2">
      <c r="A841" s="1" t="s">
        <v>8095</v>
      </c>
      <c r="B841" s="1" t="s">
        <v>8183</v>
      </c>
      <c r="C841" s="1" t="s">
        <v>8096</v>
      </c>
      <c r="D841" s="48">
        <v>40</v>
      </c>
      <c r="E841" s="1">
        <v>1</v>
      </c>
      <c r="F841" s="1" t="s">
        <v>8094</v>
      </c>
      <c r="G841" s="1" t="s">
        <v>8138</v>
      </c>
      <c r="H841" s="1" t="s">
        <v>26</v>
      </c>
      <c r="I841" s="1" t="s">
        <v>94</v>
      </c>
      <c r="K841" s="1" t="s">
        <v>8139</v>
      </c>
      <c r="L841" s="2" t="s">
        <v>8140</v>
      </c>
      <c r="N841" s="54">
        <v>50</v>
      </c>
      <c r="O841" s="55">
        <v>1</v>
      </c>
      <c r="Q841" s="57">
        <v>4</v>
      </c>
      <c r="R841" s="58">
        <v>4</v>
      </c>
      <c r="S841" s="59">
        <v>10</v>
      </c>
      <c r="U841" s="1">
        <v>3</v>
      </c>
      <c r="V841" s="4" t="s">
        <v>8141</v>
      </c>
      <c r="AL841" s="60" t="s">
        <v>30</v>
      </c>
    </row>
    <row r="842" spans="1:47" ht="48" x14ac:dyDescent="0.2">
      <c r="A842" s="1" t="s">
        <v>8095</v>
      </c>
      <c r="B842" s="1" t="s">
        <v>8184</v>
      </c>
      <c r="C842" s="1" t="s">
        <v>8096</v>
      </c>
      <c r="D842" s="48">
        <v>41</v>
      </c>
      <c r="E842" s="1">
        <v>1</v>
      </c>
      <c r="F842" s="1" t="s">
        <v>8094</v>
      </c>
      <c r="G842" s="1" t="s">
        <v>8142</v>
      </c>
      <c r="H842" s="1" t="s">
        <v>26</v>
      </c>
      <c r="I842" s="1" t="s">
        <v>94</v>
      </c>
      <c r="K842" s="1" t="s">
        <v>8143</v>
      </c>
      <c r="L842" s="2" t="s">
        <v>8140</v>
      </c>
      <c r="N842" s="54">
        <v>50</v>
      </c>
      <c r="O842" s="55">
        <v>2</v>
      </c>
      <c r="Q842" s="57">
        <v>5</v>
      </c>
      <c r="R842" s="58">
        <v>3</v>
      </c>
      <c r="S842" s="59">
        <v>12</v>
      </c>
      <c r="U842" s="1">
        <v>3</v>
      </c>
      <c r="V842" s="4" t="s">
        <v>8144</v>
      </c>
      <c r="AL842" s="60" t="s">
        <v>30</v>
      </c>
    </row>
    <row r="843" spans="1:47" ht="36" x14ac:dyDescent="0.2">
      <c r="A843" s="1" t="s">
        <v>8095</v>
      </c>
      <c r="B843" s="1" t="s">
        <v>8185</v>
      </c>
      <c r="C843" s="1" t="s">
        <v>8096</v>
      </c>
      <c r="D843" s="48">
        <v>42</v>
      </c>
      <c r="E843" s="1">
        <v>1</v>
      </c>
      <c r="F843" s="1" t="s">
        <v>8094</v>
      </c>
      <c r="G843" s="1" t="s">
        <v>8145</v>
      </c>
      <c r="H843" s="1" t="s">
        <v>26</v>
      </c>
      <c r="I843" s="1" t="s">
        <v>94</v>
      </c>
      <c r="K843" s="1" t="s">
        <v>8146</v>
      </c>
      <c r="L843" s="2" t="s">
        <v>8140</v>
      </c>
      <c r="N843" s="54">
        <v>50</v>
      </c>
      <c r="O843" s="55">
        <v>3</v>
      </c>
      <c r="Q843" s="57">
        <v>3</v>
      </c>
      <c r="R843" s="58">
        <v>5</v>
      </c>
      <c r="S843" s="59">
        <v>8</v>
      </c>
      <c r="U843" s="1">
        <v>3</v>
      </c>
      <c r="V843" s="4" t="s">
        <v>8147</v>
      </c>
      <c r="AL843" s="60" t="s">
        <v>30</v>
      </c>
    </row>
    <row r="844" spans="1:47" ht="48" x14ac:dyDescent="0.2">
      <c r="A844" s="1" t="s">
        <v>8095</v>
      </c>
      <c r="B844" s="1" t="s">
        <v>8186</v>
      </c>
      <c r="C844" s="1" t="s">
        <v>8096</v>
      </c>
      <c r="D844" s="48">
        <v>43</v>
      </c>
      <c r="E844" s="1">
        <v>1</v>
      </c>
      <c r="F844" s="1" t="s">
        <v>8094</v>
      </c>
      <c r="G844" s="1" t="s">
        <v>8148</v>
      </c>
      <c r="H844" s="1" t="s">
        <v>26</v>
      </c>
      <c r="I844" s="1" t="s">
        <v>88</v>
      </c>
      <c r="K844" s="1" t="s">
        <v>8149</v>
      </c>
      <c r="V844" s="4" t="s">
        <v>8150</v>
      </c>
      <c r="W844" s="4" t="s">
        <v>10402</v>
      </c>
      <c r="AL844" s="60" t="s">
        <v>30</v>
      </c>
    </row>
    <row r="845" spans="1:47" ht="48" x14ac:dyDescent="0.2">
      <c r="A845" s="1" t="s">
        <v>8095</v>
      </c>
      <c r="B845" s="1" t="s">
        <v>8187</v>
      </c>
      <c r="C845" s="1" t="s">
        <v>8096</v>
      </c>
      <c r="D845" s="48">
        <v>44</v>
      </c>
      <c r="E845" s="1">
        <v>1</v>
      </c>
      <c r="F845" s="1" t="s">
        <v>8094</v>
      </c>
      <c r="G845" s="1" t="s">
        <v>8151</v>
      </c>
      <c r="H845" s="1" t="s">
        <v>26</v>
      </c>
      <c r="I845" s="1" t="s">
        <v>88</v>
      </c>
      <c r="K845" s="1" t="s">
        <v>8152</v>
      </c>
      <c r="V845" s="4" t="s">
        <v>8153</v>
      </c>
      <c r="W845" s="4" t="s">
        <v>10403</v>
      </c>
      <c r="AL845" s="60" t="s">
        <v>30</v>
      </c>
    </row>
    <row r="846" spans="1:47" ht="48" x14ac:dyDescent="0.2">
      <c r="A846" s="1" t="s">
        <v>8095</v>
      </c>
      <c r="B846" s="1" t="s">
        <v>8188</v>
      </c>
      <c r="C846" s="1" t="s">
        <v>8096</v>
      </c>
      <c r="D846" s="48">
        <v>45</v>
      </c>
      <c r="E846" s="1">
        <v>1</v>
      </c>
      <c r="F846" s="1" t="s">
        <v>8094</v>
      </c>
      <c r="G846" s="1" t="s">
        <v>8154</v>
      </c>
      <c r="H846" s="1" t="s">
        <v>26</v>
      </c>
      <c r="I846" s="1" t="s">
        <v>88</v>
      </c>
      <c r="K846" s="1" t="s">
        <v>8156</v>
      </c>
      <c r="V846" s="4" t="s">
        <v>8155</v>
      </c>
      <c r="W846" s="4" t="s">
        <v>10404</v>
      </c>
      <c r="AL846" s="60" t="s">
        <v>30</v>
      </c>
    </row>
    <row r="847" spans="1:47" ht="24" x14ac:dyDescent="0.2">
      <c r="A847" s="1" t="s">
        <v>8095</v>
      </c>
      <c r="B847" s="1" t="s">
        <v>8189</v>
      </c>
      <c r="C847" s="1" t="s">
        <v>8096</v>
      </c>
      <c r="D847" s="48">
        <v>46</v>
      </c>
      <c r="E847" s="1">
        <v>1</v>
      </c>
      <c r="F847" s="1" t="s">
        <v>8094</v>
      </c>
      <c r="G847" s="1" t="s">
        <v>8157</v>
      </c>
      <c r="I847" s="1" t="s">
        <v>104</v>
      </c>
      <c r="K847" s="1" t="s">
        <v>8158</v>
      </c>
      <c r="O847" s="55">
        <v>4</v>
      </c>
      <c r="T847" s="60">
        <v>6</v>
      </c>
      <c r="U847" s="1">
        <v>2</v>
      </c>
      <c r="V847" s="4" t="s">
        <v>8159</v>
      </c>
      <c r="AL847" s="60" t="s">
        <v>30</v>
      </c>
      <c r="AU847" s="1" t="s">
        <v>6216</v>
      </c>
    </row>
    <row r="848" spans="1:47" ht="24" x14ac:dyDescent="0.2">
      <c r="A848" s="1" t="s">
        <v>8095</v>
      </c>
      <c r="B848" s="1" t="s">
        <v>8190</v>
      </c>
      <c r="C848" s="1" t="s">
        <v>8096</v>
      </c>
      <c r="D848" s="48">
        <v>47</v>
      </c>
      <c r="E848" s="1">
        <v>1</v>
      </c>
      <c r="F848" s="1" t="s">
        <v>8094</v>
      </c>
      <c r="G848" s="1" t="s">
        <v>8160</v>
      </c>
      <c r="I848" s="1" t="s">
        <v>104</v>
      </c>
      <c r="K848" s="1" t="s">
        <v>8158</v>
      </c>
      <c r="O848" s="55">
        <v>3</v>
      </c>
      <c r="T848" s="60">
        <v>8</v>
      </c>
      <c r="U848" s="1">
        <v>2</v>
      </c>
      <c r="V848" s="4" t="s">
        <v>8161</v>
      </c>
      <c r="AL848" s="60" t="s">
        <v>30</v>
      </c>
    </row>
    <row r="849" spans="1:40" ht="24" x14ac:dyDescent="0.2">
      <c r="A849" s="1" t="s">
        <v>8095</v>
      </c>
      <c r="B849" s="1" t="s">
        <v>8191</v>
      </c>
      <c r="C849" s="1" t="s">
        <v>8096</v>
      </c>
      <c r="D849" s="48">
        <v>48</v>
      </c>
      <c r="E849" s="1">
        <v>1</v>
      </c>
      <c r="F849" s="1" t="s">
        <v>8094</v>
      </c>
      <c r="G849" s="1" t="s">
        <v>8162</v>
      </c>
      <c r="I849" s="1" t="s">
        <v>104</v>
      </c>
      <c r="K849" s="1" t="s">
        <v>8158</v>
      </c>
      <c r="O849" s="55">
        <v>2</v>
      </c>
      <c r="T849" s="60">
        <v>10</v>
      </c>
      <c r="U849" s="1">
        <v>2</v>
      </c>
      <c r="V849" s="4" t="s">
        <v>8163</v>
      </c>
      <c r="AL849" s="60" t="s">
        <v>30</v>
      </c>
    </row>
    <row r="850" spans="1:40" ht="48" x14ac:dyDescent="0.2">
      <c r="A850" s="1" t="s">
        <v>8095</v>
      </c>
      <c r="B850" s="50" t="s">
        <v>8192</v>
      </c>
      <c r="C850" s="1" t="s">
        <v>8096</v>
      </c>
      <c r="D850" s="48">
        <v>49</v>
      </c>
      <c r="E850" s="1">
        <v>1</v>
      </c>
      <c r="F850" s="1" t="s">
        <v>8094</v>
      </c>
      <c r="G850" s="1" t="s">
        <v>8164</v>
      </c>
      <c r="H850" s="1" t="s">
        <v>26</v>
      </c>
      <c r="I850" s="1" t="s">
        <v>104</v>
      </c>
      <c r="K850" s="1" t="s">
        <v>3735</v>
      </c>
      <c r="L850" s="2" t="s">
        <v>8165</v>
      </c>
      <c r="O850" s="55" t="s">
        <v>113</v>
      </c>
      <c r="T850" s="60">
        <v>12</v>
      </c>
      <c r="U850" s="1">
        <v>5</v>
      </c>
      <c r="V850" s="4" t="s">
        <v>8201</v>
      </c>
      <c r="AL850" s="60" t="s">
        <v>30</v>
      </c>
    </row>
    <row r="851" spans="1:40" ht="24" x14ac:dyDescent="0.2">
      <c r="A851" s="1" t="s">
        <v>8095</v>
      </c>
      <c r="B851" s="1" t="s">
        <v>8193</v>
      </c>
      <c r="C851" s="1" t="s">
        <v>8096</v>
      </c>
      <c r="D851" s="48">
        <v>50</v>
      </c>
      <c r="E851" s="1">
        <v>5</v>
      </c>
      <c r="F851" s="1" t="s">
        <v>8094</v>
      </c>
      <c r="G851" s="1" t="s">
        <v>8166</v>
      </c>
      <c r="I851" s="1" t="s">
        <v>94</v>
      </c>
      <c r="K851" s="1" t="s">
        <v>2112</v>
      </c>
      <c r="L851" s="2" t="s">
        <v>3504</v>
      </c>
      <c r="N851" s="54">
        <v>28</v>
      </c>
      <c r="O851" s="55">
        <v>1</v>
      </c>
      <c r="Q851" s="57">
        <v>1</v>
      </c>
      <c r="R851" s="58">
        <v>2</v>
      </c>
      <c r="S851" s="59">
        <v>4</v>
      </c>
      <c r="V851" s="4" t="s">
        <v>8167</v>
      </c>
      <c r="W851" s="4" t="s">
        <v>10405</v>
      </c>
      <c r="AL851" s="60" t="s">
        <v>30</v>
      </c>
    </row>
    <row r="852" spans="1:40" ht="24" x14ac:dyDescent="0.2">
      <c r="A852" s="1" t="s">
        <v>8095</v>
      </c>
      <c r="B852" s="1" t="s">
        <v>8194</v>
      </c>
      <c r="C852" s="1" t="s">
        <v>8096</v>
      </c>
      <c r="D852" s="48">
        <v>51</v>
      </c>
      <c r="E852" s="1">
        <v>2</v>
      </c>
      <c r="F852" s="1" t="s">
        <v>8094</v>
      </c>
      <c r="G852" s="1" t="s">
        <v>8168</v>
      </c>
      <c r="I852" s="1" t="s">
        <v>104</v>
      </c>
      <c r="K852" s="1" t="s">
        <v>105</v>
      </c>
      <c r="O852" s="55">
        <v>3</v>
      </c>
      <c r="T852" s="60">
        <v>3</v>
      </c>
      <c r="V852" s="4" t="s">
        <v>8169</v>
      </c>
      <c r="W852" s="4" t="s">
        <v>10406</v>
      </c>
      <c r="AL852" s="60" t="s">
        <v>30</v>
      </c>
    </row>
    <row r="853" spans="1:40" ht="24" x14ac:dyDescent="0.2">
      <c r="A853" s="1" t="s">
        <v>8095</v>
      </c>
      <c r="B853" s="1" t="s">
        <v>8195</v>
      </c>
      <c r="C853" s="1" t="s">
        <v>8096</v>
      </c>
      <c r="D853" s="48">
        <v>52</v>
      </c>
      <c r="E853" s="1">
        <v>3</v>
      </c>
      <c r="F853" s="1" t="s">
        <v>8094</v>
      </c>
      <c r="G853" s="1" t="s">
        <v>8170</v>
      </c>
      <c r="I853" s="1" t="s">
        <v>104</v>
      </c>
      <c r="K853" s="1" t="s">
        <v>1217</v>
      </c>
      <c r="L853" s="2" t="s">
        <v>8171</v>
      </c>
      <c r="O853" s="55" t="s">
        <v>113</v>
      </c>
      <c r="T853" s="60">
        <v>3</v>
      </c>
      <c r="V853" s="4" t="s">
        <v>8172</v>
      </c>
      <c r="AL853" s="60" t="s">
        <v>30</v>
      </c>
    </row>
    <row r="854" spans="1:40" ht="36" x14ac:dyDescent="0.2">
      <c r="A854" s="1" t="s">
        <v>8095</v>
      </c>
      <c r="B854" s="1" t="s">
        <v>8196</v>
      </c>
      <c r="C854" s="1" t="s">
        <v>8096</v>
      </c>
      <c r="D854" s="48">
        <v>53</v>
      </c>
      <c r="E854" s="1">
        <v>2</v>
      </c>
      <c r="F854" s="1" t="s">
        <v>8094</v>
      </c>
      <c r="G854" s="1" t="s">
        <v>8173</v>
      </c>
      <c r="I854" s="1" t="s">
        <v>82</v>
      </c>
      <c r="V854" s="4" t="s">
        <v>8174</v>
      </c>
      <c r="W854" s="4" t="s">
        <v>10405</v>
      </c>
      <c r="AL854" s="60" t="s">
        <v>30</v>
      </c>
    </row>
    <row r="855" spans="1:40" ht="36" x14ac:dyDescent="0.2">
      <c r="A855" s="1" t="s">
        <v>8095</v>
      </c>
      <c r="B855" s="1" t="s">
        <v>8197</v>
      </c>
      <c r="C855" s="1" t="s">
        <v>8096</v>
      </c>
      <c r="D855" s="48">
        <v>54</v>
      </c>
      <c r="E855" s="1">
        <v>2</v>
      </c>
      <c r="F855" s="1" t="s">
        <v>8094</v>
      </c>
      <c r="G855" s="1" t="s">
        <v>8175</v>
      </c>
      <c r="I855" s="1" t="s">
        <v>82</v>
      </c>
      <c r="V855" s="4" t="s">
        <v>8202</v>
      </c>
      <c r="W855" s="4" t="s">
        <v>10407</v>
      </c>
      <c r="AL855" s="60" t="s">
        <v>30</v>
      </c>
    </row>
    <row r="856" spans="1:40" ht="24" x14ac:dyDescent="0.2">
      <c r="A856" s="1" t="s">
        <v>8095</v>
      </c>
      <c r="B856" s="1" t="s">
        <v>8198</v>
      </c>
      <c r="C856" s="1" t="s">
        <v>8096</v>
      </c>
      <c r="D856" s="48">
        <v>55</v>
      </c>
      <c r="E856" s="1">
        <v>3</v>
      </c>
      <c r="F856" s="1" t="s">
        <v>8094</v>
      </c>
      <c r="G856" s="1" t="s">
        <v>8176</v>
      </c>
      <c r="I856" s="1" t="s">
        <v>82</v>
      </c>
      <c r="V856" s="4" t="s">
        <v>8177</v>
      </c>
      <c r="W856" s="4" t="s">
        <v>10408</v>
      </c>
      <c r="AL856" s="60" t="s">
        <v>30</v>
      </c>
    </row>
    <row r="857" spans="1:40" ht="48" x14ac:dyDescent="0.2">
      <c r="A857" s="109" t="s">
        <v>9422</v>
      </c>
      <c r="B857" s="109" t="s">
        <v>9425</v>
      </c>
      <c r="C857" s="109" t="s">
        <v>9426</v>
      </c>
      <c r="D857" s="109">
        <v>56</v>
      </c>
      <c r="E857" s="109">
        <v>1</v>
      </c>
      <c r="F857" s="109"/>
      <c r="G857" s="109" t="s">
        <v>5899</v>
      </c>
      <c r="H857" s="1" t="s">
        <v>26</v>
      </c>
      <c r="I857" s="1" t="s">
        <v>27</v>
      </c>
      <c r="J857" s="1" t="s">
        <v>39</v>
      </c>
      <c r="K857" s="4" t="s">
        <v>9427</v>
      </c>
      <c r="L857" s="4" t="s">
        <v>171</v>
      </c>
      <c r="M857" s="1">
        <v>9</v>
      </c>
      <c r="N857" s="102"/>
      <c r="O857" s="103"/>
      <c r="P857" s="104">
        <v>2</v>
      </c>
      <c r="Q857" s="105">
        <v>3</v>
      </c>
      <c r="R857" s="106">
        <v>1</v>
      </c>
      <c r="S857" s="107">
        <v>3</v>
      </c>
      <c r="T857" s="108"/>
      <c r="V857" s="4" t="s">
        <v>9428</v>
      </c>
      <c r="AF857" s="54" t="s">
        <v>30</v>
      </c>
      <c r="AG857" s="55" t="s">
        <v>30</v>
      </c>
      <c r="AH857" s="56" t="s">
        <v>30</v>
      </c>
      <c r="AI857" s="57" t="s">
        <v>30</v>
      </c>
      <c r="AJ857" s="58" t="s">
        <v>30</v>
      </c>
      <c r="AK857" s="59" t="s">
        <v>30</v>
      </c>
      <c r="AL857" s="60"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2"/>
      <c r="O858" s="103"/>
      <c r="P858" s="104">
        <v>1</v>
      </c>
      <c r="Q858" s="105">
        <v>0</v>
      </c>
      <c r="R858" s="106">
        <v>1</v>
      </c>
      <c r="S858" s="107">
        <v>1</v>
      </c>
      <c r="T858" s="108"/>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2"/>
      <c r="O859" s="103"/>
      <c r="P859" s="104"/>
      <c r="Q859" s="105"/>
      <c r="R859" s="106"/>
      <c r="S859" s="107"/>
      <c r="T859" s="108"/>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2"/>
      <c r="O860" s="103"/>
      <c r="P860" s="104">
        <v>2</v>
      </c>
      <c r="Q860" s="105">
        <v>3</v>
      </c>
      <c r="R860" s="106">
        <v>1</v>
      </c>
      <c r="S860" s="107">
        <v>4</v>
      </c>
      <c r="T860" s="108"/>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2"/>
      <c r="O861" s="103"/>
      <c r="P861" s="104"/>
      <c r="Q861" s="105"/>
      <c r="R861" s="106"/>
      <c r="S861" s="107"/>
      <c r="T861" s="108"/>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2"/>
      <c r="O862" s="103"/>
      <c r="P862" s="104"/>
      <c r="Q862" s="105"/>
      <c r="R862" s="106"/>
      <c r="S862" s="107"/>
      <c r="T862" s="108"/>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2"/>
      <c r="O863" s="103"/>
      <c r="P863" s="104"/>
      <c r="Q863" s="105"/>
      <c r="R863" s="106"/>
      <c r="S863" s="107"/>
      <c r="T863" s="108"/>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2"/>
      <c r="O864" s="103"/>
      <c r="P864" s="104">
        <v>1</v>
      </c>
      <c r="Q864" s="105">
        <v>0</v>
      </c>
      <c r="R864" s="106">
        <v>0</v>
      </c>
      <c r="S864" s="107">
        <v>1</v>
      </c>
      <c r="T864" s="108"/>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2"/>
      <c r="O865" s="103"/>
      <c r="P865" s="104"/>
      <c r="Q865" s="105"/>
      <c r="R865" s="106"/>
      <c r="S865" s="107"/>
      <c r="T865" s="108"/>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2"/>
      <c r="O866" s="103"/>
      <c r="P866" s="104">
        <v>0</v>
      </c>
      <c r="Q866" s="105">
        <v>1</v>
      </c>
      <c r="R866" s="106">
        <v>2</v>
      </c>
      <c r="S866" s="107">
        <v>2</v>
      </c>
      <c r="T866" s="108"/>
      <c r="V866" s="4" t="s">
        <v>9459</v>
      </c>
    </row>
    <row r="867" spans="1:40" ht="96" x14ac:dyDescent="0.2">
      <c r="A867" s="1" t="s">
        <v>9422</v>
      </c>
      <c r="B867" s="1" t="s">
        <v>9460</v>
      </c>
      <c r="C867" s="1" t="s">
        <v>9426</v>
      </c>
      <c r="D867" s="48">
        <v>66</v>
      </c>
      <c r="E867" s="1">
        <v>1</v>
      </c>
      <c r="F867" s="1" t="s">
        <v>9423</v>
      </c>
      <c r="G867" s="1" t="s">
        <v>9561</v>
      </c>
      <c r="I867" s="1" t="s">
        <v>125</v>
      </c>
      <c r="M867" s="18">
        <v>1</v>
      </c>
      <c r="N867" s="54" t="s">
        <v>9529</v>
      </c>
      <c r="V867" s="4" t="s">
        <v>9523</v>
      </c>
      <c r="X867" s="1" t="s">
        <v>9461</v>
      </c>
      <c r="Y867" s="1" t="s">
        <v>9561</v>
      </c>
      <c r="AA867" s="1" t="s">
        <v>125</v>
      </c>
      <c r="AE867" s="1">
        <v>1</v>
      </c>
      <c r="AF867" s="54" t="s">
        <v>9530</v>
      </c>
      <c r="AL867" s="60" t="s">
        <v>799</v>
      </c>
      <c r="AN867" s="4" t="s">
        <v>9462</v>
      </c>
    </row>
    <row r="868" spans="1:40" ht="96" x14ac:dyDescent="0.2">
      <c r="A868" s="1" t="s">
        <v>9422</v>
      </c>
      <c r="B868" s="1" t="s">
        <v>9463</v>
      </c>
      <c r="C868" s="1" t="s">
        <v>9426</v>
      </c>
      <c r="D868" s="48">
        <v>67</v>
      </c>
      <c r="E868" s="1">
        <v>1</v>
      </c>
      <c r="F868" s="1" t="s">
        <v>9423</v>
      </c>
      <c r="G868" s="1" t="s">
        <v>9620</v>
      </c>
      <c r="I868" s="1" t="s">
        <v>125</v>
      </c>
      <c r="M868" s="18">
        <v>2</v>
      </c>
      <c r="N868" s="54" t="s">
        <v>9529</v>
      </c>
      <c r="V868" s="4" t="s">
        <v>9464</v>
      </c>
      <c r="Y868" s="1" t="s">
        <v>9620</v>
      </c>
      <c r="AA868" s="1" t="s">
        <v>125</v>
      </c>
      <c r="AE868" s="1">
        <v>2</v>
      </c>
      <c r="AF868" s="54" t="s">
        <v>9530</v>
      </c>
      <c r="AL868" s="60" t="s">
        <v>799</v>
      </c>
      <c r="AN868" s="4" t="s">
        <v>9465</v>
      </c>
    </row>
    <row r="869" spans="1:40" ht="48" x14ac:dyDescent="0.2">
      <c r="A869" s="1" t="s">
        <v>9422</v>
      </c>
      <c r="B869" s="1" t="s">
        <v>9466</v>
      </c>
      <c r="C869" s="1" t="s">
        <v>9426</v>
      </c>
      <c r="D869" s="48">
        <v>68</v>
      </c>
      <c r="E869" s="1">
        <v>1</v>
      </c>
      <c r="F869" s="1" t="s">
        <v>9423</v>
      </c>
      <c r="G869" s="1" t="s">
        <v>9467</v>
      </c>
      <c r="H869" s="1" t="s">
        <v>26</v>
      </c>
      <c r="I869" s="1" t="s">
        <v>88</v>
      </c>
      <c r="K869" s="1" t="s">
        <v>283</v>
      </c>
      <c r="L869" s="2" t="s">
        <v>9468</v>
      </c>
      <c r="P869" s="56">
        <v>0</v>
      </c>
      <c r="Q869" s="57">
        <v>1</v>
      </c>
      <c r="R869" s="58">
        <v>2</v>
      </c>
      <c r="S869" s="59">
        <v>3</v>
      </c>
      <c r="V869" s="4" t="s">
        <v>9469</v>
      </c>
    </row>
    <row r="870" spans="1:40" ht="36" x14ac:dyDescent="0.2">
      <c r="A870" s="1" t="s">
        <v>9422</v>
      </c>
      <c r="B870" s="1" t="s">
        <v>9470</v>
      </c>
      <c r="C870" s="1" t="s">
        <v>9426</v>
      </c>
      <c r="D870" s="48">
        <v>69</v>
      </c>
      <c r="E870" s="1">
        <v>1</v>
      </c>
      <c r="F870" s="1" t="s">
        <v>9423</v>
      </c>
      <c r="G870" s="1" t="s">
        <v>9471</v>
      </c>
      <c r="H870" s="1" t="s">
        <v>26</v>
      </c>
      <c r="I870" s="1" t="s">
        <v>104</v>
      </c>
      <c r="K870" s="1" t="s">
        <v>2428</v>
      </c>
      <c r="L870" s="2" t="s">
        <v>9472</v>
      </c>
      <c r="O870" s="55">
        <v>1</v>
      </c>
      <c r="T870" s="60">
        <v>4</v>
      </c>
      <c r="U870" s="1">
        <v>4</v>
      </c>
      <c r="V870" s="4" t="s">
        <v>9473</v>
      </c>
    </row>
    <row r="871" spans="1:40" ht="48" x14ac:dyDescent="0.2">
      <c r="A871" s="1" t="s">
        <v>9422</v>
      </c>
      <c r="B871" s="1" t="s">
        <v>9474</v>
      </c>
      <c r="C871" s="1" t="s">
        <v>9426</v>
      </c>
      <c r="D871" s="48">
        <v>70</v>
      </c>
      <c r="E871" s="1">
        <v>1</v>
      </c>
      <c r="F871" s="1" t="s">
        <v>9423</v>
      </c>
      <c r="G871" s="1" t="s">
        <v>9475</v>
      </c>
      <c r="H871" s="1" t="s">
        <v>26</v>
      </c>
      <c r="I871" s="1" t="s">
        <v>94</v>
      </c>
      <c r="K871" s="1" t="s">
        <v>9476</v>
      </c>
      <c r="L871" s="2" t="s">
        <v>112</v>
      </c>
      <c r="N871" s="54">
        <v>50</v>
      </c>
      <c r="O871" s="55" t="s">
        <v>113</v>
      </c>
      <c r="Q871" s="57">
        <v>5</v>
      </c>
      <c r="R871" s="58">
        <v>4</v>
      </c>
      <c r="S871" s="59">
        <v>7</v>
      </c>
      <c r="V871" s="4" t="s">
        <v>9477</v>
      </c>
    </row>
    <row r="872" spans="1:40" ht="48" x14ac:dyDescent="0.2">
      <c r="A872" s="1" t="s">
        <v>9422</v>
      </c>
      <c r="B872" s="1" t="s">
        <v>9478</v>
      </c>
      <c r="C872" s="1" t="s">
        <v>9426</v>
      </c>
      <c r="D872" s="48">
        <v>71</v>
      </c>
      <c r="E872" s="1">
        <v>1</v>
      </c>
      <c r="F872" s="1" t="s">
        <v>9423</v>
      </c>
      <c r="G872" s="1" t="s">
        <v>9479</v>
      </c>
      <c r="H872" s="1" t="s">
        <v>26</v>
      </c>
      <c r="I872" s="1" t="s">
        <v>104</v>
      </c>
      <c r="K872" s="1" t="s">
        <v>9480</v>
      </c>
      <c r="L872" s="2" t="s">
        <v>9481</v>
      </c>
      <c r="O872" s="55">
        <v>2</v>
      </c>
      <c r="T872" s="60">
        <v>10</v>
      </c>
      <c r="V872" s="4" t="s">
        <v>9482</v>
      </c>
    </row>
    <row r="873" spans="1:40" ht="24" x14ac:dyDescent="0.2">
      <c r="A873" s="1" t="s">
        <v>9422</v>
      </c>
      <c r="B873" s="1" t="s">
        <v>9483</v>
      </c>
      <c r="C873" s="1" t="s">
        <v>9426</v>
      </c>
      <c r="D873" s="48">
        <v>72</v>
      </c>
      <c r="E873" s="1">
        <v>4</v>
      </c>
      <c r="F873" s="1" t="s">
        <v>9423</v>
      </c>
      <c r="G873" s="1" t="s">
        <v>9484</v>
      </c>
      <c r="I873" s="1" t="s">
        <v>94</v>
      </c>
      <c r="K873" s="1" t="s">
        <v>9485</v>
      </c>
      <c r="N873" s="54">
        <v>40</v>
      </c>
      <c r="O873" s="55">
        <v>2</v>
      </c>
      <c r="Q873" s="57">
        <v>3</v>
      </c>
      <c r="R873" s="58">
        <v>2</v>
      </c>
      <c r="S873" s="59">
        <v>4</v>
      </c>
      <c r="V873" s="4" t="s">
        <v>9486</v>
      </c>
    </row>
    <row r="874" spans="1:40" ht="36" x14ac:dyDescent="0.2">
      <c r="A874" s="1" t="s">
        <v>9422</v>
      </c>
      <c r="B874" s="1" t="s">
        <v>9487</v>
      </c>
      <c r="C874" s="1" t="s">
        <v>9426</v>
      </c>
      <c r="D874" s="48">
        <v>73</v>
      </c>
      <c r="E874" s="1">
        <v>2</v>
      </c>
      <c r="F874" s="1" t="s">
        <v>9423</v>
      </c>
      <c r="G874" s="1" t="s">
        <v>9488</v>
      </c>
      <c r="I874" s="1" t="s">
        <v>94</v>
      </c>
      <c r="K874" s="1" t="s">
        <v>944</v>
      </c>
      <c r="N874" s="54">
        <v>30</v>
      </c>
      <c r="O874" s="55">
        <v>3</v>
      </c>
      <c r="Q874" s="57">
        <v>5</v>
      </c>
      <c r="R874" s="58">
        <v>4</v>
      </c>
      <c r="S874" s="59">
        <v>5</v>
      </c>
      <c r="V874" s="4" t="s">
        <v>9489</v>
      </c>
      <c r="W874" s="4" t="s">
        <v>10409</v>
      </c>
    </row>
    <row r="875" spans="1:40" ht="24" x14ac:dyDescent="0.2">
      <c r="A875" s="1" t="s">
        <v>9422</v>
      </c>
      <c r="B875" s="1" t="s">
        <v>9490</v>
      </c>
      <c r="C875" s="1" t="s">
        <v>9426</v>
      </c>
      <c r="D875" s="48">
        <v>74</v>
      </c>
      <c r="E875" s="1">
        <v>2</v>
      </c>
      <c r="F875" s="1" t="s">
        <v>9423</v>
      </c>
      <c r="G875" s="1" t="s">
        <v>9491</v>
      </c>
      <c r="I875" s="1" t="s">
        <v>104</v>
      </c>
      <c r="K875" s="1" t="s">
        <v>9492</v>
      </c>
      <c r="L875" s="2" t="s">
        <v>9493</v>
      </c>
      <c r="O875" s="55">
        <v>3</v>
      </c>
      <c r="T875" s="60">
        <v>1</v>
      </c>
      <c r="V875" s="4" t="s">
        <v>9494</v>
      </c>
    </row>
    <row r="876" spans="1:40" ht="60" x14ac:dyDescent="0.2">
      <c r="A876" s="1" t="s">
        <v>9422</v>
      </c>
      <c r="B876" s="1" t="s">
        <v>9495</v>
      </c>
      <c r="C876" s="1" t="s">
        <v>9426</v>
      </c>
      <c r="D876" s="48">
        <v>75</v>
      </c>
      <c r="E876" s="1">
        <v>2</v>
      </c>
      <c r="F876" s="1" t="s">
        <v>9423</v>
      </c>
      <c r="G876" s="1" t="s">
        <v>9496</v>
      </c>
      <c r="I876" s="1" t="s">
        <v>104</v>
      </c>
      <c r="K876" s="1" t="s">
        <v>2428</v>
      </c>
      <c r="L876" s="2" t="s">
        <v>155</v>
      </c>
      <c r="O876" s="55">
        <v>1</v>
      </c>
      <c r="T876" s="60">
        <v>1</v>
      </c>
      <c r="V876" s="4" t="s">
        <v>9497</v>
      </c>
    </row>
    <row r="877" spans="1:40" ht="72" x14ac:dyDescent="0.2">
      <c r="A877" s="1" t="s">
        <v>9422</v>
      </c>
      <c r="B877" s="1" t="s">
        <v>9498</v>
      </c>
      <c r="C877" s="1" t="s">
        <v>9426</v>
      </c>
      <c r="D877" s="48">
        <v>76</v>
      </c>
      <c r="E877" s="1">
        <v>2</v>
      </c>
      <c r="F877" s="1" t="s">
        <v>9423</v>
      </c>
      <c r="G877" s="1" t="s">
        <v>9499</v>
      </c>
      <c r="I877" s="1" t="s">
        <v>104</v>
      </c>
      <c r="K877" s="1" t="s">
        <v>9500</v>
      </c>
      <c r="O877" s="55">
        <v>1</v>
      </c>
      <c r="T877" s="60">
        <v>5</v>
      </c>
      <c r="V877" s="4" t="s">
        <v>9501</v>
      </c>
    </row>
    <row r="878" spans="1:40" ht="24" x14ac:dyDescent="0.2">
      <c r="A878" s="1" t="s">
        <v>9422</v>
      </c>
      <c r="B878" s="1" t="s">
        <v>9502</v>
      </c>
      <c r="C878" s="1" t="s">
        <v>9426</v>
      </c>
      <c r="D878" s="48">
        <v>77</v>
      </c>
      <c r="E878" s="1">
        <v>2</v>
      </c>
      <c r="F878" s="1" t="s">
        <v>9423</v>
      </c>
      <c r="G878" s="1" t="s">
        <v>9503</v>
      </c>
      <c r="I878" s="1" t="s">
        <v>104</v>
      </c>
      <c r="K878" s="1" t="s">
        <v>2428</v>
      </c>
      <c r="O878" s="55">
        <v>3</v>
      </c>
      <c r="T878" s="60">
        <v>3</v>
      </c>
      <c r="V878" s="4" t="s">
        <v>9504</v>
      </c>
      <c r="W878" s="4" t="s">
        <v>10410</v>
      </c>
    </row>
    <row r="879" spans="1:40" ht="60" x14ac:dyDescent="0.2">
      <c r="A879" s="1" t="s">
        <v>9422</v>
      </c>
      <c r="B879" s="1" t="s">
        <v>9505</v>
      </c>
      <c r="C879" s="1" t="s">
        <v>9426</v>
      </c>
      <c r="D879" s="48">
        <v>78</v>
      </c>
      <c r="E879" s="1">
        <v>2</v>
      </c>
      <c r="F879" s="1" t="s">
        <v>9423</v>
      </c>
      <c r="G879" s="1" t="s">
        <v>9506</v>
      </c>
      <c r="I879" s="1" t="s">
        <v>104</v>
      </c>
      <c r="K879" s="1" t="s">
        <v>2428</v>
      </c>
      <c r="O879" s="55">
        <v>3</v>
      </c>
      <c r="T879" s="60">
        <v>5</v>
      </c>
      <c r="V879" s="4" t="s">
        <v>9507</v>
      </c>
    </row>
    <row r="880" spans="1:40" ht="60" x14ac:dyDescent="0.2">
      <c r="A880" s="1" t="s">
        <v>9422</v>
      </c>
      <c r="B880" s="1" t="s">
        <v>9508</v>
      </c>
      <c r="C880" s="1" t="s">
        <v>9426</v>
      </c>
      <c r="D880" s="48">
        <v>79</v>
      </c>
      <c r="E880" s="1">
        <v>2</v>
      </c>
      <c r="F880" s="1" t="s">
        <v>9423</v>
      </c>
      <c r="G880" s="1" t="s">
        <v>9509</v>
      </c>
      <c r="I880" s="1" t="s">
        <v>104</v>
      </c>
      <c r="K880" s="1" t="s">
        <v>2428</v>
      </c>
      <c r="O880" s="55">
        <v>2</v>
      </c>
      <c r="T880" s="60">
        <v>3</v>
      </c>
      <c r="V880" s="4" t="s">
        <v>9510</v>
      </c>
    </row>
    <row r="881" spans="1:48" ht="48" x14ac:dyDescent="0.2">
      <c r="A881" s="1" t="s">
        <v>9422</v>
      </c>
      <c r="B881" s="1" t="s">
        <v>9511</v>
      </c>
      <c r="C881" s="1" t="s">
        <v>9426</v>
      </c>
      <c r="D881" s="48">
        <v>80</v>
      </c>
      <c r="E881" s="1">
        <v>2</v>
      </c>
      <c r="F881" s="1" t="s">
        <v>9423</v>
      </c>
      <c r="G881" s="1" t="s">
        <v>9512</v>
      </c>
      <c r="I881" s="1" t="s">
        <v>82</v>
      </c>
      <c r="V881" s="4" t="s">
        <v>9513</v>
      </c>
    </row>
    <row r="882" spans="1:48" ht="36" x14ac:dyDescent="0.2">
      <c r="A882" s="1" t="s">
        <v>9422</v>
      </c>
      <c r="B882" s="1" t="s">
        <v>9514</v>
      </c>
      <c r="C882" s="1" t="s">
        <v>9426</v>
      </c>
      <c r="D882" s="48">
        <v>81</v>
      </c>
      <c r="E882" s="1">
        <v>2</v>
      </c>
      <c r="F882" s="1" t="s">
        <v>9423</v>
      </c>
      <c r="G882" s="1" t="s">
        <v>9515</v>
      </c>
      <c r="I882" s="1" t="s">
        <v>82</v>
      </c>
      <c r="V882" s="4" t="s">
        <v>9516</v>
      </c>
      <c r="W882" s="4" t="s">
        <v>10411</v>
      </c>
    </row>
    <row r="883" spans="1:48" ht="36" x14ac:dyDescent="0.2">
      <c r="A883" s="1" t="s">
        <v>9422</v>
      </c>
      <c r="B883" s="1" t="s">
        <v>9517</v>
      </c>
      <c r="C883" s="1" t="s">
        <v>9426</v>
      </c>
      <c r="D883" s="48">
        <v>82</v>
      </c>
      <c r="E883" s="1">
        <v>2</v>
      </c>
      <c r="F883" s="1" t="s">
        <v>9423</v>
      </c>
      <c r="G883" s="1" t="s">
        <v>9518</v>
      </c>
      <c r="I883" s="1" t="s">
        <v>82</v>
      </c>
      <c r="V883" s="4" t="s">
        <v>9519</v>
      </c>
      <c r="W883" s="4" t="s">
        <v>10411</v>
      </c>
    </row>
    <row r="884" spans="1:48" ht="48" x14ac:dyDescent="0.2">
      <c r="A884" s="1" t="s">
        <v>9422</v>
      </c>
      <c r="B884" s="1" t="s">
        <v>9520</v>
      </c>
      <c r="C884" s="1" t="s">
        <v>9426</v>
      </c>
      <c r="D884" s="48">
        <v>83</v>
      </c>
      <c r="E884" s="1">
        <v>2</v>
      </c>
      <c r="F884" s="1" t="s">
        <v>9423</v>
      </c>
      <c r="G884" s="1" t="s">
        <v>9521</v>
      </c>
      <c r="I884" s="1" t="s">
        <v>82</v>
      </c>
      <c r="V884" s="4" t="s">
        <v>9522</v>
      </c>
      <c r="W884" s="4" t="s">
        <v>10412</v>
      </c>
    </row>
    <row r="885" spans="1:48" ht="24" x14ac:dyDescent="0.2">
      <c r="A885" s="109" t="s">
        <v>11094</v>
      </c>
      <c r="B885" s="109" t="s">
        <v>11097</v>
      </c>
      <c r="C885" s="109" t="s">
        <v>11098</v>
      </c>
      <c r="D885" s="109">
        <v>84</v>
      </c>
      <c r="E885" s="109">
        <v>1</v>
      </c>
      <c r="F885" s="109"/>
      <c r="G885" s="109" t="s">
        <v>1583</v>
      </c>
      <c r="H885" s="1" t="s">
        <v>26</v>
      </c>
      <c r="I885" s="1" t="s">
        <v>27</v>
      </c>
      <c r="J885" s="1" t="s">
        <v>50</v>
      </c>
      <c r="K885" s="4" t="s">
        <v>2103</v>
      </c>
      <c r="L885" s="4"/>
      <c r="M885" s="18">
        <v>10</v>
      </c>
      <c r="P885" s="56">
        <v>2</v>
      </c>
      <c r="Q885" s="57">
        <v>2</v>
      </c>
      <c r="R885" s="58">
        <v>2</v>
      </c>
      <c r="S885" s="59">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6">
        <v>0</v>
      </c>
      <c r="Q888" s="57">
        <v>2</v>
      </c>
      <c r="R888" s="58">
        <v>0</v>
      </c>
      <c r="S888" s="59">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6">
        <v>2</v>
      </c>
      <c r="Q890" s="57">
        <v>0</v>
      </c>
      <c r="R890" s="58">
        <v>1</v>
      </c>
      <c r="S890" s="59">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6">
        <v>1</v>
      </c>
      <c r="Q892" s="57">
        <v>0</v>
      </c>
      <c r="R892" s="58">
        <v>0</v>
      </c>
      <c r="S892" s="59">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1" t="s">
        <v>11094</v>
      </c>
      <c r="B895" s="111" t="s">
        <v>11131</v>
      </c>
      <c r="C895" s="111" t="s">
        <v>11098</v>
      </c>
      <c r="D895" s="111">
        <v>94</v>
      </c>
      <c r="E895" s="111">
        <v>1</v>
      </c>
      <c r="F895" s="111" t="s">
        <v>11095</v>
      </c>
      <c r="G895" s="111" t="s">
        <v>11132</v>
      </c>
      <c r="I895" s="1" t="s">
        <v>125</v>
      </c>
      <c r="K895" s="4"/>
      <c r="L895" s="4"/>
      <c r="M895" s="18">
        <v>1</v>
      </c>
      <c r="N895" s="54" t="s">
        <v>9529</v>
      </c>
      <c r="V895" s="4" t="s">
        <v>11133</v>
      </c>
      <c r="X895" s="1" t="s">
        <v>1672</v>
      </c>
      <c r="Y895" s="1" t="s">
        <v>11132</v>
      </c>
      <c r="AA895" s="1" t="s">
        <v>125</v>
      </c>
      <c r="AE895" s="1">
        <v>1</v>
      </c>
      <c r="AF895" s="54" t="s">
        <v>9530</v>
      </c>
      <c r="AL895" s="60">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4" t="s">
        <v>9529</v>
      </c>
      <c r="V896" s="4" t="s">
        <v>11137</v>
      </c>
      <c r="Y896" s="1" t="s">
        <v>11138</v>
      </c>
      <c r="AA896" s="1" t="s">
        <v>125</v>
      </c>
      <c r="AE896" s="1">
        <v>2</v>
      </c>
      <c r="AF896" s="54" t="s">
        <v>9530</v>
      </c>
      <c r="AL896" s="60">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4" t="s">
        <v>9529</v>
      </c>
      <c r="V897" s="4" t="s">
        <v>11137</v>
      </c>
      <c r="Y897" s="1" t="s">
        <v>11141</v>
      </c>
      <c r="AA897" s="1" t="s">
        <v>125</v>
      </c>
      <c r="AE897" s="1">
        <v>2</v>
      </c>
      <c r="AF897" s="54" t="s">
        <v>9530</v>
      </c>
      <c r="AL897" s="60">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4" t="s">
        <v>9529</v>
      </c>
      <c r="V898" s="4" t="s">
        <v>11137</v>
      </c>
      <c r="Y898" s="1" t="s">
        <v>11144</v>
      </c>
      <c r="AA898" s="1" t="s">
        <v>125</v>
      </c>
      <c r="AE898" s="1">
        <v>2</v>
      </c>
      <c r="AF898" s="54" t="s">
        <v>9530</v>
      </c>
      <c r="AL898" s="60">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4" t="s">
        <v>9529</v>
      </c>
      <c r="V899" s="4" t="s">
        <v>11191</v>
      </c>
      <c r="Y899" s="1" t="s">
        <v>11148</v>
      </c>
      <c r="AA899" s="1" t="s">
        <v>125</v>
      </c>
      <c r="AE899" s="1">
        <v>3</v>
      </c>
      <c r="AF899" s="54" t="s">
        <v>9530</v>
      </c>
      <c r="AL899" s="60">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4" t="s">
        <v>9529</v>
      </c>
      <c r="V900" s="4" t="s">
        <v>11191</v>
      </c>
      <c r="Y900" s="1" t="s">
        <v>11151</v>
      </c>
      <c r="AA900" s="1" t="s">
        <v>125</v>
      </c>
      <c r="AE900" s="1">
        <v>3</v>
      </c>
      <c r="AF900" s="54" t="s">
        <v>9530</v>
      </c>
      <c r="AL900" s="60">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4" t="s">
        <v>9529</v>
      </c>
      <c r="V901" s="4" t="s">
        <v>11191</v>
      </c>
      <c r="Y901" s="1" t="s">
        <v>11154</v>
      </c>
      <c r="AA901" s="1" t="s">
        <v>125</v>
      </c>
      <c r="AE901" s="1">
        <v>3</v>
      </c>
      <c r="AF901" s="54" t="s">
        <v>9530</v>
      </c>
      <c r="AL901" s="60">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4" t="s">
        <v>9529</v>
      </c>
      <c r="V902" s="4" t="s">
        <v>11158</v>
      </c>
      <c r="Y902" s="1" t="s">
        <v>11157</v>
      </c>
      <c r="AA902" s="1" t="s">
        <v>125</v>
      </c>
      <c r="AE902" s="1">
        <v>4</v>
      </c>
      <c r="AF902" s="54" t="s">
        <v>9530</v>
      </c>
      <c r="AL902" s="60"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6">
        <v>0</v>
      </c>
      <c r="Q903" s="57">
        <v>1</v>
      </c>
      <c r="R903" s="58">
        <v>2</v>
      </c>
      <c r="S903" s="59">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4">
        <v>45</v>
      </c>
      <c r="O904" s="55">
        <v>3</v>
      </c>
      <c r="Q904" s="57">
        <v>6</v>
      </c>
      <c r="R904" s="58">
        <v>4</v>
      </c>
      <c r="S904" s="59">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4">
        <v>35</v>
      </c>
      <c r="O905" s="55">
        <v>3</v>
      </c>
      <c r="Q905" s="57">
        <v>3</v>
      </c>
      <c r="R905" s="58">
        <v>3</v>
      </c>
      <c r="S905" s="59">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4">
        <v>20</v>
      </c>
      <c r="O906" s="55">
        <v>2</v>
      </c>
      <c r="Q906" s="57">
        <v>1</v>
      </c>
      <c r="R906" s="58">
        <v>1</v>
      </c>
      <c r="S906" s="59">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5">
        <v>2</v>
      </c>
      <c r="T907" s="60">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5">
        <v>3</v>
      </c>
      <c r="T908" s="60">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5">
        <v>3</v>
      </c>
      <c r="T909" s="60">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5">
        <v>1</v>
      </c>
      <c r="T910" s="60">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9" t="s">
        <v>11195</v>
      </c>
      <c r="B913" s="109" t="s">
        <v>11196</v>
      </c>
      <c r="C913" s="109" t="s">
        <v>11197</v>
      </c>
      <c r="D913" s="109">
        <v>112</v>
      </c>
      <c r="E913" s="109">
        <v>1</v>
      </c>
      <c r="F913" s="109"/>
      <c r="G913" s="109" t="s">
        <v>10689</v>
      </c>
      <c r="H913" s="1" t="s">
        <v>26</v>
      </c>
      <c r="I913" s="1" t="s">
        <v>27</v>
      </c>
      <c r="J913" s="1" t="s">
        <v>57</v>
      </c>
      <c r="K913" s="4" t="s">
        <v>3088</v>
      </c>
      <c r="L913" s="4"/>
      <c r="M913" s="18">
        <v>9</v>
      </c>
      <c r="P913" s="56">
        <v>4</v>
      </c>
      <c r="Q913" s="57">
        <v>0</v>
      </c>
      <c r="R913" s="58">
        <v>0</v>
      </c>
      <c r="S913" s="59">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6">
        <v>2</v>
      </c>
      <c r="Q915" s="57">
        <v>2</v>
      </c>
      <c r="R915" s="58">
        <v>0</v>
      </c>
      <c r="S915" s="59">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6">
        <v>0</v>
      </c>
      <c r="Q916" s="57">
        <v>2</v>
      </c>
      <c r="R916" s="58">
        <v>2</v>
      </c>
      <c r="S916" s="59">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6">
        <v>2</v>
      </c>
      <c r="Q918" s="57">
        <v>0</v>
      </c>
      <c r="R918" s="58">
        <v>1</v>
      </c>
      <c r="S918" s="59">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6">
        <v>2</v>
      </c>
      <c r="Q920" s="57">
        <v>2</v>
      </c>
      <c r="R920" s="58">
        <v>2</v>
      </c>
      <c r="S920" s="59">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1" t="s">
        <v>11195</v>
      </c>
      <c r="B923" s="111" t="s">
        <v>11229</v>
      </c>
      <c r="C923" s="111" t="s">
        <v>11197</v>
      </c>
      <c r="D923" s="111">
        <v>122</v>
      </c>
      <c r="E923" s="111">
        <v>1</v>
      </c>
      <c r="F923" s="111" t="s">
        <v>11230</v>
      </c>
      <c r="G923" s="111" t="s">
        <v>11231</v>
      </c>
      <c r="I923" s="1" t="s">
        <v>125</v>
      </c>
      <c r="K923" s="4"/>
      <c r="L923" s="4"/>
      <c r="M923" s="18">
        <v>1</v>
      </c>
      <c r="N923" s="54" t="s">
        <v>9529</v>
      </c>
      <c r="V923" s="4" t="s">
        <v>11232</v>
      </c>
      <c r="X923" s="1" t="s">
        <v>753</v>
      </c>
      <c r="Y923" s="1" t="s">
        <v>11231</v>
      </c>
      <c r="AA923" s="1" t="s">
        <v>125</v>
      </c>
      <c r="AE923" s="1">
        <v>1</v>
      </c>
      <c r="AF923" s="54" t="s">
        <v>9530</v>
      </c>
      <c r="AL923" s="60">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4" t="s">
        <v>9529</v>
      </c>
      <c r="V924" s="4" t="s">
        <v>11236</v>
      </c>
      <c r="Y924" s="1" t="s">
        <v>11235</v>
      </c>
      <c r="AA924" s="1" t="s">
        <v>125</v>
      </c>
      <c r="AE924" s="1">
        <v>2</v>
      </c>
      <c r="AF924" s="54" t="s">
        <v>9530</v>
      </c>
      <c r="AL924" s="60">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4">
        <v>50</v>
      </c>
      <c r="O925" s="55" t="s">
        <v>113</v>
      </c>
      <c r="Q925" s="57">
        <v>5</v>
      </c>
      <c r="R925" s="58">
        <v>4</v>
      </c>
      <c r="S925" s="59">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5" t="s">
        <v>113</v>
      </c>
      <c r="T927" s="60">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4">
        <v>40</v>
      </c>
      <c r="O929" s="55">
        <v>2</v>
      </c>
      <c r="Q929" s="57">
        <v>3</v>
      </c>
      <c r="R929" s="58">
        <v>2</v>
      </c>
      <c r="S929" s="59">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4">
        <v>45</v>
      </c>
      <c r="O930" s="55">
        <v>3</v>
      </c>
      <c r="Q930" s="57">
        <v>5</v>
      </c>
      <c r="R930" s="58">
        <v>3</v>
      </c>
      <c r="S930" s="59">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5">
        <v>2</v>
      </c>
      <c r="T931" s="60">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5">
        <v>1</v>
      </c>
      <c r="T932" s="60">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5">
        <v>2</v>
      </c>
      <c r="T933" s="60">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5">
        <v>3</v>
      </c>
      <c r="T934" s="60">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24" x14ac:dyDescent="0.2">
      <c r="A938" s="109" t="s">
        <v>11451</v>
      </c>
      <c r="B938" s="109" t="s">
        <v>11452</v>
      </c>
      <c r="C938" s="109" t="s">
        <v>11453</v>
      </c>
      <c r="D938" s="109">
        <v>137</v>
      </c>
      <c r="E938" s="109">
        <v>1</v>
      </c>
      <c r="F938" s="109"/>
      <c r="G938" s="109" t="s">
        <v>11454</v>
      </c>
      <c r="H938" s="1" t="s">
        <v>26</v>
      </c>
      <c r="I938" s="1" t="s">
        <v>27</v>
      </c>
      <c r="J938" s="1" t="s">
        <v>28</v>
      </c>
      <c r="K938" s="4" t="s">
        <v>368</v>
      </c>
      <c r="L938" s="4" t="s">
        <v>52</v>
      </c>
      <c r="M938" s="18">
        <v>10</v>
      </c>
      <c r="P938" s="56">
        <v>1</v>
      </c>
      <c r="Q938" s="57">
        <v>2</v>
      </c>
      <c r="R938" s="58">
        <v>3</v>
      </c>
      <c r="S938" s="59">
        <v>4</v>
      </c>
      <c r="V938" s="4" t="s">
        <v>11455</v>
      </c>
      <c r="AP938" s="1"/>
    </row>
    <row r="939" spans="1:42" x14ac:dyDescent="0.2">
      <c r="A939" s="1" t="s">
        <v>11451</v>
      </c>
      <c r="B939" s="1" t="s">
        <v>11456</v>
      </c>
      <c r="C939" s="1" t="s">
        <v>11453</v>
      </c>
      <c r="D939" s="1">
        <v>138</v>
      </c>
      <c r="E939" s="1">
        <v>3</v>
      </c>
      <c r="G939" s="1" t="s">
        <v>11457</v>
      </c>
      <c r="I939" s="1" t="s">
        <v>38</v>
      </c>
      <c r="J939" s="1" t="s">
        <v>28</v>
      </c>
      <c r="K939" s="4" t="s">
        <v>368</v>
      </c>
      <c r="L939" s="4" t="s">
        <v>52</v>
      </c>
      <c r="M939" s="18">
        <v>3</v>
      </c>
      <c r="P939" s="56">
        <v>0</v>
      </c>
      <c r="Q939" s="57">
        <v>1</v>
      </c>
      <c r="R939" s="58">
        <v>3</v>
      </c>
      <c r="S939" s="59">
        <v>2</v>
      </c>
      <c r="AP939" s="1"/>
    </row>
    <row r="940" spans="1:42" ht="36" x14ac:dyDescent="0.2">
      <c r="A940" s="1" t="s">
        <v>11451</v>
      </c>
      <c r="B940" s="1" t="s">
        <v>11458</v>
      </c>
      <c r="C940" s="1" t="s">
        <v>11453</v>
      </c>
      <c r="D940" s="1">
        <v>139</v>
      </c>
      <c r="E940" s="1">
        <v>3</v>
      </c>
      <c r="G940" s="1" t="s">
        <v>11459</v>
      </c>
      <c r="H940" s="1" t="s">
        <v>26</v>
      </c>
      <c r="I940" s="1" t="s">
        <v>56</v>
      </c>
      <c r="J940" s="1" t="s">
        <v>28</v>
      </c>
      <c r="K940" s="4" t="s">
        <v>324</v>
      </c>
      <c r="L940" s="4" t="s">
        <v>11460</v>
      </c>
      <c r="M940" s="18">
        <v>1</v>
      </c>
      <c r="V940" s="4" t="s">
        <v>11461</v>
      </c>
      <c r="AP940" s="1"/>
    </row>
    <row r="941" spans="1:42" ht="36" x14ac:dyDescent="0.2">
      <c r="A941" s="1" t="s">
        <v>11451</v>
      </c>
      <c r="B941" s="1" t="s">
        <v>11462</v>
      </c>
      <c r="C941" s="1" t="s">
        <v>11453</v>
      </c>
      <c r="D941" s="1">
        <v>140</v>
      </c>
      <c r="E941" s="1">
        <v>3</v>
      </c>
      <c r="G941" s="1" t="s">
        <v>11463</v>
      </c>
      <c r="H941" s="1" t="s">
        <v>26</v>
      </c>
      <c r="I941" s="1" t="s">
        <v>56</v>
      </c>
      <c r="J941" s="1" t="s">
        <v>50</v>
      </c>
      <c r="K941" s="4" t="s">
        <v>298</v>
      </c>
      <c r="L941" s="4" t="s">
        <v>11464</v>
      </c>
      <c r="M941" s="18">
        <v>1</v>
      </c>
      <c r="V941" s="4" t="s">
        <v>11465</v>
      </c>
      <c r="AP941" s="1"/>
    </row>
    <row r="942" spans="1:42" ht="24" x14ac:dyDescent="0.2">
      <c r="A942" s="1" t="s">
        <v>11451</v>
      </c>
      <c r="B942" s="1" t="s">
        <v>11466</v>
      </c>
      <c r="C942" s="1" t="s">
        <v>11453</v>
      </c>
      <c r="D942" s="1">
        <v>141</v>
      </c>
      <c r="E942" s="1">
        <v>3</v>
      </c>
      <c r="G942" s="1" t="s">
        <v>11467</v>
      </c>
      <c r="I942" s="1" t="s">
        <v>38</v>
      </c>
      <c r="J942" s="1" t="s">
        <v>50</v>
      </c>
      <c r="K942" s="4" t="s">
        <v>11219</v>
      </c>
      <c r="L942" s="4" t="s">
        <v>11220</v>
      </c>
      <c r="M942" s="18">
        <v>2</v>
      </c>
      <c r="P942" s="56">
        <v>0</v>
      </c>
      <c r="Q942" s="57">
        <v>2</v>
      </c>
      <c r="R942" s="58">
        <v>2</v>
      </c>
      <c r="S942" s="59">
        <v>3</v>
      </c>
      <c r="V942" s="4" t="s">
        <v>11468</v>
      </c>
      <c r="AP942" s="1"/>
    </row>
    <row r="943" spans="1:42" ht="48" x14ac:dyDescent="0.2">
      <c r="A943" s="1" t="s">
        <v>11451</v>
      </c>
      <c r="B943" s="1" t="s">
        <v>11469</v>
      </c>
      <c r="C943" s="1" t="s">
        <v>11453</v>
      </c>
      <c r="D943" s="1">
        <v>142</v>
      </c>
      <c r="E943" s="1">
        <v>3</v>
      </c>
      <c r="G943" s="1" t="s">
        <v>11470</v>
      </c>
      <c r="I943" s="1" t="s">
        <v>63</v>
      </c>
      <c r="J943" s="1" t="s">
        <v>57</v>
      </c>
      <c r="K943" s="4"/>
      <c r="L943" s="4"/>
      <c r="M943" s="18">
        <v>2</v>
      </c>
      <c r="V943" s="4" t="s">
        <v>11471</v>
      </c>
      <c r="AP943" s="1"/>
    </row>
    <row r="944" spans="1:42" ht="24" x14ac:dyDescent="0.2">
      <c r="A944" s="1" t="s">
        <v>11451</v>
      </c>
      <c r="B944" s="1" t="s">
        <v>11472</v>
      </c>
      <c r="C944" s="1" t="s">
        <v>11453</v>
      </c>
      <c r="D944" s="1">
        <v>143</v>
      </c>
      <c r="E944" s="1">
        <v>3</v>
      </c>
      <c r="G944" s="1" t="s">
        <v>11473</v>
      </c>
      <c r="I944" s="1" t="s">
        <v>63</v>
      </c>
      <c r="J944" s="1" t="s">
        <v>57</v>
      </c>
      <c r="K944" s="4"/>
      <c r="L944" s="4" t="s">
        <v>11474</v>
      </c>
      <c r="M944" s="18">
        <v>3</v>
      </c>
      <c r="V944" s="4" t="s">
        <v>11475</v>
      </c>
      <c r="AP944" s="1"/>
    </row>
    <row r="945" spans="1:42" ht="48" x14ac:dyDescent="0.2">
      <c r="A945" s="1" t="s">
        <v>11451</v>
      </c>
      <c r="B945" s="1" t="s">
        <v>11476</v>
      </c>
      <c r="C945" s="1" t="s">
        <v>11453</v>
      </c>
      <c r="D945" s="1">
        <v>144</v>
      </c>
      <c r="E945" s="1">
        <v>3</v>
      </c>
      <c r="G945" s="1" t="s">
        <v>11477</v>
      </c>
      <c r="I945" s="1" t="s">
        <v>63</v>
      </c>
      <c r="J945" s="1" t="s">
        <v>39</v>
      </c>
      <c r="K945" s="4"/>
      <c r="L945" s="4"/>
      <c r="M945" s="18">
        <v>0</v>
      </c>
      <c r="V945" s="4" t="s">
        <v>11478</v>
      </c>
      <c r="AP945" s="1"/>
    </row>
    <row r="946" spans="1:42" x14ac:dyDescent="0.2">
      <c r="A946" s="1" t="s">
        <v>11451</v>
      </c>
      <c r="B946" s="1" t="s">
        <v>11479</v>
      </c>
      <c r="C946" s="1" t="s">
        <v>11453</v>
      </c>
      <c r="D946" s="1">
        <v>145</v>
      </c>
      <c r="E946" s="1">
        <v>3</v>
      </c>
      <c r="G946" s="1" t="s">
        <v>11480</v>
      </c>
      <c r="I946" s="1" t="s">
        <v>63</v>
      </c>
      <c r="J946" s="1" t="s">
        <v>39</v>
      </c>
      <c r="K946" s="4"/>
      <c r="L946" s="4" t="s">
        <v>2620</v>
      </c>
      <c r="M946" s="18">
        <v>3</v>
      </c>
      <c r="V946" s="4" t="s">
        <v>11481</v>
      </c>
      <c r="AP946" s="1"/>
    </row>
    <row r="947" spans="1:42" ht="60" x14ac:dyDescent="0.2">
      <c r="A947" s="1" t="s">
        <v>11451</v>
      </c>
      <c r="B947" s="1" t="s">
        <v>11482</v>
      </c>
      <c r="C947" s="1" t="s">
        <v>11453</v>
      </c>
      <c r="D947" s="1">
        <v>146</v>
      </c>
      <c r="E947" s="1">
        <v>3</v>
      </c>
      <c r="G947" s="1" t="s">
        <v>1970</v>
      </c>
      <c r="H947" s="1" t="s">
        <v>26</v>
      </c>
      <c r="I947" s="1" t="s">
        <v>38</v>
      </c>
      <c r="J947" s="1" t="s">
        <v>44</v>
      </c>
      <c r="K947" s="4" t="s">
        <v>11219</v>
      </c>
      <c r="L947" s="4" t="s">
        <v>11483</v>
      </c>
      <c r="M947" s="18">
        <v>4</v>
      </c>
      <c r="P947" s="56">
        <v>2</v>
      </c>
      <c r="Q947" s="57">
        <v>4</v>
      </c>
      <c r="R947" s="58">
        <v>3</v>
      </c>
      <c r="S947" s="59">
        <v>5</v>
      </c>
      <c r="V947" s="4" t="s">
        <v>11484</v>
      </c>
      <c r="AP947" s="1"/>
    </row>
    <row r="948" spans="1:42" ht="84" x14ac:dyDescent="0.2">
      <c r="A948" s="111" t="s">
        <v>11451</v>
      </c>
      <c r="B948" s="111" t="s">
        <v>11485</v>
      </c>
      <c r="C948" s="111" t="s">
        <v>11453</v>
      </c>
      <c r="D948" s="111">
        <v>147</v>
      </c>
      <c r="E948" s="111">
        <v>1</v>
      </c>
      <c r="F948" s="111" t="s">
        <v>9681</v>
      </c>
      <c r="G948" s="111" t="s">
        <v>11486</v>
      </c>
      <c r="I948" s="1" t="s">
        <v>125</v>
      </c>
      <c r="K948" s="4"/>
      <c r="L948" s="4"/>
      <c r="M948" s="18">
        <v>1</v>
      </c>
      <c r="N948" s="54" t="s">
        <v>9529</v>
      </c>
      <c r="V948" s="4" t="s">
        <v>11487</v>
      </c>
      <c r="X948" s="1" t="s">
        <v>11488</v>
      </c>
      <c r="Y948" s="1" t="s">
        <v>11486</v>
      </c>
      <c r="AA948" s="1" t="s">
        <v>125</v>
      </c>
      <c r="AE948" s="1">
        <v>1</v>
      </c>
      <c r="AF948" s="54" t="s">
        <v>9530</v>
      </c>
      <c r="AL948" s="60">
        <v>10</v>
      </c>
      <c r="AN948" s="4" t="s">
        <v>11489</v>
      </c>
      <c r="AP948" s="1"/>
    </row>
    <row r="949" spans="1:42" ht="60" x14ac:dyDescent="0.2">
      <c r="A949" s="1" t="s">
        <v>11451</v>
      </c>
      <c r="B949" s="1" t="s">
        <v>11490</v>
      </c>
      <c r="C949" s="1" t="s">
        <v>11453</v>
      </c>
      <c r="D949" s="1">
        <v>148</v>
      </c>
      <c r="E949" s="1">
        <v>1</v>
      </c>
      <c r="F949" s="1" t="s">
        <v>9681</v>
      </c>
      <c r="G949" s="1" t="s">
        <v>11491</v>
      </c>
      <c r="I949" s="1" t="s">
        <v>125</v>
      </c>
      <c r="K949" s="4"/>
      <c r="L949" s="4"/>
      <c r="M949" s="18">
        <v>2</v>
      </c>
      <c r="N949" s="54" t="s">
        <v>9529</v>
      </c>
      <c r="V949" s="4" t="s">
        <v>11492</v>
      </c>
      <c r="Y949" s="1" t="s">
        <v>11491</v>
      </c>
      <c r="AA949" s="1" t="s">
        <v>125</v>
      </c>
      <c r="AE949" s="1">
        <v>2</v>
      </c>
      <c r="AF949" s="54" t="s">
        <v>9530</v>
      </c>
      <c r="AL949" s="60">
        <v>15</v>
      </c>
      <c r="AN949" s="4" t="s">
        <v>11493</v>
      </c>
      <c r="AP949" s="1"/>
    </row>
    <row r="950" spans="1:42" ht="60" x14ac:dyDescent="0.2">
      <c r="A950" s="1" t="s">
        <v>11451</v>
      </c>
      <c r="B950" s="1" t="s">
        <v>11494</v>
      </c>
      <c r="C950" s="1" t="s">
        <v>11453</v>
      </c>
      <c r="D950" s="1">
        <v>149</v>
      </c>
      <c r="E950" s="1">
        <v>1</v>
      </c>
      <c r="F950" s="1" t="s">
        <v>9681</v>
      </c>
      <c r="G950" s="1" t="s">
        <v>11495</v>
      </c>
      <c r="I950" s="1" t="s">
        <v>125</v>
      </c>
      <c r="K950" s="4"/>
      <c r="L950" s="4"/>
      <c r="M950" s="18">
        <v>3</v>
      </c>
      <c r="N950" s="54" t="s">
        <v>9529</v>
      </c>
      <c r="V950" s="4" t="s">
        <v>11496</v>
      </c>
      <c r="Y950" s="1" t="s">
        <v>11495</v>
      </c>
      <c r="AA950" s="1" t="s">
        <v>125</v>
      </c>
      <c r="AE950" s="1">
        <v>3</v>
      </c>
      <c r="AF950" s="54" t="s">
        <v>9530</v>
      </c>
      <c r="AL950" s="60" t="s">
        <v>8130</v>
      </c>
      <c r="AN950" s="4" t="s">
        <v>11497</v>
      </c>
      <c r="AP950" s="1"/>
    </row>
    <row r="951" spans="1:42" ht="48" x14ac:dyDescent="0.2">
      <c r="A951" s="1" t="s">
        <v>11451</v>
      </c>
      <c r="B951" s="1" t="s">
        <v>11498</v>
      </c>
      <c r="C951" s="1" t="s">
        <v>11453</v>
      </c>
      <c r="D951" s="1">
        <v>150</v>
      </c>
      <c r="E951" s="1">
        <v>1</v>
      </c>
      <c r="F951" s="1" t="s">
        <v>9681</v>
      </c>
      <c r="G951" s="1" t="s">
        <v>5636</v>
      </c>
      <c r="H951" s="1" t="s">
        <v>26</v>
      </c>
      <c r="I951" s="1" t="s">
        <v>88</v>
      </c>
      <c r="K951" s="4" t="s">
        <v>7824</v>
      </c>
      <c r="L951" s="4" t="s">
        <v>11499</v>
      </c>
      <c r="P951" s="56">
        <v>1</v>
      </c>
      <c r="Q951" s="57">
        <v>3</v>
      </c>
      <c r="R951" s="58">
        <v>2</v>
      </c>
      <c r="S951" s="59">
        <v>5</v>
      </c>
      <c r="V951" s="4" t="s">
        <v>11500</v>
      </c>
      <c r="AP951" s="1"/>
    </row>
    <row r="952" spans="1:42" ht="36" x14ac:dyDescent="0.2">
      <c r="A952" s="1" t="s">
        <v>11451</v>
      </c>
      <c r="B952" s="1" t="s">
        <v>11501</v>
      </c>
      <c r="C952" s="1" t="s">
        <v>11453</v>
      </c>
      <c r="D952" s="1">
        <v>151</v>
      </c>
      <c r="E952" s="1">
        <v>1</v>
      </c>
      <c r="F952" s="1" t="s">
        <v>9681</v>
      </c>
      <c r="G952" s="1" t="s">
        <v>11502</v>
      </c>
      <c r="H952" s="1" t="s">
        <v>26</v>
      </c>
      <c r="I952" s="1" t="s">
        <v>94</v>
      </c>
      <c r="K952" s="4" t="s">
        <v>11503</v>
      </c>
      <c r="L952" s="4" t="s">
        <v>11504</v>
      </c>
      <c r="N952" s="54">
        <v>15</v>
      </c>
      <c r="O952" s="55">
        <v>4</v>
      </c>
      <c r="Q952" s="57">
        <v>5</v>
      </c>
      <c r="R952" s="58">
        <v>5</v>
      </c>
      <c r="S952" s="59">
        <v>9</v>
      </c>
      <c r="U952" s="1">
        <v>3</v>
      </c>
      <c r="V952" s="4" t="s">
        <v>11505</v>
      </c>
      <c r="AP952" s="1"/>
    </row>
    <row r="953" spans="1:42" ht="36" x14ac:dyDescent="0.2">
      <c r="A953" s="1" t="s">
        <v>11451</v>
      </c>
      <c r="B953" s="1" t="s">
        <v>11506</v>
      </c>
      <c r="C953" s="1" t="s">
        <v>11453</v>
      </c>
      <c r="D953" s="1">
        <v>152</v>
      </c>
      <c r="E953" s="1">
        <v>1</v>
      </c>
      <c r="F953" s="1" t="s">
        <v>9681</v>
      </c>
      <c r="G953" s="1" t="s">
        <v>11507</v>
      </c>
      <c r="H953" s="1" t="s">
        <v>26</v>
      </c>
      <c r="I953" s="1" t="s">
        <v>104</v>
      </c>
      <c r="K953" s="4" t="s">
        <v>5418</v>
      </c>
      <c r="L953" s="4" t="s">
        <v>331</v>
      </c>
      <c r="O953" s="55">
        <v>4</v>
      </c>
      <c r="T953" s="60">
        <v>9</v>
      </c>
      <c r="U953" s="1">
        <v>3</v>
      </c>
      <c r="V953" s="4" t="s">
        <v>11508</v>
      </c>
      <c r="AP953" s="1"/>
    </row>
    <row r="954" spans="1:42" ht="36" x14ac:dyDescent="0.2">
      <c r="A954" s="1" t="s">
        <v>11451</v>
      </c>
      <c r="B954" s="1" t="s">
        <v>11509</v>
      </c>
      <c r="C954" s="1" t="s">
        <v>11453</v>
      </c>
      <c r="D954" s="1">
        <v>153</v>
      </c>
      <c r="E954" s="1">
        <v>4</v>
      </c>
      <c r="F954" s="1" t="s">
        <v>9681</v>
      </c>
      <c r="G954" s="1" t="s">
        <v>11510</v>
      </c>
      <c r="I954" s="1" t="s">
        <v>94</v>
      </c>
      <c r="K954" s="4" t="s">
        <v>11503</v>
      </c>
      <c r="L954" s="4"/>
      <c r="N954" s="54">
        <v>36</v>
      </c>
      <c r="O954" s="55">
        <v>3</v>
      </c>
      <c r="Q954" s="57">
        <v>4</v>
      </c>
      <c r="R954" s="58">
        <v>2</v>
      </c>
      <c r="S954" s="59">
        <v>5</v>
      </c>
      <c r="V954" s="4" t="s">
        <v>11511</v>
      </c>
      <c r="W954" s="4" t="s">
        <v>5483</v>
      </c>
      <c r="AP954" s="1"/>
    </row>
    <row r="955" spans="1:42" ht="24" x14ac:dyDescent="0.2">
      <c r="A955" s="1" t="s">
        <v>11451</v>
      </c>
      <c r="B955" s="1" t="s">
        <v>11512</v>
      </c>
      <c r="C955" s="1" t="s">
        <v>11453</v>
      </c>
      <c r="D955" s="1">
        <v>154</v>
      </c>
      <c r="E955" s="1">
        <v>3</v>
      </c>
      <c r="F955" s="1" t="s">
        <v>9681</v>
      </c>
      <c r="G955" s="1" t="s">
        <v>11513</v>
      </c>
      <c r="I955" s="1" t="s">
        <v>94</v>
      </c>
      <c r="K955" s="4" t="s">
        <v>11503</v>
      </c>
      <c r="L955" s="4"/>
      <c r="N955" s="54">
        <v>26</v>
      </c>
      <c r="O955" s="55">
        <v>2</v>
      </c>
      <c r="Q955" s="57">
        <v>3</v>
      </c>
      <c r="R955" s="58">
        <v>2</v>
      </c>
      <c r="S955" s="59">
        <v>2</v>
      </c>
      <c r="V955" s="4" t="s">
        <v>11514</v>
      </c>
      <c r="W955" s="4" t="s">
        <v>11515</v>
      </c>
      <c r="AP955" s="1"/>
    </row>
    <row r="956" spans="1:42" ht="36" x14ac:dyDescent="0.2">
      <c r="A956" s="1" t="s">
        <v>11451</v>
      </c>
      <c r="B956" s="1" t="s">
        <v>11516</v>
      </c>
      <c r="C956" s="1" t="s">
        <v>11453</v>
      </c>
      <c r="D956" s="1">
        <v>155</v>
      </c>
      <c r="E956" s="1">
        <v>4</v>
      </c>
      <c r="F956" s="1" t="s">
        <v>9681</v>
      </c>
      <c r="G956" s="1" t="s">
        <v>11517</v>
      </c>
      <c r="I956" s="1" t="s">
        <v>104</v>
      </c>
      <c r="K956" s="4" t="s">
        <v>5418</v>
      </c>
      <c r="L956" s="4"/>
      <c r="O956" s="55">
        <v>2</v>
      </c>
      <c r="T956" s="60">
        <v>4</v>
      </c>
      <c r="V956" s="4" t="s">
        <v>11518</v>
      </c>
      <c r="AP956" s="1"/>
    </row>
    <row r="957" spans="1:42" ht="36" x14ac:dyDescent="0.2">
      <c r="A957" s="1" t="s">
        <v>11451</v>
      </c>
      <c r="B957" s="1" t="s">
        <v>11519</v>
      </c>
      <c r="C957" s="1" t="s">
        <v>11453</v>
      </c>
      <c r="D957" s="1">
        <v>156</v>
      </c>
      <c r="E957" s="1">
        <v>3</v>
      </c>
      <c r="F957" s="1" t="s">
        <v>9681</v>
      </c>
      <c r="G957" s="1" t="s">
        <v>11520</v>
      </c>
      <c r="I957" s="1" t="s">
        <v>104</v>
      </c>
      <c r="K957" s="4" t="s">
        <v>5418</v>
      </c>
      <c r="L957" s="4"/>
      <c r="O957" s="55">
        <v>2</v>
      </c>
      <c r="T957" s="60">
        <v>3</v>
      </c>
      <c r="V957" s="4" t="s">
        <v>11521</v>
      </c>
      <c r="W957" s="4" t="s">
        <v>11522</v>
      </c>
      <c r="AP957" s="1"/>
    </row>
    <row r="958" spans="1:42" ht="36" x14ac:dyDescent="0.2">
      <c r="A958" s="1" t="s">
        <v>11451</v>
      </c>
      <c r="B958" s="1" t="s">
        <v>11523</v>
      </c>
      <c r="C958" s="1" t="s">
        <v>11453</v>
      </c>
      <c r="D958" s="1">
        <v>157</v>
      </c>
      <c r="E958" s="1">
        <v>3</v>
      </c>
      <c r="F958" s="1" t="s">
        <v>9681</v>
      </c>
      <c r="G958" s="1" t="s">
        <v>11524</v>
      </c>
      <c r="I958" s="1" t="s">
        <v>104</v>
      </c>
      <c r="K958" s="4" t="s">
        <v>5418</v>
      </c>
      <c r="L958" s="4"/>
      <c r="O958" s="55">
        <v>3</v>
      </c>
      <c r="T958" s="60">
        <v>5</v>
      </c>
      <c r="V958" s="4" t="s">
        <v>11525</v>
      </c>
      <c r="W958" s="4" t="s">
        <v>2412</v>
      </c>
      <c r="AP958" s="1"/>
    </row>
    <row r="959" spans="1:42" ht="36" x14ac:dyDescent="0.2">
      <c r="A959" s="1" t="s">
        <v>11451</v>
      </c>
      <c r="B959" s="1" t="s">
        <v>11526</v>
      </c>
      <c r="C959" s="1" t="s">
        <v>11453</v>
      </c>
      <c r="D959" s="1">
        <v>158</v>
      </c>
      <c r="E959" s="1">
        <v>2</v>
      </c>
      <c r="F959" s="1" t="s">
        <v>9681</v>
      </c>
      <c r="G959" s="1" t="s">
        <v>11527</v>
      </c>
      <c r="I959" s="1" t="s">
        <v>104</v>
      </c>
      <c r="K959" s="4" t="s">
        <v>5418</v>
      </c>
      <c r="L959" s="4"/>
      <c r="O959" s="55">
        <v>3</v>
      </c>
      <c r="T959" s="60">
        <v>6</v>
      </c>
      <c r="V959" s="4" t="s">
        <v>11528</v>
      </c>
      <c r="W959" s="4" t="s">
        <v>11529</v>
      </c>
      <c r="AP959" s="1"/>
    </row>
    <row r="960" spans="1:42" ht="48" x14ac:dyDescent="0.2">
      <c r="A960" s="1" t="s">
        <v>11451</v>
      </c>
      <c r="B960" s="1" t="s">
        <v>11530</v>
      </c>
      <c r="C960" s="1" t="s">
        <v>11453</v>
      </c>
      <c r="D960" s="1">
        <v>159</v>
      </c>
      <c r="E960" s="1">
        <v>3</v>
      </c>
      <c r="F960" s="1" t="s">
        <v>9681</v>
      </c>
      <c r="G960" s="1" t="s">
        <v>11531</v>
      </c>
      <c r="I960" s="1" t="s">
        <v>82</v>
      </c>
      <c r="K960" s="4"/>
      <c r="L960" s="4"/>
      <c r="V960" s="4" t="s">
        <v>11532</v>
      </c>
      <c r="AP960" s="1"/>
    </row>
    <row r="961" spans="1:42" ht="24" x14ac:dyDescent="0.2">
      <c r="A961" s="1" t="s">
        <v>11451</v>
      </c>
      <c r="B961" s="1" t="s">
        <v>11533</v>
      </c>
      <c r="C961" s="1" t="s">
        <v>11453</v>
      </c>
      <c r="D961" s="1">
        <v>160</v>
      </c>
      <c r="E961" s="1">
        <v>2</v>
      </c>
      <c r="F961" s="1" t="s">
        <v>9681</v>
      </c>
      <c r="G961" s="1" t="s">
        <v>11534</v>
      </c>
      <c r="I961" s="1" t="s">
        <v>82</v>
      </c>
      <c r="K961" s="4"/>
      <c r="L961" s="4" t="s">
        <v>2620</v>
      </c>
      <c r="V961" s="4" t="s">
        <v>11535</v>
      </c>
      <c r="W961" s="4" t="s">
        <v>11536</v>
      </c>
      <c r="AP961" s="1"/>
    </row>
    <row r="962" spans="1:42" ht="48" x14ac:dyDescent="0.2">
      <c r="A962" s="1" t="s">
        <v>11451</v>
      </c>
      <c r="B962" s="1" t="s">
        <v>11537</v>
      </c>
      <c r="C962" s="1" t="s">
        <v>11453</v>
      </c>
      <c r="D962" s="1">
        <v>161</v>
      </c>
      <c r="E962" s="1">
        <v>2</v>
      </c>
      <c r="F962" s="1" t="s">
        <v>9681</v>
      </c>
      <c r="G962" s="1" t="s">
        <v>11538</v>
      </c>
      <c r="I962" s="1" t="s">
        <v>82</v>
      </c>
      <c r="K962" s="4"/>
      <c r="L962" s="4"/>
      <c r="V962" s="4" t="s">
        <v>11539</v>
      </c>
      <c r="AP962" s="1"/>
    </row>
    <row r="963" spans="1:42" ht="48" x14ac:dyDescent="0.2">
      <c r="A963" s="117" t="s">
        <v>4783</v>
      </c>
      <c r="B963" s="117" t="s">
        <v>4784</v>
      </c>
      <c r="C963" s="117" t="s">
        <v>5713</v>
      </c>
      <c r="D963" s="118">
        <v>1</v>
      </c>
      <c r="E963" s="117">
        <v>1</v>
      </c>
      <c r="F963" s="117" t="s">
        <v>4788</v>
      </c>
      <c r="G963" s="117" t="s">
        <v>3709</v>
      </c>
      <c r="H963" s="1" t="s">
        <v>26</v>
      </c>
      <c r="I963" s="1" t="s">
        <v>94</v>
      </c>
      <c r="K963" s="1" t="s">
        <v>4785</v>
      </c>
      <c r="L963" s="2" t="s">
        <v>4786</v>
      </c>
      <c r="N963" s="54">
        <v>40</v>
      </c>
      <c r="O963" s="55">
        <v>6</v>
      </c>
      <c r="Q963" s="57">
        <v>6</v>
      </c>
      <c r="R963" s="58">
        <v>6</v>
      </c>
      <c r="S963" s="59">
        <v>11</v>
      </c>
      <c r="V963" s="4" t="s">
        <v>4787</v>
      </c>
      <c r="AL963" s="60" t="s">
        <v>30</v>
      </c>
    </row>
    <row r="964" spans="1:42" ht="36" x14ac:dyDescent="0.2">
      <c r="A964" s="1" t="s">
        <v>4783</v>
      </c>
      <c r="B964" s="1" t="s">
        <v>4789</v>
      </c>
      <c r="C964" s="1" t="s">
        <v>5713</v>
      </c>
      <c r="D964" s="49">
        <v>2</v>
      </c>
      <c r="E964" s="1">
        <v>4</v>
      </c>
      <c r="F964" s="1" t="s">
        <v>4788</v>
      </c>
      <c r="G964" s="1" t="s">
        <v>4790</v>
      </c>
      <c r="I964" s="1" t="s">
        <v>94</v>
      </c>
      <c r="K964" s="1" t="s">
        <v>4791</v>
      </c>
      <c r="N964" s="54">
        <v>1</v>
      </c>
      <c r="O964" s="55">
        <v>1</v>
      </c>
      <c r="Q964" s="57">
        <v>1</v>
      </c>
      <c r="R964" s="58">
        <v>0</v>
      </c>
      <c r="S964" s="59">
        <v>2</v>
      </c>
      <c r="V964" s="4" t="s">
        <v>4792</v>
      </c>
      <c r="AL964" s="60" t="s">
        <v>30</v>
      </c>
    </row>
    <row r="965" spans="1:42" ht="24" x14ac:dyDescent="0.2">
      <c r="A965" s="1" t="s">
        <v>4783</v>
      </c>
      <c r="B965" s="1" t="s">
        <v>4793</v>
      </c>
      <c r="C965" s="1" t="s">
        <v>5713</v>
      </c>
      <c r="D965" s="49">
        <v>3</v>
      </c>
      <c r="E965" s="1">
        <v>4</v>
      </c>
      <c r="F965" s="1" t="s">
        <v>4788</v>
      </c>
      <c r="G965" s="1" t="s">
        <v>4794</v>
      </c>
      <c r="I965" s="1" t="s">
        <v>94</v>
      </c>
      <c r="K965" s="1" t="s">
        <v>4795</v>
      </c>
      <c r="N965" s="54">
        <v>27</v>
      </c>
      <c r="O965" s="55">
        <v>1</v>
      </c>
      <c r="Q965" s="57">
        <v>4</v>
      </c>
      <c r="R965" s="58">
        <v>1</v>
      </c>
      <c r="S965" s="59">
        <v>3</v>
      </c>
      <c r="V965" s="4" t="s">
        <v>4796</v>
      </c>
      <c r="W965" s="4" t="s">
        <v>4797</v>
      </c>
      <c r="AL965" s="60" t="s">
        <v>30</v>
      </c>
    </row>
    <row r="966" spans="1:42" ht="24" x14ac:dyDescent="0.2">
      <c r="A966" s="1" t="s">
        <v>4783</v>
      </c>
      <c r="B966" s="1" t="s">
        <v>4798</v>
      </c>
      <c r="C966" s="1" t="s">
        <v>5713</v>
      </c>
      <c r="D966" s="49">
        <v>4</v>
      </c>
      <c r="E966" s="1">
        <v>4</v>
      </c>
      <c r="F966" s="1" t="s">
        <v>4788</v>
      </c>
      <c r="G966" s="1" t="s">
        <v>4799</v>
      </c>
      <c r="I966" s="1" t="s">
        <v>94</v>
      </c>
      <c r="K966" s="1" t="s">
        <v>4800</v>
      </c>
      <c r="N966" s="54">
        <v>35</v>
      </c>
      <c r="O966" s="55">
        <v>2</v>
      </c>
      <c r="Q966" s="57">
        <v>3</v>
      </c>
      <c r="R966" s="58">
        <v>1</v>
      </c>
      <c r="S966" s="59">
        <v>4</v>
      </c>
      <c r="V966" s="4" t="s">
        <v>4801</v>
      </c>
      <c r="AL966" s="60" t="s">
        <v>30</v>
      </c>
    </row>
    <row r="967" spans="1:42" ht="36" x14ac:dyDescent="0.2">
      <c r="A967" s="1" t="s">
        <v>4783</v>
      </c>
      <c r="B967" s="1" t="s">
        <v>4802</v>
      </c>
      <c r="C967" s="1" t="s">
        <v>5713</v>
      </c>
      <c r="D967" s="49">
        <v>5</v>
      </c>
      <c r="E967" s="1">
        <v>3</v>
      </c>
      <c r="F967" s="1" t="s">
        <v>4788</v>
      </c>
      <c r="G967" s="1" t="s">
        <v>4803</v>
      </c>
      <c r="I967" s="1" t="s">
        <v>94</v>
      </c>
      <c r="K967" s="1" t="s">
        <v>4804</v>
      </c>
      <c r="N967" s="54">
        <v>40</v>
      </c>
      <c r="O967" s="55">
        <v>3</v>
      </c>
      <c r="Q967" s="57">
        <v>3</v>
      </c>
      <c r="R967" s="58">
        <v>3</v>
      </c>
      <c r="S967" s="59">
        <v>4</v>
      </c>
      <c r="V967" s="4" t="s">
        <v>4805</v>
      </c>
      <c r="W967" s="4" t="s">
        <v>4806</v>
      </c>
      <c r="AL967" s="60" t="s">
        <v>30</v>
      </c>
    </row>
    <row r="968" spans="1:42" ht="24" x14ac:dyDescent="0.2">
      <c r="A968" s="1" t="s">
        <v>4783</v>
      </c>
      <c r="B968" s="1" t="s">
        <v>4807</v>
      </c>
      <c r="C968" s="1" t="s">
        <v>5713</v>
      </c>
      <c r="D968" s="49">
        <v>6</v>
      </c>
      <c r="E968" s="1">
        <v>3</v>
      </c>
      <c r="F968" s="1" t="s">
        <v>4788</v>
      </c>
      <c r="G968" s="1" t="s">
        <v>4808</v>
      </c>
      <c r="I968" s="1" t="s">
        <v>94</v>
      </c>
      <c r="K968" s="1" t="s">
        <v>2690</v>
      </c>
      <c r="N968" s="54">
        <v>45</v>
      </c>
      <c r="O968" s="55">
        <v>2</v>
      </c>
      <c r="Q968" s="57">
        <v>2</v>
      </c>
      <c r="R968" s="58">
        <v>1</v>
      </c>
      <c r="S968" s="59">
        <v>8</v>
      </c>
      <c r="V968" s="4" t="s">
        <v>4809</v>
      </c>
      <c r="W968" s="4" t="s">
        <v>4810</v>
      </c>
      <c r="AL968" s="60" t="s">
        <v>30</v>
      </c>
    </row>
    <row r="969" spans="1:42" ht="24" x14ac:dyDescent="0.2">
      <c r="A969" s="1" t="s">
        <v>4783</v>
      </c>
      <c r="B969" s="1" t="s">
        <v>4811</v>
      </c>
      <c r="C969" s="1" t="s">
        <v>5713</v>
      </c>
      <c r="D969" s="49">
        <v>7</v>
      </c>
      <c r="E969" s="1">
        <v>3</v>
      </c>
      <c r="F969" s="1" t="s">
        <v>4788</v>
      </c>
      <c r="G969" s="1" t="s">
        <v>4812</v>
      </c>
      <c r="I969" s="1" t="s">
        <v>104</v>
      </c>
      <c r="K969" s="1" t="s">
        <v>4813</v>
      </c>
      <c r="O969" s="55">
        <v>1</v>
      </c>
      <c r="T969" s="60">
        <v>2</v>
      </c>
      <c r="V969" s="4" t="s">
        <v>4814</v>
      </c>
      <c r="W969" s="4" t="s">
        <v>4815</v>
      </c>
      <c r="AL969" s="60" t="s">
        <v>30</v>
      </c>
    </row>
    <row r="970" spans="1:42" ht="24" x14ac:dyDescent="0.2">
      <c r="A970" s="1" t="s">
        <v>4783</v>
      </c>
      <c r="B970" s="1" t="s">
        <v>4816</v>
      </c>
      <c r="C970" s="1" t="s">
        <v>5713</v>
      </c>
      <c r="D970" s="49">
        <v>8</v>
      </c>
      <c r="E970" s="1">
        <v>1</v>
      </c>
      <c r="F970" s="1" t="s">
        <v>4788</v>
      </c>
      <c r="G970" s="1" t="s">
        <v>4817</v>
      </c>
      <c r="I970" s="1" t="s">
        <v>104</v>
      </c>
      <c r="K970" s="1" t="s">
        <v>4818</v>
      </c>
      <c r="O970" s="55">
        <v>2</v>
      </c>
      <c r="T970" s="60">
        <v>5</v>
      </c>
      <c r="V970" s="4" t="s">
        <v>4819</v>
      </c>
      <c r="AL970" s="60" t="s">
        <v>30</v>
      </c>
    </row>
    <row r="971" spans="1:42" ht="36" x14ac:dyDescent="0.2">
      <c r="A971" s="1" t="s">
        <v>4783</v>
      </c>
      <c r="B971" s="1" t="s">
        <v>4820</v>
      </c>
      <c r="C971" s="1" t="s">
        <v>5713</v>
      </c>
      <c r="D971" s="49">
        <v>9</v>
      </c>
      <c r="E971" s="1">
        <v>2</v>
      </c>
      <c r="F971" s="1" t="s">
        <v>4788</v>
      </c>
      <c r="G971" s="1" t="s">
        <v>4821</v>
      </c>
      <c r="I971" s="1" t="s">
        <v>104</v>
      </c>
      <c r="K971" s="1" t="s">
        <v>4822</v>
      </c>
      <c r="O971" s="55">
        <v>1</v>
      </c>
      <c r="T971" s="60">
        <v>3</v>
      </c>
      <c r="V971" s="4" t="s">
        <v>4823</v>
      </c>
      <c r="W971" s="4" t="s">
        <v>4824</v>
      </c>
      <c r="AL971" s="60" t="s">
        <v>30</v>
      </c>
    </row>
    <row r="972" spans="1:42" ht="36" x14ac:dyDescent="0.2">
      <c r="A972" s="1" t="s">
        <v>4783</v>
      </c>
      <c r="B972" s="1" t="s">
        <v>4825</v>
      </c>
      <c r="C972" s="1" t="s">
        <v>5713</v>
      </c>
      <c r="D972" s="49">
        <v>10</v>
      </c>
      <c r="E972" s="1">
        <v>2</v>
      </c>
      <c r="F972" s="1" t="s">
        <v>4788</v>
      </c>
      <c r="G972" s="1" t="s">
        <v>4826</v>
      </c>
      <c r="I972" s="1" t="s">
        <v>104</v>
      </c>
      <c r="K972" s="1" t="s">
        <v>4813</v>
      </c>
      <c r="O972" s="55">
        <v>1</v>
      </c>
      <c r="T972" s="60">
        <v>7</v>
      </c>
      <c r="U972" s="1">
        <v>1</v>
      </c>
      <c r="V972" s="4" t="s">
        <v>4827</v>
      </c>
      <c r="AL972" s="60" t="s">
        <v>30</v>
      </c>
    </row>
    <row r="973" spans="1:42" x14ac:dyDescent="0.2">
      <c r="A973" s="1" t="s">
        <v>4783</v>
      </c>
      <c r="B973" s="1" t="s">
        <v>4828</v>
      </c>
      <c r="C973" s="1" t="s">
        <v>5713</v>
      </c>
      <c r="D973" s="49">
        <v>11</v>
      </c>
      <c r="E973" s="1">
        <v>3</v>
      </c>
      <c r="F973" s="1" t="s">
        <v>4788</v>
      </c>
      <c r="G973" s="1" t="s">
        <v>4829</v>
      </c>
      <c r="I973" s="1" t="s">
        <v>104</v>
      </c>
      <c r="K973" s="1" t="s">
        <v>4830</v>
      </c>
      <c r="O973" s="55">
        <v>1</v>
      </c>
      <c r="T973" s="60">
        <v>2</v>
      </c>
      <c r="V973" s="4" t="s">
        <v>4831</v>
      </c>
      <c r="AL973" s="60" t="s">
        <v>30</v>
      </c>
    </row>
    <row r="974" spans="1:42" ht="36" x14ac:dyDescent="0.2">
      <c r="A974" s="1" t="s">
        <v>4783</v>
      </c>
      <c r="B974" s="1" t="s">
        <v>4832</v>
      </c>
      <c r="C974" s="1" t="s">
        <v>5713</v>
      </c>
      <c r="D974" s="49">
        <v>12</v>
      </c>
      <c r="E974" s="1">
        <v>4</v>
      </c>
      <c r="F974" s="1" t="s">
        <v>4788</v>
      </c>
      <c r="G974" s="1" t="s">
        <v>4833</v>
      </c>
      <c r="I974" s="1" t="s">
        <v>82</v>
      </c>
      <c r="L974" s="2" t="s">
        <v>4834</v>
      </c>
      <c r="V974" s="4" t="s">
        <v>4835</v>
      </c>
      <c r="W974" s="4" t="s">
        <v>4836</v>
      </c>
      <c r="AL974" s="60" t="s">
        <v>30</v>
      </c>
    </row>
    <row r="975" spans="1:42" ht="36" x14ac:dyDescent="0.2">
      <c r="A975" s="1" t="s">
        <v>4783</v>
      </c>
      <c r="B975" s="1" t="s">
        <v>4837</v>
      </c>
      <c r="C975" s="1" t="s">
        <v>5713</v>
      </c>
      <c r="D975" s="49">
        <v>13</v>
      </c>
      <c r="E975" s="1">
        <v>2</v>
      </c>
      <c r="F975" s="1" t="s">
        <v>4788</v>
      </c>
      <c r="G975" s="1" t="s">
        <v>4838</v>
      </c>
      <c r="I975" s="1" t="s">
        <v>82</v>
      </c>
      <c r="V975" s="4" t="s">
        <v>4839</v>
      </c>
      <c r="AL975" s="60" t="s">
        <v>30</v>
      </c>
    </row>
    <row r="976" spans="1:42" ht="36" x14ac:dyDescent="0.2">
      <c r="A976" s="1" t="s">
        <v>4783</v>
      </c>
      <c r="B976" s="1" t="s">
        <v>4840</v>
      </c>
      <c r="C976" s="1" t="s">
        <v>5713</v>
      </c>
      <c r="D976" s="49">
        <v>14</v>
      </c>
      <c r="E976" s="1">
        <v>3</v>
      </c>
      <c r="F976" s="1" t="s">
        <v>4788</v>
      </c>
      <c r="G976" s="1" t="s">
        <v>4841</v>
      </c>
      <c r="I976" s="1" t="s">
        <v>82</v>
      </c>
      <c r="L976" s="2" t="s">
        <v>155</v>
      </c>
      <c r="V976" s="4" t="s">
        <v>4842</v>
      </c>
      <c r="AL976" s="60" t="s">
        <v>30</v>
      </c>
    </row>
    <row r="977" spans="1:40" ht="36" x14ac:dyDescent="0.2">
      <c r="A977" s="1" t="s">
        <v>4783</v>
      </c>
      <c r="B977" s="1" t="s">
        <v>4843</v>
      </c>
      <c r="C977" s="1" t="s">
        <v>5713</v>
      </c>
      <c r="D977" s="49">
        <v>15</v>
      </c>
      <c r="E977" s="1">
        <v>2</v>
      </c>
      <c r="F977" s="1" t="s">
        <v>4788</v>
      </c>
      <c r="G977" s="1" t="s">
        <v>4844</v>
      </c>
      <c r="I977" s="1" t="s">
        <v>88</v>
      </c>
      <c r="K977" s="1" t="s">
        <v>4845</v>
      </c>
      <c r="P977" s="56">
        <v>2</v>
      </c>
      <c r="Q977" s="57">
        <v>2</v>
      </c>
      <c r="R977" s="58">
        <v>1</v>
      </c>
      <c r="S977" s="59">
        <v>2</v>
      </c>
      <c r="V977" s="4" t="s">
        <v>4846</v>
      </c>
      <c r="W977" s="4" t="s">
        <v>4847</v>
      </c>
      <c r="AL977" s="60" t="s">
        <v>30</v>
      </c>
    </row>
    <row r="978" spans="1:40" ht="48" x14ac:dyDescent="0.2">
      <c r="A978" s="1" t="s">
        <v>4783</v>
      </c>
      <c r="B978" s="1" t="s">
        <v>4848</v>
      </c>
      <c r="C978" s="1" t="s">
        <v>5713</v>
      </c>
      <c r="D978" s="49">
        <v>16</v>
      </c>
      <c r="E978" s="1">
        <v>1</v>
      </c>
      <c r="F978" s="1" t="s">
        <v>4788</v>
      </c>
      <c r="G978" s="1" t="s">
        <v>9562</v>
      </c>
      <c r="I978" s="1" t="s">
        <v>125</v>
      </c>
      <c r="M978" s="18">
        <v>1</v>
      </c>
      <c r="N978" s="54" t="s">
        <v>9529</v>
      </c>
      <c r="V978" s="4" t="s">
        <v>4849</v>
      </c>
      <c r="X978" s="1" t="s">
        <v>4850</v>
      </c>
      <c r="Y978" s="1" t="s">
        <v>9562</v>
      </c>
      <c r="AA978" s="1" t="s">
        <v>125</v>
      </c>
      <c r="AE978" s="1">
        <v>1</v>
      </c>
      <c r="AF978" s="54" t="s">
        <v>9530</v>
      </c>
      <c r="AL978" s="60" t="s">
        <v>243</v>
      </c>
      <c r="AN978" s="4" t="s">
        <v>4851</v>
      </c>
    </row>
    <row r="979" spans="1:40" ht="48" x14ac:dyDescent="0.2">
      <c r="A979" s="1" t="s">
        <v>4783</v>
      </c>
      <c r="B979" s="1" t="s">
        <v>4852</v>
      </c>
      <c r="C979" s="1" t="s">
        <v>5713</v>
      </c>
      <c r="D979" s="49">
        <v>17</v>
      </c>
      <c r="E979" s="1">
        <v>1</v>
      </c>
      <c r="F979" s="1" t="s">
        <v>4788</v>
      </c>
      <c r="G979" s="1" t="s">
        <v>9621</v>
      </c>
      <c r="I979" s="1" t="s">
        <v>125</v>
      </c>
      <c r="M979" s="18">
        <v>2</v>
      </c>
      <c r="N979" s="54" t="s">
        <v>9529</v>
      </c>
      <c r="Y979" s="1" t="s">
        <v>9621</v>
      </c>
      <c r="AA979" s="1" t="s">
        <v>125</v>
      </c>
      <c r="AE979" s="1">
        <v>2</v>
      </c>
      <c r="AF979" s="54" t="s">
        <v>9530</v>
      </c>
      <c r="AL979" s="60" t="s">
        <v>46</v>
      </c>
      <c r="AN979" s="4" t="s">
        <v>4853</v>
      </c>
    </row>
    <row r="980" spans="1:40" ht="84" x14ac:dyDescent="0.2">
      <c r="A980" s="1" t="s">
        <v>4783</v>
      </c>
      <c r="B980" s="1" t="s">
        <v>4854</v>
      </c>
      <c r="C980" s="1" t="s">
        <v>5713</v>
      </c>
      <c r="D980" s="49">
        <v>18</v>
      </c>
      <c r="E980" s="1">
        <v>1</v>
      </c>
      <c r="F980" s="1" t="s">
        <v>4788</v>
      </c>
      <c r="G980" s="1" t="s">
        <v>9682</v>
      </c>
      <c r="I980" s="1" t="s">
        <v>125</v>
      </c>
      <c r="M980" s="18">
        <v>3</v>
      </c>
      <c r="N980" s="54" t="s">
        <v>9529</v>
      </c>
      <c r="Y980" s="1" t="s">
        <v>9682</v>
      </c>
      <c r="AA980" s="1" t="s">
        <v>125</v>
      </c>
      <c r="AE980" s="1">
        <v>3</v>
      </c>
      <c r="AF980" s="54" t="s">
        <v>9530</v>
      </c>
      <c r="AL980" s="60" t="s">
        <v>36</v>
      </c>
      <c r="AN980" s="4" t="s">
        <v>4855</v>
      </c>
    </row>
    <row r="981" spans="1:40" ht="48" x14ac:dyDescent="0.2">
      <c r="A981" s="1" t="s">
        <v>4783</v>
      </c>
      <c r="B981" s="1" t="s">
        <v>4856</v>
      </c>
      <c r="C981" s="1" t="s">
        <v>5713</v>
      </c>
      <c r="D981" s="49">
        <v>19</v>
      </c>
      <c r="E981" s="1">
        <v>1</v>
      </c>
      <c r="F981" s="1" t="s">
        <v>4788</v>
      </c>
      <c r="G981" s="1" t="s">
        <v>9711</v>
      </c>
      <c r="I981" s="1" t="s">
        <v>125</v>
      </c>
      <c r="M981" s="18">
        <v>4</v>
      </c>
      <c r="N981" s="54" t="s">
        <v>9529</v>
      </c>
      <c r="Y981" s="1" t="s">
        <v>9711</v>
      </c>
      <c r="AA981" s="1" t="s">
        <v>125</v>
      </c>
      <c r="AE981" s="1">
        <v>4</v>
      </c>
      <c r="AF981" s="54" t="s">
        <v>9530</v>
      </c>
      <c r="AL981" s="60" t="s">
        <v>666</v>
      </c>
      <c r="AN981" s="4" t="s">
        <v>4857</v>
      </c>
    </row>
    <row r="982" spans="1:40" ht="48" x14ac:dyDescent="0.2">
      <c r="A982" s="117" t="s">
        <v>3365</v>
      </c>
      <c r="B982" s="117" t="s">
        <v>3434</v>
      </c>
      <c r="C982" s="117" t="s">
        <v>5714</v>
      </c>
      <c r="D982" s="118">
        <v>1</v>
      </c>
      <c r="E982" s="117">
        <v>1</v>
      </c>
      <c r="F982" s="117" t="s">
        <v>3370</v>
      </c>
      <c r="G982" s="117" t="s">
        <v>9563</v>
      </c>
      <c r="I982" s="1" t="s">
        <v>125</v>
      </c>
      <c r="M982" s="18">
        <v>1</v>
      </c>
      <c r="N982" s="54" t="s">
        <v>9529</v>
      </c>
      <c r="V982" s="4" t="s">
        <v>3435</v>
      </c>
      <c r="X982" s="1" t="s">
        <v>1629</v>
      </c>
      <c r="Y982" s="1" t="s">
        <v>9563</v>
      </c>
      <c r="AA982" s="1" t="s">
        <v>125</v>
      </c>
      <c r="AE982" s="1">
        <v>1</v>
      </c>
      <c r="AF982" s="54" t="s">
        <v>9530</v>
      </c>
      <c r="AL982" s="60" t="s">
        <v>5621</v>
      </c>
      <c r="AN982" s="4" t="s">
        <v>3436</v>
      </c>
    </row>
    <row r="983" spans="1:40" ht="60" x14ac:dyDescent="0.2">
      <c r="A983" s="1" t="s">
        <v>3365</v>
      </c>
      <c r="B983" s="1" t="s">
        <v>3389</v>
      </c>
      <c r="C983" s="1" t="s">
        <v>5714</v>
      </c>
      <c r="D983" s="49">
        <v>2</v>
      </c>
      <c r="E983" s="1">
        <v>1</v>
      </c>
      <c r="F983" s="1" t="s">
        <v>3370</v>
      </c>
      <c r="G983" s="1" t="s">
        <v>9622</v>
      </c>
      <c r="I983" s="1" t="s">
        <v>125</v>
      </c>
      <c r="M983" s="18">
        <v>2</v>
      </c>
      <c r="N983" s="54" t="s">
        <v>9529</v>
      </c>
      <c r="Y983" s="1" t="s">
        <v>9622</v>
      </c>
      <c r="AA983" s="1" t="s">
        <v>125</v>
      </c>
      <c r="AE983" s="1">
        <v>2</v>
      </c>
      <c r="AF983" s="54" t="s">
        <v>9530</v>
      </c>
      <c r="AL983" s="60" t="s">
        <v>275</v>
      </c>
      <c r="AN983" s="4" t="s">
        <v>3390</v>
      </c>
    </row>
    <row r="984" spans="1:40" ht="120" x14ac:dyDescent="0.2">
      <c r="A984" s="1" t="s">
        <v>3365</v>
      </c>
      <c r="B984" s="1" t="s">
        <v>3437</v>
      </c>
      <c r="C984" s="1" t="s">
        <v>5714</v>
      </c>
      <c r="D984" s="49">
        <v>3</v>
      </c>
      <c r="E984" s="1">
        <v>1</v>
      </c>
      <c r="F984" s="1" t="s">
        <v>3370</v>
      </c>
      <c r="G984" s="1" t="s">
        <v>9683</v>
      </c>
      <c r="I984" s="1" t="s">
        <v>125</v>
      </c>
      <c r="M984" s="18">
        <v>3</v>
      </c>
      <c r="N984" s="54" t="s">
        <v>9529</v>
      </c>
      <c r="Y984" s="1" t="s">
        <v>9683</v>
      </c>
      <c r="AA984" s="1" t="s">
        <v>125</v>
      </c>
      <c r="AE984" s="1">
        <v>3</v>
      </c>
      <c r="AF984" s="54" t="s">
        <v>9530</v>
      </c>
      <c r="AL984" s="60" t="s">
        <v>799</v>
      </c>
      <c r="AN984" s="4" t="s">
        <v>3438</v>
      </c>
    </row>
    <row r="985" spans="1:40" ht="24" x14ac:dyDescent="0.2">
      <c r="A985" s="1" t="s">
        <v>3365</v>
      </c>
      <c r="B985" s="1" t="s">
        <v>3424</v>
      </c>
      <c r="C985" s="1" t="s">
        <v>5714</v>
      </c>
      <c r="D985" s="49">
        <v>4</v>
      </c>
      <c r="E985" s="1">
        <v>3</v>
      </c>
      <c r="F985" s="1" t="s">
        <v>3370</v>
      </c>
      <c r="G985" s="1" t="s">
        <v>3425</v>
      </c>
      <c r="H985" s="1" t="s">
        <v>26</v>
      </c>
      <c r="I985" s="1" t="s">
        <v>94</v>
      </c>
      <c r="K985" s="1" t="s">
        <v>1142</v>
      </c>
      <c r="L985" s="2" t="s">
        <v>3426</v>
      </c>
      <c r="N985" s="54">
        <v>40</v>
      </c>
      <c r="O985" s="55">
        <v>7</v>
      </c>
      <c r="Q985" s="57">
        <v>5</v>
      </c>
      <c r="R985" s="58">
        <v>9</v>
      </c>
      <c r="S985" s="59">
        <v>20</v>
      </c>
      <c r="V985" s="4" t="s">
        <v>3427</v>
      </c>
      <c r="AL985" s="60" t="s">
        <v>30</v>
      </c>
    </row>
    <row r="986" spans="1:40" x14ac:dyDescent="0.2">
      <c r="A986" s="1" t="s">
        <v>3365</v>
      </c>
      <c r="B986" s="1" t="s">
        <v>3428</v>
      </c>
      <c r="C986" s="1" t="s">
        <v>5714</v>
      </c>
      <c r="D986" s="49">
        <v>5</v>
      </c>
      <c r="E986" s="1">
        <v>3</v>
      </c>
      <c r="F986" s="1" t="s">
        <v>3370</v>
      </c>
      <c r="G986" s="1" t="s">
        <v>3429</v>
      </c>
      <c r="H986" s="1" t="s">
        <v>26</v>
      </c>
      <c r="I986" s="1" t="s">
        <v>94</v>
      </c>
      <c r="K986" s="1" t="s">
        <v>1142</v>
      </c>
      <c r="L986" s="2" t="s">
        <v>331</v>
      </c>
      <c r="N986" s="54">
        <v>35</v>
      </c>
      <c r="O986" s="55">
        <v>6</v>
      </c>
      <c r="Q986" s="57">
        <v>7</v>
      </c>
      <c r="R986" s="58">
        <v>7</v>
      </c>
      <c r="S986" s="59">
        <v>20</v>
      </c>
      <c r="V986" s="4" t="s">
        <v>3430</v>
      </c>
      <c r="AL986" s="60" t="s">
        <v>30</v>
      </c>
    </row>
    <row r="987" spans="1:40" ht="60" x14ac:dyDescent="0.2">
      <c r="A987" s="1" t="s">
        <v>3365</v>
      </c>
      <c r="B987" s="1" t="s">
        <v>3420</v>
      </c>
      <c r="C987" s="1" t="s">
        <v>5714</v>
      </c>
      <c r="D987" s="49">
        <v>6</v>
      </c>
      <c r="E987" s="1">
        <v>3</v>
      </c>
      <c r="F987" s="1" t="s">
        <v>3370</v>
      </c>
      <c r="G987" s="1" t="s">
        <v>3421</v>
      </c>
      <c r="H987" s="1" t="s">
        <v>26</v>
      </c>
      <c r="I987" s="1" t="s">
        <v>94</v>
      </c>
      <c r="K987" s="1" t="s">
        <v>1142</v>
      </c>
      <c r="L987" s="2" t="s">
        <v>331</v>
      </c>
      <c r="N987" s="54">
        <v>30</v>
      </c>
      <c r="O987" s="55">
        <v>5</v>
      </c>
      <c r="Q987" s="57">
        <v>8</v>
      </c>
      <c r="R987" s="58">
        <v>8</v>
      </c>
      <c r="S987" s="59">
        <v>20</v>
      </c>
      <c r="V987" s="4" t="s">
        <v>3423</v>
      </c>
      <c r="AL987" s="60" t="s">
        <v>30</v>
      </c>
    </row>
    <row r="988" spans="1:40" ht="24" x14ac:dyDescent="0.2">
      <c r="A988" s="1" t="s">
        <v>3365</v>
      </c>
      <c r="B988" s="1" t="s">
        <v>3403</v>
      </c>
      <c r="C988" s="1" t="s">
        <v>5714</v>
      </c>
      <c r="D988" s="49">
        <v>7</v>
      </c>
      <c r="E988" s="1">
        <v>1</v>
      </c>
      <c r="F988" s="1" t="s">
        <v>3370</v>
      </c>
      <c r="G988" s="1" t="s">
        <v>3404</v>
      </c>
      <c r="H988" s="1" t="s">
        <v>26</v>
      </c>
      <c r="I988" s="1" t="s">
        <v>88</v>
      </c>
      <c r="K988" s="1" t="s">
        <v>2428</v>
      </c>
      <c r="V988" s="4" t="s">
        <v>3405</v>
      </c>
      <c r="AL988" s="60" t="s">
        <v>30</v>
      </c>
    </row>
    <row r="989" spans="1:40" ht="60" x14ac:dyDescent="0.2">
      <c r="A989" s="1" t="s">
        <v>3365</v>
      </c>
      <c r="B989" s="1" t="s">
        <v>3443</v>
      </c>
      <c r="C989" s="1" t="s">
        <v>5714</v>
      </c>
      <c r="D989" s="49">
        <v>8</v>
      </c>
      <c r="E989" s="1">
        <v>1</v>
      </c>
      <c r="F989" s="1" t="s">
        <v>3370</v>
      </c>
      <c r="G989" s="1" t="s">
        <v>3444</v>
      </c>
      <c r="H989" s="1" t="s">
        <v>26</v>
      </c>
      <c r="I989" s="1" t="s">
        <v>88</v>
      </c>
      <c r="K989" s="1" t="s">
        <v>95</v>
      </c>
      <c r="L989" s="2" t="s">
        <v>90</v>
      </c>
      <c r="V989" s="4" t="s">
        <v>3445</v>
      </c>
      <c r="AL989" s="60" t="s">
        <v>30</v>
      </c>
    </row>
    <row r="990" spans="1:40" ht="24" x14ac:dyDescent="0.2">
      <c r="A990" s="1" t="s">
        <v>3365</v>
      </c>
      <c r="B990" s="1" t="s">
        <v>3371</v>
      </c>
      <c r="C990" s="1" t="s">
        <v>5714</v>
      </c>
      <c r="D990" s="49">
        <v>9</v>
      </c>
      <c r="E990" s="1">
        <v>3</v>
      </c>
      <c r="F990" s="1" t="s">
        <v>3370</v>
      </c>
      <c r="G990" s="1" t="s">
        <v>3372</v>
      </c>
      <c r="I990" s="1" t="s">
        <v>82</v>
      </c>
      <c r="V990" s="4" t="s">
        <v>3373</v>
      </c>
      <c r="W990" s="4" t="s">
        <v>3374</v>
      </c>
      <c r="AL990" s="60" t="s">
        <v>30</v>
      </c>
    </row>
    <row r="991" spans="1:40" ht="24" x14ac:dyDescent="0.2">
      <c r="A991" s="1" t="s">
        <v>3365</v>
      </c>
      <c r="B991" s="1" t="s">
        <v>3417</v>
      </c>
      <c r="C991" s="1" t="s">
        <v>5714</v>
      </c>
      <c r="D991" s="49">
        <v>10</v>
      </c>
      <c r="E991" s="1">
        <v>3</v>
      </c>
      <c r="F991" s="1" t="s">
        <v>3370</v>
      </c>
      <c r="G991" s="1" t="s">
        <v>3418</v>
      </c>
      <c r="I991" s="1" t="s">
        <v>82</v>
      </c>
      <c r="V991" s="4" t="s">
        <v>3402</v>
      </c>
      <c r="W991" s="4" t="s">
        <v>3419</v>
      </c>
      <c r="AL991" s="60" t="s">
        <v>30</v>
      </c>
    </row>
    <row r="992" spans="1:40" ht="48" x14ac:dyDescent="0.2">
      <c r="A992" s="1" t="s">
        <v>3365</v>
      </c>
      <c r="B992" s="1" t="s">
        <v>3446</v>
      </c>
      <c r="C992" s="1" t="s">
        <v>5714</v>
      </c>
      <c r="D992" s="49">
        <v>11</v>
      </c>
      <c r="E992" s="1">
        <v>3</v>
      </c>
      <c r="F992" s="1" t="s">
        <v>3370</v>
      </c>
      <c r="G992" s="1" t="s">
        <v>3447</v>
      </c>
      <c r="I992" s="1" t="s">
        <v>82</v>
      </c>
      <c r="V992" s="4" t="s">
        <v>3448</v>
      </c>
      <c r="AL992" s="60" t="s">
        <v>30</v>
      </c>
    </row>
    <row r="993" spans="1:40" ht="36" x14ac:dyDescent="0.2">
      <c r="A993" s="1" t="s">
        <v>3365</v>
      </c>
      <c r="B993" s="1" t="s">
        <v>3375</v>
      </c>
      <c r="C993" s="1" t="s">
        <v>5714</v>
      </c>
      <c r="D993" s="49">
        <v>12</v>
      </c>
      <c r="E993" s="1">
        <v>3</v>
      </c>
      <c r="F993" s="1" t="s">
        <v>3370</v>
      </c>
      <c r="G993" s="1" t="s">
        <v>3376</v>
      </c>
      <c r="I993" s="1" t="s">
        <v>82</v>
      </c>
      <c r="V993" s="4" t="s">
        <v>3377</v>
      </c>
      <c r="W993" s="4" t="s">
        <v>3378</v>
      </c>
      <c r="AL993" s="60" t="s">
        <v>30</v>
      </c>
    </row>
    <row r="994" spans="1:40" ht="36" x14ac:dyDescent="0.2">
      <c r="A994" s="1" t="s">
        <v>3365</v>
      </c>
      <c r="B994" s="1" t="s">
        <v>3366</v>
      </c>
      <c r="C994" s="1" t="s">
        <v>5714</v>
      </c>
      <c r="D994" s="49">
        <v>13</v>
      </c>
      <c r="E994" s="1">
        <v>2</v>
      </c>
      <c r="F994" s="1" t="s">
        <v>3370</v>
      </c>
      <c r="G994" s="1" t="s">
        <v>3367</v>
      </c>
      <c r="I994" s="1" t="s">
        <v>82</v>
      </c>
      <c r="V994" s="4" t="s">
        <v>3368</v>
      </c>
      <c r="W994" s="4" t="s">
        <v>3369</v>
      </c>
      <c r="AL994" s="60" t="s">
        <v>30</v>
      </c>
    </row>
    <row r="995" spans="1:40" ht="36" x14ac:dyDescent="0.2">
      <c r="A995" s="1" t="s">
        <v>3365</v>
      </c>
      <c r="B995" s="1" t="s">
        <v>3413</v>
      </c>
      <c r="C995" s="1" t="s">
        <v>5714</v>
      </c>
      <c r="D995" s="49">
        <v>14</v>
      </c>
      <c r="E995" s="1">
        <v>2</v>
      </c>
      <c r="F995" s="1" t="s">
        <v>3370</v>
      </c>
      <c r="G995" s="1" t="s">
        <v>3414</v>
      </c>
      <c r="I995" s="1" t="s">
        <v>82</v>
      </c>
      <c r="V995" s="4" t="s">
        <v>3415</v>
      </c>
      <c r="W995" s="4" t="s">
        <v>3416</v>
      </c>
      <c r="AL995" s="60" t="s">
        <v>30</v>
      </c>
    </row>
    <row r="996" spans="1:40" x14ac:dyDescent="0.2">
      <c r="A996" s="1" t="s">
        <v>3365</v>
      </c>
      <c r="B996" s="1" t="s">
        <v>3449</v>
      </c>
      <c r="C996" s="1" t="s">
        <v>5714</v>
      </c>
      <c r="D996" s="49">
        <v>15</v>
      </c>
      <c r="E996" s="1">
        <v>1</v>
      </c>
      <c r="F996" s="1" t="s">
        <v>3370</v>
      </c>
      <c r="G996" s="1" t="s">
        <v>3450</v>
      </c>
      <c r="I996" s="1" t="s">
        <v>104</v>
      </c>
      <c r="K996" s="1" t="s">
        <v>3381</v>
      </c>
      <c r="O996" s="55">
        <v>2</v>
      </c>
      <c r="T996" s="60">
        <v>2</v>
      </c>
      <c r="U996" s="1">
        <v>2</v>
      </c>
      <c r="V996" s="4" t="s">
        <v>3451</v>
      </c>
      <c r="AL996" s="60" t="s">
        <v>30</v>
      </c>
    </row>
    <row r="997" spans="1:40" ht="24" x14ac:dyDescent="0.2">
      <c r="A997" s="1" t="s">
        <v>3365</v>
      </c>
      <c r="B997" s="1" t="s">
        <v>3439</v>
      </c>
      <c r="C997" s="1" t="s">
        <v>5714</v>
      </c>
      <c r="D997" s="49">
        <v>16</v>
      </c>
      <c r="E997" s="1">
        <v>1</v>
      </c>
      <c r="F997" s="1" t="s">
        <v>3370</v>
      </c>
      <c r="G997" s="1" t="s">
        <v>3440</v>
      </c>
      <c r="I997" s="1" t="s">
        <v>104</v>
      </c>
      <c r="K997" s="1" t="s">
        <v>3386</v>
      </c>
      <c r="L997" s="2" t="s">
        <v>3401</v>
      </c>
      <c r="O997" s="55">
        <v>4</v>
      </c>
      <c r="T997" s="60">
        <v>8</v>
      </c>
      <c r="U997" s="1">
        <v>8</v>
      </c>
      <c r="V997" s="4" t="s">
        <v>3441</v>
      </c>
      <c r="W997" s="4" t="s">
        <v>3442</v>
      </c>
      <c r="AL997" s="60" t="s">
        <v>30</v>
      </c>
    </row>
    <row r="998" spans="1:40" ht="24" x14ac:dyDescent="0.2">
      <c r="A998" s="1" t="s">
        <v>3365</v>
      </c>
      <c r="B998" s="1" t="s">
        <v>3431</v>
      </c>
      <c r="C998" s="1" t="s">
        <v>5714</v>
      </c>
      <c r="D998" s="49">
        <v>17</v>
      </c>
      <c r="E998" s="1">
        <v>1</v>
      </c>
      <c r="F998" s="1" t="s">
        <v>3370</v>
      </c>
      <c r="G998" s="1" t="s">
        <v>3432</v>
      </c>
      <c r="I998" s="1" t="s">
        <v>104</v>
      </c>
      <c r="K998" s="1" t="s">
        <v>3381</v>
      </c>
      <c r="L998" s="2" t="s">
        <v>3397</v>
      </c>
      <c r="O998" s="55">
        <v>1</v>
      </c>
      <c r="T998" s="60">
        <v>4</v>
      </c>
      <c r="U998" s="1">
        <v>4</v>
      </c>
      <c r="V998" s="4" t="s">
        <v>3433</v>
      </c>
      <c r="AL998" s="60" t="s">
        <v>30</v>
      </c>
    </row>
    <row r="999" spans="1:40" x14ac:dyDescent="0.2">
      <c r="A999" s="1" t="s">
        <v>3365</v>
      </c>
      <c r="B999" s="1" t="s">
        <v>3410</v>
      </c>
      <c r="C999" s="1" t="s">
        <v>5714</v>
      </c>
      <c r="D999" s="49">
        <v>18</v>
      </c>
      <c r="E999" s="1">
        <v>1</v>
      </c>
      <c r="F999" s="1" t="s">
        <v>3370</v>
      </c>
      <c r="G999" s="1" t="s">
        <v>3411</v>
      </c>
      <c r="I999" s="1" t="s">
        <v>104</v>
      </c>
      <c r="K999" s="1" t="s">
        <v>3381</v>
      </c>
      <c r="L999" s="2" t="s">
        <v>3397</v>
      </c>
      <c r="O999" s="55">
        <v>2</v>
      </c>
      <c r="T999" s="60">
        <v>2</v>
      </c>
      <c r="U999" s="1">
        <v>2</v>
      </c>
      <c r="V999" s="4" t="s">
        <v>3412</v>
      </c>
      <c r="AL999" s="60" t="s">
        <v>30</v>
      </c>
    </row>
    <row r="1000" spans="1:40" ht="24" x14ac:dyDescent="0.2">
      <c r="A1000" s="1" t="s">
        <v>3365</v>
      </c>
      <c r="B1000" s="1" t="s">
        <v>3406</v>
      </c>
      <c r="C1000" s="1" t="s">
        <v>5714</v>
      </c>
      <c r="D1000" s="49">
        <v>19</v>
      </c>
      <c r="E1000" s="1">
        <v>4</v>
      </c>
      <c r="F1000" s="1" t="s">
        <v>3370</v>
      </c>
      <c r="G1000" s="1" t="s">
        <v>3407</v>
      </c>
      <c r="I1000" s="1" t="s">
        <v>104</v>
      </c>
      <c r="K1000" s="1" t="s">
        <v>3386</v>
      </c>
      <c r="L1000" s="2" t="s">
        <v>3382</v>
      </c>
      <c r="O1000" s="55">
        <v>4</v>
      </c>
      <c r="T1000" s="60">
        <v>3</v>
      </c>
      <c r="U1000" s="1">
        <v>3</v>
      </c>
      <c r="V1000" s="4" t="s">
        <v>3408</v>
      </c>
      <c r="W1000" s="4" t="s">
        <v>3409</v>
      </c>
      <c r="AL1000" s="60" t="s">
        <v>30</v>
      </c>
    </row>
    <row r="1001" spans="1:40" x14ac:dyDescent="0.2">
      <c r="A1001" s="1" t="s">
        <v>3365</v>
      </c>
      <c r="B1001" s="1" t="s">
        <v>3379</v>
      </c>
      <c r="C1001" s="1" t="s">
        <v>5714</v>
      </c>
      <c r="D1001" s="49">
        <v>20</v>
      </c>
      <c r="E1001" s="1">
        <v>1</v>
      </c>
      <c r="F1001" s="1" t="s">
        <v>3370</v>
      </c>
      <c r="G1001" s="1" t="s">
        <v>3380</v>
      </c>
      <c r="I1001" s="1" t="s">
        <v>104</v>
      </c>
      <c r="K1001" s="1" t="s">
        <v>3381</v>
      </c>
      <c r="L1001" s="2" t="s">
        <v>3382</v>
      </c>
      <c r="O1001" s="55">
        <v>2</v>
      </c>
      <c r="T1001" s="60">
        <v>2</v>
      </c>
      <c r="U1001" s="1">
        <v>2</v>
      </c>
      <c r="V1001" s="4" t="s">
        <v>3383</v>
      </c>
      <c r="AL1001" s="60" t="s">
        <v>30</v>
      </c>
    </row>
    <row r="1002" spans="1:40" x14ac:dyDescent="0.2">
      <c r="A1002" s="1" t="s">
        <v>3365</v>
      </c>
      <c r="B1002" s="1" t="s">
        <v>3399</v>
      </c>
      <c r="C1002" s="1" t="s">
        <v>5714</v>
      </c>
      <c r="D1002" s="49">
        <v>21</v>
      </c>
      <c r="E1002" s="1">
        <v>1</v>
      </c>
      <c r="F1002" s="1" t="s">
        <v>3370</v>
      </c>
      <c r="G1002" s="1" t="s">
        <v>3400</v>
      </c>
      <c r="I1002" s="1" t="s">
        <v>104</v>
      </c>
      <c r="K1002" s="1" t="s">
        <v>3386</v>
      </c>
      <c r="L1002" s="2" t="s">
        <v>3401</v>
      </c>
      <c r="O1002" s="55">
        <v>6</v>
      </c>
      <c r="T1002" s="60">
        <v>6</v>
      </c>
      <c r="U1002" s="1">
        <v>6</v>
      </c>
      <c r="V1002" s="4" t="s">
        <v>3402</v>
      </c>
      <c r="AL1002" s="60" t="s">
        <v>30</v>
      </c>
    </row>
    <row r="1003" spans="1:40" ht="36" x14ac:dyDescent="0.2">
      <c r="A1003" s="1" t="s">
        <v>3365</v>
      </c>
      <c r="B1003" s="1" t="s">
        <v>3395</v>
      </c>
      <c r="C1003" s="1" t="s">
        <v>5714</v>
      </c>
      <c r="D1003" s="49">
        <v>22</v>
      </c>
      <c r="E1003" s="1">
        <v>1</v>
      </c>
      <c r="F1003" s="1" t="s">
        <v>3370</v>
      </c>
      <c r="G1003" s="1" t="s">
        <v>3396</v>
      </c>
      <c r="I1003" s="1" t="s">
        <v>104</v>
      </c>
      <c r="K1003" s="1" t="s">
        <v>3386</v>
      </c>
      <c r="L1003" s="2" t="s">
        <v>3397</v>
      </c>
      <c r="O1003" s="55">
        <v>3</v>
      </c>
      <c r="T1003" s="60">
        <v>4</v>
      </c>
      <c r="U1003" s="1">
        <v>4</v>
      </c>
      <c r="V1003" s="4" t="s">
        <v>3398</v>
      </c>
      <c r="AL1003" s="60" t="s">
        <v>30</v>
      </c>
    </row>
    <row r="1004" spans="1:40" ht="24" x14ac:dyDescent="0.2">
      <c r="A1004" s="1" t="s">
        <v>3365</v>
      </c>
      <c r="B1004" s="1" t="s">
        <v>3391</v>
      </c>
      <c r="C1004" s="1" t="s">
        <v>5714</v>
      </c>
      <c r="D1004" s="49">
        <v>23</v>
      </c>
      <c r="E1004" s="1">
        <v>4</v>
      </c>
      <c r="F1004" s="1" t="s">
        <v>3370</v>
      </c>
      <c r="G1004" s="1" t="s">
        <v>3392</v>
      </c>
      <c r="I1004" s="1" t="s">
        <v>104</v>
      </c>
      <c r="K1004" s="1" t="s">
        <v>3386</v>
      </c>
      <c r="L1004" s="2" t="s">
        <v>3382</v>
      </c>
      <c r="O1004" s="55">
        <v>2</v>
      </c>
      <c r="T1004" s="60">
        <v>2</v>
      </c>
      <c r="U1004" s="1">
        <v>2</v>
      </c>
      <c r="V1004" s="4" t="s">
        <v>3393</v>
      </c>
      <c r="W1004" s="4" t="s">
        <v>3394</v>
      </c>
      <c r="AL1004" s="60" t="s">
        <v>30</v>
      </c>
    </row>
    <row r="1005" spans="1:40" ht="24" x14ac:dyDescent="0.2">
      <c r="A1005" s="1" t="s">
        <v>3365</v>
      </c>
      <c r="B1005" s="1" t="s">
        <v>3384</v>
      </c>
      <c r="C1005" s="1" t="s">
        <v>5714</v>
      </c>
      <c r="D1005" s="49">
        <v>24</v>
      </c>
      <c r="E1005" s="1">
        <v>4</v>
      </c>
      <c r="F1005" s="1" t="s">
        <v>3370</v>
      </c>
      <c r="G1005" s="1" t="s">
        <v>3385</v>
      </c>
      <c r="I1005" s="1" t="s">
        <v>104</v>
      </c>
      <c r="K1005" s="1" t="s">
        <v>3386</v>
      </c>
      <c r="L1005" s="2" t="s">
        <v>3382</v>
      </c>
      <c r="O1005" s="55">
        <v>3</v>
      </c>
      <c r="T1005" s="60">
        <v>4</v>
      </c>
      <c r="U1005" s="1">
        <v>4</v>
      </c>
      <c r="V1005" s="4" t="s">
        <v>3387</v>
      </c>
      <c r="W1005" s="4" t="s">
        <v>3388</v>
      </c>
      <c r="AL1005" s="60" t="s">
        <v>30</v>
      </c>
    </row>
    <row r="1006" spans="1:40" ht="48" x14ac:dyDescent="0.2">
      <c r="A1006" s="117" t="s">
        <v>5144</v>
      </c>
      <c r="B1006" s="117" t="s">
        <v>5216</v>
      </c>
      <c r="C1006" s="117" t="s">
        <v>5715</v>
      </c>
      <c r="D1006" s="118">
        <v>1</v>
      </c>
      <c r="E1006" s="117">
        <v>1</v>
      </c>
      <c r="F1006" s="117" t="s">
        <v>5149</v>
      </c>
      <c r="G1006" s="117" t="s">
        <v>9564</v>
      </c>
      <c r="I1006" s="1" t="s">
        <v>125</v>
      </c>
      <c r="M1006" s="18">
        <v>1</v>
      </c>
      <c r="N1006" s="54" t="s">
        <v>9529</v>
      </c>
      <c r="V1006" s="4" t="s">
        <v>5217</v>
      </c>
      <c r="X1006" s="1" t="s">
        <v>5218</v>
      </c>
      <c r="Y1006" s="1" t="s">
        <v>9564</v>
      </c>
      <c r="AA1006" s="1" t="s">
        <v>125</v>
      </c>
      <c r="AE1006" s="1">
        <v>1</v>
      </c>
      <c r="AF1006" s="54" t="s">
        <v>9530</v>
      </c>
      <c r="AL1006" s="60" t="s">
        <v>166</v>
      </c>
      <c r="AN1006" s="4" t="s">
        <v>5219</v>
      </c>
    </row>
    <row r="1007" spans="1:40" ht="36" x14ac:dyDescent="0.2">
      <c r="A1007" s="1" t="s">
        <v>5144</v>
      </c>
      <c r="B1007" s="1" t="s">
        <v>5220</v>
      </c>
      <c r="C1007" s="1" t="s">
        <v>5715</v>
      </c>
      <c r="D1007" s="49">
        <v>2</v>
      </c>
      <c r="E1007" s="1">
        <v>1</v>
      </c>
      <c r="F1007" s="1" t="s">
        <v>5149</v>
      </c>
      <c r="G1007" s="1" t="s">
        <v>9623</v>
      </c>
      <c r="I1007" s="1" t="s">
        <v>125</v>
      </c>
      <c r="M1007" s="18">
        <v>2</v>
      </c>
      <c r="N1007" s="54" t="s">
        <v>9529</v>
      </c>
      <c r="V1007" s="4" t="s">
        <v>5221</v>
      </c>
      <c r="Y1007" s="1" t="s">
        <v>9623</v>
      </c>
      <c r="AA1007" s="1" t="s">
        <v>125</v>
      </c>
      <c r="AE1007" s="1">
        <v>2</v>
      </c>
      <c r="AF1007" s="54" t="s">
        <v>9530</v>
      </c>
      <c r="AL1007" s="60" t="s">
        <v>341</v>
      </c>
      <c r="AN1007" s="4" t="s">
        <v>5222</v>
      </c>
    </row>
    <row r="1008" spans="1:40" ht="48" x14ac:dyDescent="0.2">
      <c r="A1008" s="1" t="s">
        <v>5144</v>
      </c>
      <c r="B1008" s="1" t="s">
        <v>5223</v>
      </c>
      <c r="C1008" s="1" t="s">
        <v>5715</v>
      </c>
      <c r="D1008" s="49">
        <v>3</v>
      </c>
      <c r="E1008" s="1">
        <v>1</v>
      </c>
      <c r="F1008" s="1" t="s">
        <v>5149</v>
      </c>
      <c r="G1008" s="1" t="s">
        <v>9684</v>
      </c>
      <c r="I1008" s="1" t="s">
        <v>125</v>
      </c>
      <c r="M1008" s="18">
        <v>3</v>
      </c>
      <c r="N1008" s="54" t="s">
        <v>9529</v>
      </c>
      <c r="V1008" s="4" t="s">
        <v>5224</v>
      </c>
      <c r="Y1008" s="1" t="s">
        <v>9684</v>
      </c>
      <c r="AA1008" s="1" t="s">
        <v>125</v>
      </c>
      <c r="AE1008" s="1">
        <v>3</v>
      </c>
      <c r="AF1008" s="54" t="s">
        <v>9530</v>
      </c>
      <c r="AL1008" s="60" t="s">
        <v>5621</v>
      </c>
      <c r="AN1008" s="4" t="s">
        <v>5225</v>
      </c>
    </row>
    <row r="1009" spans="1:43" ht="96" x14ac:dyDescent="0.2">
      <c r="A1009" s="1" t="s">
        <v>5144</v>
      </c>
      <c r="B1009" s="1" t="s">
        <v>5230</v>
      </c>
      <c r="C1009" s="1" t="s">
        <v>5715</v>
      </c>
      <c r="D1009" s="49">
        <v>4</v>
      </c>
      <c r="E1009" s="1">
        <v>1</v>
      </c>
      <c r="F1009" s="1" t="s">
        <v>5149</v>
      </c>
      <c r="G1009" s="1" t="s">
        <v>5231</v>
      </c>
      <c r="H1009" s="1" t="s">
        <v>26</v>
      </c>
      <c r="I1009" s="1" t="s">
        <v>88</v>
      </c>
      <c r="K1009" s="1" t="s">
        <v>205</v>
      </c>
      <c r="P1009" s="56">
        <v>3</v>
      </c>
      <c r="Q1009" s="57">
        <v>1</v>
      </c>
      <c r="R1009" s="58">
        <v>1</v>
      </c>
      <c r="S1009" s="59">
        <v>2</v>
      </c>
      <c r="V1009" s="4" t="s">
        <v>5232</v>
      </c>
      <c r="AL1009" s="60" t="s">
        <v>30</v>
      </c>
      <c r="AQ1009" s="5"/>
    </row>
    <row r="1010" spans="1:43" ht="36" x14ac:dyDescent="0.2">
      <c r="A1010" s="1" t="s">
        <v>5144</v>
      </c>
      <c r="B1010" s="1" t="s">
        <v>5183</v>
      </c>
      <c r="C1010" s="1" t="s">
        <v>5715</v>
      </c>
      <c r="D1010" s="49">
        <v>5</v>
      </c>
      <c r="E1010" s="1">
        <v>1</v>
      </c>
      <c r="F1010" s="1" t="s">
        <v>5149</v>
      </c>
      <c r="G1010" s="1" t="s">
        <v>5184</v>
      </c>
      <c r="H1010" s="1" t="s">
        <v>26</v>
      </c>
      <c r="I1010" s="1" t="s">
        <v>94</v>
      </c>
      <c r="K1010" s="1" t="s">
        <v>5164</v>
      </c>
      <c r="L1010" s="2" t="s">
        <v>5185</v>
      </c>
      <c r="N1010" s="54">
        <v>30</v>
      </c>
      <c r="O1010" s="55">
        <v>5</v>
      </c>
      <c r="Q1010" s="57">
        <v>6</v>
      </c>
      <c r="R1010" s="58">
        <v>3</v>
      </c>
      <c r="S1010" s="59">
        <v>9</v>
      </c>
      <c r="V1010" s="4" t="s">
        <v>5186</v>
      </c>
      <c r="AL1010" s="60" t="s">
        <v>30</v>
      </c>
      <c r="AQ1010" s="5"/>
    </row>
    <row r="1011" spans="1:43" ht="48" x14ac:dyDescent="0.2">
      <c r="A1011" s="1" t="s">
        <v>5144</v>
      </c>
      <c r="B1011" s="1" t="s">
        <v>5187</v>
      </c>
      <c r="C1011" s="1" t="s">
        <v>5715</v>
      </c>
      <c r="D1011" s="49">
        <v>6</v>
      </c>
      <c r="E1011" s="1">
        <v>1</v>
      </c>
      <c r="F1011" s="1" t="s">
        <v>5149</v>
      </c>
      <c r="G1011" s="1" t="s">
        <v>5149</v>
      </c>
      <c r="H1011" s="1" t="s">
        <v>26</v>
      </c>
      <c r="I1011" s="1" t="s">
        <v>104</v>
      </c>
      <c r="K1011" s="1" t="s">
        <v>5178</v>
      </c>
      <c r="L1011" s="2" t="s">
        <v>5188</v>
      </c>
      <c r="O1011" s="55" t="s">
        <v>113</v>
      </c>
      <c r="T1011" s="60">
        <v>6</v>
      </c>
      <c r="U1011" s="1">
        <v>5</v>
      </c>
      <c r="V1011" s="4" t="s">
        <v>5189</v>
      </c>
      <c r="AL1011" s="60" t="s">
        <v>30</v>
      </c>
      <c r="AQ1011" s="5"/>
    </row>
    <row r="1012" spans="1:43" ht="48" x14ac:dyDescent="0.2">
      <c r="A1012" s="1" t="s">
        <v>5144</v>
      </c>
      <c r="B1012" s="1" t="s">
        <v>5190</v>
      </c>
      <c r="C1012" s="1" t="s">
        <v>5715</v>
      </c>
      <c r="D1012" s="49">
        <v>7</v>
      </c>
      <c r="E1012" s="1">
        <v>1</v>
      </c>
      <c r="F1012" s="1" t="s">
        <v>5149</v>
      </c>
      <c r="G1012" s="1" t="s">
        <v>5191</v>
      </c>
      <c r="H1012" s="1" t="s">
        <v>26</v>
      </c>
      <c r="I1012" s="1" t="s">
        <v>104</v>
      </c>
      <c r="K1012" s="1" t="s">
        <v>5192</v>
      </c>
      <c r="O1012" s="55">
        <v>3</v>
      </c>
      <c r="T1012" s="60">
        <v>6</v>
      </c>
      <c r="U1012" s="1">
        <v>1</v>
      </c>
      <c r="V1012" s="4" t="s">
        <v>5193</v>
      </c>
      <c r="AL1012" s="60" t="s">
        <v>30</v>
      </c>
      <c r="AQ1012" s="5"/>
    </row>
    <row r="1013" spans="1:43" ht="48" x14ac:dyDescent="0.2">
      <c r="A1013" s="1" t="s">
        <v>5144</v>
      </c>
      <c r="B1013" s="1" t="s">
        <v>5159</v>
      </c>
      <c r="C1013" s="1" t="s">
        <v>5715</v>
      </c>
      <c r="D1013" s="49">
        <v>8</v>
      </c>
      <c r="E1013" s="1">
        <v>1</v>
      </c>
      <c r="F1013" s="1" t="s">
        <v>5149</v>
      </c>
      <c r="G1013" s="1" t="s">
        <v>5160</v>
      </c>
      <c r="I1013" s="1" t="s">
        <v>88</v>
      </c>
      <c r="K1013" s="1" t="s">
        <v>5152</v>
      </c>
      <c r="V1013" s="4" t="s">
        <v>5161</v>
      </c>
      <c r="AL1013" s="60" t="s">
        <v>30</v>
      </c>
      <c r="AQ1013" s="5"/>
    </row>
    <row r="1014" spans="1:43" ht="48" x14ac:dyDescent="0.2">
      <c r="A1014" s="1" t="s">
        <v>5144</v>
      </c>
      <c r="B1014" s="1" t="s">
        <v>5213</v>
      </c>
      <c r="C1014" s="1" t="s">
        <v>5715</v>
      </c>
      <c r="D1014" s="49">
        <v>9</v>
      </c>
      <c r="E1014" s="1">
        <v>1</v>
      </c>
      <c r="F1014" s="1" t="s">
        <v>5149</v>
      </c>
      <c r="G1014" s="1" t="s">
        <v>5214</v>
      </c>
      <c r="I1014" s="1" t="s">
        <v>88</v>
      </c>
      <c r="K1014" s="1" t="s">
        <v>5152</v>
      </c>
      <c r="V1014" s="4" t="s">
        <v>5215</v>
      </c>
      <c r="AL1014" s="60" t="s">
        <v>30</v>
      </c>
      <c r="AQ1014" s="5"/>
    </row>
    <row r="1015" spans="1:43" ht="24" x14ac:dyDescent="0.2">
      <c r="A1015" s="1" t="s">
        <v>5144</v>
      </c>
      <c r="B1015" s="1" t="s">
        <v>5150</v>
      </c>
      <c r="C1015" s="1" t="s">
        <v>5715</v>
      </c>
      <c r="D1015" s="49">
        <v>10</v>
      </c>
      <c r="E1015" s="1">
        <v>1</v>
      </c>
      <c r="F1015" s="1" t="s">
        <v>5149</v>
      </c>
      <c r="G1015" s="1" t="s">
        <v>5151</v>
      </c>
      <c r="I1015" s="1" t="s">
        <v>88</v>
      </c>
      <c r="K1015" s="1" t="s">
        <v>5152</v>
      </c>
      <c r="V1015" s="4" t="s">
        <v>5153</v>
      </c>
      <c r="AL1015" s="60" t="s">
        <v>30</v>
      </c>
    </row>
    <row r="1016" spans="1:43" ht="48" x14ac:dyDescent="0.2">
      <c r="A1016" s="1" t="s">
        <v>5144</v>
      </c>
      <c r="B1016" s="1" t="s">
        <v>5180</v>
      </c>
      <c r="C1016" s="1" t="s">
        <v>5715</v>
      </c>
      <c r="D1016" s="49">
        <v>11</v>
      </c>
      <c r="E1016" s="1">
        <v>1</v>
      </c>
      <c r="F1016" s="1" t="s">
        <v>5149</v>
      </c>
      <c r="G1016" s="1" t="s">
        <v>5181</v>
      </c>
      <c r="I1016" s="1" t="s">
        <v>88</v>
      </c>
      <c r="K1016" s="1" t="s">
        <v>474</v>
      </c>
      <c r="V1016" s="4" t="s">
        <v>5182</v>
      </c>
      <c r="AL1016" s="60" t="s">
        <v>30</v>
      </c>
      <c r="AQ1016" s="5"/>
    </row>
    <row r="1017" spans="1:43" ht="24" x14ac:dyDescent="0.2">
      <c r="A1017" s="1" t="s">
        <v>5144</v>
      </c>
      <c r="B1017" s="1" t="s">
        <v>5194</v>
      </c>
      <c r="C1017" s="1" t="s">
        <v>5715</v>
      </c>
      <c r="D1017" s="49">
        <v>12</v>
      </c>
      <c r="E1017" s="1">
        <v>2</v>
      </c>
      <c r="F1017" s="1" t="s">
        <v>5149</v>
      </c>
      <c r="G1017" s="1" t="s">
        <v>5195</v>
      </c>
      <c r="I1017" s="1" t="s">
        <v>94</v>
      </c>
      <c r="K1017" s="1" t="s">
        <v>5164</v>
      </c>
      <c r="L1017" s="2" t="s">
        <v>5165</v>
      </c>
      <c r="N1017" s="54">
        <v>27</v>
      </c>
      <c r="O1017" s="55">
        <v>2</v>
      </c>
      <c r="Q1017" s="57">
        <v>4</v>
      </c>
      <c r="R1017" s="58">
        <v>1</v>
      </c>
      <c r="S1017" s="59">
        <v>5</v>
      </c>
      <c r="V1017" s="4" t="s">
        <v>5196</v>
      </c>
      <c r="W1017" s="4" t="s">
        <v>5197</v>
      </c>
      <c r="AL1017" s="60" t="s">
        <v>30</v>
      </c>
      <c r="AQ1017" s="5"/>
    </row>
    <row r="1018" spans="1:43" ht="24" x14ac:dyDescent="0.2">
      <c r="A1018" s="1" t="s">
        <v>5144</v>
      </c>
      <c r="B1018" s="1" t="s">
        <v>5170</v>
      </c>
      <c r="C1018" s="1" t="s">
        <v>5715</v>
      </c>
      <c r="D1018" s="49">
        <v>13</v>
      </c>
      <c r="E1018" s="1">
        <v>4</v>
      </c>
      <c r="F1018" s="1" t="s">
        <v>5149</v>
      </c>
      <c r="G1018" s="1" t="s">
        <v>5171</v>
      </c>
      <c r="I1018" s="1" t="s">
        <v>94</v>
      </c>
      <c r="K1018" s="1" t="s">
        <v>5164</v>
      </c>
      <c r="L1018" s="2" t="s">
        <v>5165</v>
      </c>
      <c r="N1018" s="54">
        <v>12</v>
      </c>
      <c r="O1018" s="55">
        <v>2</v>
      </c>
      <c r="Q1018" s="57">
        <v>3</v>
      </c>
      <c r="R1018" s="58">
        <v>0</v>
      </c>
      <c r="S1018" s="59">
        <v>2</v>
      </c>
      <c r="V1018" s="4" t="s">
        <v>5172</v>
      </c>
      <c r="AL1018" s="60" t="s">
        <v>30</v>
      </c>
      <c r="AQ1018" s="5"/>
    </row>
    <row r="1019" spans="1:43" ht="36" x14ac:dyDescent="0.2">
      <c r="A1019" s="1" t="s">
        <v>5144</v>
      </c>
      <c r="B1019" s="1" t="s">
        <v>5162</v>
      </c>
      <c r="C1019" s="1" t="s">
        <v>5715</v>
      </c>
      <c r="D1019" s="49">
        <v>14</v>
      </c>
      <c r="E1019" s="1">
        <v>3</v>
      </c>
      <c r="F1019" s="1" t="s">
        <v>5149</v>
      </c>
      <c r="G1019" s="1" t="s">
        <v>5163</v>
      </c>
      <c r="I1019" s="1" t="s">
        <v>94</v>
      </c>
      <c r="K1019" s="1" t="s">
        <v>5164</v>
      </c>
      <c r="L1019" s="2" t="s">
        <v>5165</v>
      </c>
      <c r="N1019" s="54">
        <v>35</v>
      </c>
      <c r="O1019" s="55">
        <v>2</v>
      </c>
      <c r="Q1019" s="57">
        <v>2</v>
      </c>
      <c r="R1019" s="58">
        <v>2</v>
      </c>
      <c r="S1019" s="59">
        <v>4</v>
      </c>
      <c r="V1019" s="4" t="s">
        <v>5166</v>
      </c>
      <c r="AL1019" s="60" t="s">
        <v>30</v>
      </c>
      <c r="AQ1019" s="5"/>
    </row>
    <row r="1020" spans="1:43" ht="36" x14ac:dyDescent="0.2">
      <c r="A1020" s="1" t="s">
        <v>5144</v>
      </c>
      <c r="B1020" s="1" t="s">
        <v>5198</v>
      </c>
      <c r="C1020" s="1" t="s">
        <v>5715</v>
      </c>
      <c r="D1020" s="49">
        <v>15</v>
      </c>
      <c r="E1020" s="1">
        <v>2</v>
      </c>
      <c r="F1020" s="1" t="s">
        <v>5149</v>
      </c>
      <c r="G1020" s="1" t="s">
        <v>5199</v>
      </c>
      <c r="I1020" s="1" t="s">
        <v>94</v>
      </c>
      <c r="K1020" s="1" t="s">
        <v>5164</v>
      </c>
      <c r="L1020" s="2" t="s">
        <v>5165</v>
      </c>
      <c r="N1020" s="54">
        <v>42</v>
      </c>
      <c r="O1020" s="55">
        <v>3</v>
      </c>
      <c r="Q1020" s="57">
        <v>4</v>
      </c>
      <c r="R1020" s="58">
        <v>1</v>
      </c>
      <c r="S1020" s="59">
        <v>6</v>
      </c>
      <c r="V1020" s="4" t="s">
        <v>5200</v>
      </c>
      <c r="AL1020" s="60" t="s">
        <v>30</v>
      </c>
      <c r="AQ1020" s="5"/>
    </row>
    <row r="1021" spans="1:43" ht="36" x14ac:dyDescent="0.2">
      <c r="A1021" s="1" t="s">
        <v>5144</v>
      </c>
      <c r="B1021" s="1" t="s">
        <v>5226</v>
      </c>
      <c r="C1021" s="1" t="s">
        <v>5715</v>
      </c>
      <c r="D1021" s="49">
        <v>16</v>
      </c>
      <c r="E1021" s="1">
        <v>3</v>
      </c>
      <c r="F1021" s="1" t="s">
        <v>5149</v>
      </c>
      <c r="G1021" s="1" t="s">
        <v>5227</v>
      </c>
      <c r="I1021" s="1" t="s">
        <v>94</v>
      </c>
      <c r="K1021" s="1" t="s">
        <v>5164</v>
      </c>
      <c r="L1021" s="2" t="s">
        <v>5228</v>
      </c>
      <c r="N1021" s="54">
        <v>23</v>
      </c>
      <c r="O1021" s="55">
        <v>1</v>
      </c>
      <c r="Q1021" s="57">
        <v>2</v>
      </c>
      <c r="R1021" s="58">
        <v>1</v>
      </c>
      <c r="S1021" s="59">
        <v>3</v>
      </c>
      <c r="W1021" s="4" t="s">
        <v>5229</v>
      </c>
      <c r="AL1021" s="60" t="s">
        <v>30</v>
      </c>
      <c r="AQ1021" s="5"/>
    </row>
    <row r="1022" spans="1:43" ht="24" x14ac:dyDescent="0.2">
      <c r="A1022" s="1" t="s">
        <v>5144</v>
      </c>
      <c r="B1022" s="1" t="s">
        <v>5154</v>
      </c>
      <c r="C1022" s="1" t="s">
        <v>5715</v>
      </c>
      <c r="D1022" s="49">
        <v>17</v>
      </c>
      <c r="E1022" s="1">
        <v>2</v>
      </c>
      <c r="F1022" s="1" t="s">
        <v>5149</v>
      </c>
      <c r="G1022" s="1" t="s">
        <v>5155</v>
      </c>
      <c r="I1022" s="1" t="s">
        <v>104</v>
      </c>
      <c r="K1022" s="1" t="s">
        <v>5156</v>
      </c>
      <c r="O1022" s="55">
        <v>2</v>
      </c>
      <c r="T1022" s="60">
        <v>7</v>
      </c>
      <c r="V1022" s="4" t="s">
        <v>5157</v>
      </c>
      <c r="W1022" s="4" t="s">
        <v>5158</v>
      </c>
      <c r="AL1022" s="60" t="s">
        <v>30</v>
      </c>
      <c r="AQ1022" s="5"/>
    </row>
    <row r="1023" spans="1:43" ht="72" x14ac:dyDescent="0.2">
      <c r="A1023" s="1" t="s">
        <v>5144</v>
      </c>
      <c r="B1023" s="1" t="s">
        <v>5204</v>
      </c>
      <c r="C1023" s="1" t="s">
        <v>5715</v>
      </c>
      <c r="D1023" s="49">
        <v>18</v>
      </c>
      <c r="E1023" s="1">
        <v>2</v>
      </c>
      <c r="F1023" s="1" t="s">
        <v>5149</v>
      </c>
      <c r="G1023" s="1" t="s">
        <v>5205</v>
      </c>
      <c r="I1023" s="1" t="s">
        <v>104</v>
      </c>
      <c r="K1023" s="1" t="s">
        <v>5178</v>
      </c>
      <c r="O1023" s="55">
        <v>1</v>
      </c>
      <c r="T1023" s="60">
        <v>3</v>
      </c>
      <c r="V1023" s="4" t="s">
        <v>5206</v>
      </c>
      <c r="AL1023" s="60" t="s">
        <v>30</v>
      </c>
      <c r="AQ1023" s="5"/>
    </row>
    <row r="1024" spans="1:43" ht="36" x14ac:dyDescent="0.2">
      <c r="A1024" s="1" t="s">
        <v>5144</v>
      </c>
      <c r="B1024" s="1" t="s">
        <v>5237</v>
      </c>
      <c r="C1024" s="1" t="s">
        <v>5715</v>
      </c>
      <c r="D1024" s="49">
        <v>19</v>
      </c>
      <c r="E1024" s="1">
        <v>3</v>
      </c>
      <c r="F1024" s="1" t="s">
        <v>5149</v>
      </c>
      <c r="G1024" s="1" t="s">
        <v>5238</v>
      </c>
      <c r="I1024" s="1" t="s">
        <v>104</v>
      </c>
      <c r="K1024" s="1" t="s">
        <v>5178</v>
      </c>
      <c r="O1024" s="55">
        <v>4</v>
      </c>
      <c r="T1024" s="60">
        <v>1</v>
      </c>
      <c r="V1024" s="4" t="s">
        <v>5239</v>
      </c>
      <c r="W1024" s="4" t="s">
        <v>5240</v>
      </c>
      <c r="AL1024" s="60" t="s">
        <v>30</v>
      </c>
      <c r="AQ1024" s="5"/>
    </row>
    <row r="1025" spans="1:43" ht="36" x14ac:dyDescent="0.2">
      <c r="A1025" s="1" t="s">
        <v>5144</v>
      </c>
      <c r="B1025" s="1" t="s">
        <v>5145</v>
      </c>
      <c r="C1025" s="1" t="s">
        <v>5715</v>
      </c>
      <c r="D1025" s="49">
        <v>20</v>
      </c>
      <c r="E1025" s="1">
        <v>2</v>
      </c>
      <c r="F1025" s="1" t="s">
        <v>5149</v>
      </c>
      <c r="G1025" s="1" t="s">
        <v>5146</v>
      </c>
      <c r="I1025" s="1" t="s">
        <v>104</v>
      </c>
      <c r="K1025" s="1" t="s">
        <v>5147</v>
      </c>
      <c r="O1025" s="55">
        <v>1</v>
      </c>
      <c r="T1025" s="60">
        <v>4</v>
      </c>
      <c r="V1025" s="4" t="s">
        <v>5148</v>
      </c>
      <c r="AL1025" s="60" t="s">
        <v>30</v>
      </c>
    </row>
    <row r="1026" spans="1:43" ht="48" x14ac:dyDescent="0.2">
      <c r="A1026" s="1" t="s">
        <v>5144</v>
      </c>
      <c r="B1026" s="1" t="s">
        <v>5176</v>
      </c>
      <c r="C1026" s="1" t="s">
        <v>5715</v>
      </c>
      <c r="D1026" s="49">
        <v>21</v>
      </c>
      <c r="E1026" s="1">
        <v>2</v>
      </c>
      <c r="F1026" s="1" t="s">
        <v>5149</v>
      </c>
      <c r="G1026" s="1" t="s">
        <v>5177</v>
      </c>
      <c r="I1026" s="1" t="s">
        <v>104</v>
      </c>
      <c r="K1026" s="1" t="s">
        <v>5178</v>
      </c>
      <c r="O1026" s="55">
        <v>2</v>
      </c>
      <c r="T1026" s="60">
        <v>3</v>
      </c>
      <c r="V1026" s="4" t="s">
        <v>5179</v>
      </c>
      <c r="AL1026" s="60" t="s">
        <v>30</v>
      </c>
    </row>
    <row r="1027" spans="1:43" ht="60" x14ac:dyDescent="0.2">
      <c r="A1027" s="1" t="s">
        <v>5144</v>
      </c>
      <c r="B1027" s="1" t="s">
        <v>5201</v>
      </c>
      <c r="C1027" s="1" t="s">
        <v>5715</v>
      </c>
      <c r="D1027" s="49">
        <v>22</v>
      </c>
      <c r="E1027" s="1">
        <v>2</v>
      </c>
      <c r="F1027" s="1" t="s">
        <v>5149</v>
      </c>
      <c r="G1027" s="1" t="s">
        <v>5202</v>
      </c>
      <c r="I1027" s="1" t="s">
        <v>82</v>
      </c>
      <c r="V1027" s="4" t="s">
        <v>5203</v>
      </c>
      <c r="W1027" s="4" t="s">
        <v>5197</v>
      </c>
      <c r="AL1027" s="60" t="s">
        <v>30</v>
      </c>
    </row>
    <row r="1028" spans="1:43" ht="36" x14ac:dyDescent="0.2">
      <c r="A1028" s="1" t="s">
        <v>5144</v>
      </c>
      <c r="B1028" s="1" t="s">
        <v>5233</v>
      </c>
      <c r="C1028" s="1" t="s">
        <v>5715</v>
      </c>
      <c r="D1028" s="49">
        <v>23</v>
      </c>
      <c r="E1028" s="1">
        <v>2</v>
      </c>
      <c r="F1028" s="1" t="s">
        <v>5149</v>
      </c>
      <c r="G1028" s="1" t="s">
        <v>5234</v>
      </c>
      <c r="I1028" s="1" t="s">
        <v>82</v>
      </c>
      <c r="V1028" s="4" t="s">
        <v>5235</v>
      </c>
      <c r="W1028" s="4" t="s">
        <v>5236</v>
      </c>
      <c r="AL1028" s="60" t="s">
        <v>30</v>
      </c>
    </row>
    <row r="1029" spans="1:43" ht="60" x14ac:dyDescent="0.2">
      <c r="A1029" s="1" t="s">
        <v>5144</v>
      </c>
      <c r="B1029" s="1" t="s">
        <v>5173</v>
      </c>
      <c r="C1029" s="1" t="s">
        <v>5715</v>
      </c>
      <c r="D1029" s="49">
        <v>24</v>
      </c>
      <c r="E1029" s="1">
        <v>2</v>
      </c>
      <c r="F1029" s="1" t="s">
        <v>5149</v>
      </c>
      <c r="G1029" s="1" t="s">
        <v>5174</v>
      </c>
      <c r="I1029" s="1" t="s">
        <v>82</v>
      </c>
      <c r="V1029" s="4" t="s">
        <v>5175</v>
      </c>
      <c r="AL1029" s="60" t="s">
        <v>30</v>
      </c>
      <c r="AQ1029" s="5"/>
    </row>
    <row r="1030" spans="1:43" ht="48" x14ac:dyDescent="0.2">
      <c r="A1030" s="1" t="s">
        <v>5144</v>
      </c>
      <c r="B1030" s="1" t="s">
        <v>5207</v>
      </c>
      <c r="C1030" s="1" t="s">
        <v>5715</v>
      </c>
      <c r="D1030" s="49">
        <v>25</v>
      </c>
      <c r="E1030" s="1">
        <v>2</v>
      </c>
      <c r="F1030" s="1" t="s">
        <v>5149</v>
      </c>
      <c r="G1030" s="1" t="s">
        <v>5208</v>
      </c>
      <c r="I1030" s="1" t="s">
        <v>82</v>
      </c>
      <c r="V1030" s="4" t="s">
        <v>5209</v>
      </c>
      <c r="AL1030" s="60" t="s">
        <v>30</v>
      </c>
    </row>
    <row r="1031" spans="1:43" ht="24" x14ac:dyDescent="0.2">
      <c r="A1031" s="1" t="s">
        <v>5144</v>
      </c>
      <c r="B1031" s="1" t="s">
        <v>5167</v>
      </c>
      <c r="C1031" s="1" t="s">
        <v>5715</v>
      </c>
      <c r="D1031" s="49">
        <v>26</v>
      </c>
      <c r="E1031" s="1">
        <v>2</v>
      </c>
      <c r="F1031" s="1" t="s">
        <v>5149</v>
      </c>
      <c r="G1031" s="1" t="s">
        <v>5168</v>
      </c>
      <c r="I1031" s="1" t="s">
        <v>82</v>
      </c>
      <c r="V1031" s="4" t="s">
        <v>5169</v>
      </c>
      <c r="AL1031" s="60" t="s">
        <v>30</v>
      </c>
    </row>
    <row r="1032" spans="1:43" x14ac:dyDescent="0.2">
      <c r="A1032" s="1" t="s">
        <v>5144</v>
      </c>
      <c r="B1032" s="1" t="s">
        <v>5210</v>
      </c>
      <c r="C1032" s="1" t="s">
        <v>5715</v>
      </c>
      <c r="D1032" s="49">
        <v>27</v>
      </c>
      <c r="E1032" s="1">
        <v>2</v>
      </c>
      <c r="F1032" s="1" t="s">
        <v>5149</v>
      </c>
      <c r="G1032" s="1" t="s">
        <v>5211</v>
      </c>
      <c r="I1032" s="1" t="s">
        <v>82</v>
      </c>
      <c r="L1032" s="2" t="s">
        <v>3261</v>
      </c>
      <c r="V1032" s="4" t="s">
        <v>5212</v>
      </c>
      <c r="AL1032" s="60" t="s">
        <v>30</v>
      </c>
    </row>
    <row r="1033" spans="1:43" ht="36" x14ac:dyDescent="0.2">
      <c r="A1033" s="117" t="s">
        <v>11288</v>
      </c>
      <c r="B1033" s="117" t="s">
        <v>11289</v>
      </c>
      <c r="C1033" s="117" t="s">
        <v>11449</v>
      </c>
      <c r="D1033" s="117">
        <v>1</v>
      </c>
      <c r="E1033" s="117">
        <v>1</v>
      </c>
      <c r="F1033" s="117" t="s">
        <v>1671</v>
      </c>
      <c r="G1033" s="117" t="s">
        <v>11290</v>
      </c>
      <c r="I1033" s="1" t="s">
        <v>125</v>
      </c>
      <c r="K1033" s="4"/>
      <c r="L1033" s="4"/>
      <c r="M1033" s="18">
        <v>1</v>
      </c>
      <c r="N1033" s="54" t="s">
        <v>9529</v>
      </c>
      <c r="V1033" s="4" t="s">
        <v>11291</v>
      </c>
      <c r="X1033" s="1" t="s">
        <v>1672</v>
      </c>
      <c r="Y1033" s="1" t="s">
        <v>11290</v>
      </c>
      <c r="AA1033" s="1" t="s">
        <v>125</v>
      </c>
      <c r="AE1033" s="1">
        <v>1</v>
      </c>
      <c r="AF1033" s="54" t="s">
        <v>9530</v>
      </c>
      <c r="AL1033" s="60">
        <v>0</v>
      </c>
      <c r="AN1033" s="4" t="s">
        <v>11292</v>
      </c>
      <c r="AP1033" s="1"/>
    </row>
    <row r="1034" spans="1:43" ht="84" x14ac:dyDescent="0.2">
      <c r="A1034" s="1" t="s">
        <v>11288</v>
      </c>
      <c r="B1034" s="1" t="s">
        <v>11293</v>
      </c>
      <c r="C1034" s="1" t="s">
        <v>11449</v>
      </c>
      <c r="D1034" s="1">
        <v>2</v>
      </c>
      <c r="E1034" s="1">
        <v>1</v>
      </c>
      <c r="F1034" s="1" t="s">
        <v>1671</v>
      </c>
      <c r="G1034" s="1" t="s">
        <v>11294</v>
      </c>
      <c r="I1034" s="1" t="s">
        <v>125</v>
      </c>
      <c r="K1034" s="4"/>
      <c r="L1034" s="4"/>
      <c r="M1034" s="18">
        <v>2</v>
      </c>
      <c r="N1034" s="54" t="s">
        <v>9529</v>
      </c>
      <c r="V1034" s="4" t="s">
        <v>11295</v>
      </c>
      <c r="Y1034" s="1" t="s">
        <v>11296</v>
      </c>
      <c r="AA1034" s="1" t="s">
        <v>125</v>
      </c>
      <c r="AE1034" s="1">
        <v>2</v>
      </c>
      <c r="AF1034" s="54" t="s">
        <v>9530</v>
      </c>
      <c r="AL1034" s="60" t="s">
        <v>799</v>
      </c>
      <c r="AN1034" s="4" t="s">
        <v>11297</v>
      </c>
      <c r="AP1034" s="1"/>
    </row>
    <row r="1035" spans="1:43" ht="84" x14ac:dyDescent="0.2">
      <c r="A1035" s="1" t="s">
        <v>11288</v>
      </c>
      <c r="B1035" s="1" t="s">
        <v>11298</v>
      </c>
      <c r="C1035" s="1" t="s">
        <v>11449</v>
      </c>
      <c r="D1035" s="1">
        <v>3</v>
      </c>
      <c r="E1035" s="1">
        <v>1</v>
      </c>
      <c r="F1035" s="1" t="s">
        <v>1671</v>
      </c>
      <c r="G1035" s="1" t="s">
        <v>11294</v>
      </c>
      <c r="I1035" s="1" t="s">
        <v>125</v>
      </c>
      <c r="K1035" s="4"/>
      <c r="L1035" s="4"/>
      <c r="M1035" s="18">
        <v>2</v>
      </c>
      <c r="N1035" s="54" t="s">
        <v>9529</v>
      </c>
      <c r="V1035" s="4" t="s">
        <v>11295</v>
      </c>
      <c r="Y1035" s="1" t="s">
        <v>11299</v>
      </c>
      <c r="AA1035" s="1" t="s">
        <v>125</v>
      </c>
      <c r="AE1035" s="1">
        <v>2</v>
      </c>
      <c r="AF1035" s="54" t="s">
        <v>9530</v>
      </c>
      <c r="AL1035" s="60" t="s">
        <v>799</v>
      </c>
      <c r="AN1035" s="4" t="s">
        <v>11300</v>
      </c>
      <c r="AP1035" s="1"/>
    </row>
    <row r="1036" spans="1:43" ht="84" x14ac:dyDescent="0.2">
      <c r="A1036" s="1" t="s">
        <v>11288</v>
      </c>
      <c r="B1036" s="1" t="s">
        <v>11301</v>
      </c>
      <c r="C1036" s="1" t="s">
        <v>11449</v>
      </c>
      <c r="D1036" s="1">
        <v>4</v>
      </c>
      <c r="E1036" s="1">
        <v>1</v>
      </c>
      <c r="F1036" s="1" t="s">
        <v>1671</v>
      </c>
      <c r="G1036" s="1" t="s">
        <v>11294</v>
      </c>
      <c r="I1036" s="1" t="s">
        <v>125</v>
      </c>
      <c r="K1036" s="4"/>
      <c r="L1036" s="4"/>
      <c r="M1036" s="18">
        <v>2</v>
      </c>
      <c r="N1036" s="54" t="s">
        <v>9529</v>
      </c>
      <c r="V1036" s="4" t="s">
        <v>11295</v>
      </c>
      <c r="Y1036" s="1" t="s">
        <v>11302</v>
      </c>
      <c r="AA1036" s="1" t="s">
        <v>125</v>
      </c>
      <c r="AE1036" s="1">
        <v>2</v>
      </c>
      <c r="AF1036" s="54" t="s">
        <v>9530</v>
      </c>
      <c r="AL1036" s="60" t="s">
        <v>799</v>
      </c>
      <c r="AN1036" s="4" t="s">
        <v>11303</v>
      </c>
      <c r="AP1036" s="1"/>
    </row>
    <row r="1037" spans="1:43" ht="84" x14ac:dyDescent="0.2">
      <c r="A1037" s="1" t="s">
        <v>11288</v>
      </c>
      <c r="B1037" s="1" t="s">
        <v>11304</v>
      </c>
      <c r="C1037" s="1" t="s">
        <v>11449</v>
      </c>
      <c r="D1037" s="1">
        <v>5</v>
      </c>
      <c r="E1037" s="1">
        <v>1</v>
      </c>
      <c r="F1037" s="1" t="s">
        <v>1671</v>
      </c>
      <c r="G1037" s="1" t="s">
        <v>11294</v>
      </c>
      <c r="I1037" s="1" t="s">
        <v>125</v>
      </c>
      <c r="K1037" s="4"/>
      <c r="L1037" s="4"/>
      <c r="M1037" s="18">
        <v>2</v>
      </c>
      <c r="N1037" s="54" t="s">
        <v>9529</v>
      </c>
      <c r="V1037" s="4" t="s">
        <v>11295</v>
      </c>
      <c r="Y1037" s="1" t="s">
        <v>11305</v>
      </c>
      <c r="AA1037" s="1" t="s">
        <v>125</v>
      </c>
      <c r="AE1037" s="1">
        <v>2</v>
      </c>
      <c r="AF1037" s="54" t="s">
        <v>9530</v>
      </c>
      <c r="AL1037" s="60" t="s">
        <v>799</v>
      </c>
      <c r="AN1037" s="4" t="s">
        <v>11306</v>
      </c>
      <c r="AP1037" s="1"/>
    </row>
    <row r="1038" spans="1:43" ht="60" x14ac:dyDescent="0.2">
      <c r="A1038" s="1" t="s">
        <v>11288</v>
      </c>
      <c r="B1038" s="1" t="s">
        <v>11307</v>
      </c>
      <c r="C1038" s="1" t="s">
        <v>11449</v>
      </c>
      <c r="D1038" s="1">
        <v>6</v>
      </c>
      <c r="E1038" s="1">
        <v>1</v>
      </c>
      <c r="F1038" s="1" t="s">
        <v>1671</v>
      </c>
      <c r="G1038" s="1" t="s">
        <v>11308</v>
      </c>
      <c r="I1038" s="1" t="s">
        <v>125</v>
      </c>
      <c r="K1038" s="4"/>
      <c r="L1038" s="4"/>
      <c r="M1038" s="18">
        <v>3</v>
      </c>
      <c r="N1038" s="54" t="s">
        <v>9529</v>
      </c>
      <c r="V1038" s="4" t="s">
        <v>11309</v>
      </c>
      <c r="Y1038" s="1" t="s">
        <v>11308</v>
      </c>
      <c r="AA1038" s="1" t="s">
        <v>125</v>
      </c>
      <c r="AE1038" s="1">
        <v>3</v>
      </c>
      <c r="AF1038" s="54" t="s">
        <v>9530</v>
      </c>
      <c r="AL1038" s="60">
        <v>18</v>
      </c>
      <c r="AN1038" s="4" t="s">
        <v>11310</v>
      </c>
      <c r="AP1038" s="1"/>
    </row>
    <row r="1039" spans="1:43" ht="36" x14ac:dyDescent="0.2">
      <c r="A1039" s="1" t="s">
        <v>11288</v>
      </c>
      <c r="B1039" s="1" t="s">
        <v>11311</v>
      </c>
      <c r="C1039" s="1" t="s">
        <v>11449</v>
      </c>
      <c r="D1039" s="1">
        <v>7</v>
      </c>
      <c r="E1039" s="1">
        <v>1</v>
      </c>
      <c r="F1039" s="1" t="s">
        <v>1671</v>
      </c>
      <c r="G1039" s="1" t="s">
        <v>2173</v>
      </c>
      <c r="H1039" s="1" t="s">
        <v>26</v>
      </c>
      <c r="I1039" s="1" t="s">
        <v>94</v>
      </c>
      <c r="K1039" s="4" t="s">
        <v>2174</v>
      </c>
      <c r="L1039" s="4" t="s">
        <v>931</v>
      </c>
      <c r="N1039" s="54">
        <v>50</v>
      </c>
      <c r="O1039" s="55">
        <v>3</v>
      </c>
      <c r="Q1039" s="57">
        <v>5</v>
      </c>
      <c r="R1039" s="58">
        <v>4</v>
      </c>
      <c r="S1039" s="59">
        <v>12</v>
      </c>
      <c r="V1039" s="4" t="s">
        <v>11312</v>
      </c>
      <c r="AP1039" s="1"/>
    </row>
    <row r="1040" spans="1:43" ht="36" x14ac:dyDescent="0.2">
      <c r="A1040" s="1" t="s">
        <v>11288</v>
      </c>
      <c r="B1040" s="1" t="s">
        <v>11313</v>
      </c>
      <c r="C1040" s="1" t="s">
        <v>11449</v>
      </c>
      <c r="D1040" s="1">
        <v>8</v>
      </c>
      <c r="E1040" s="1">
        <v>4</v>
      </c>
      <c r="F1040" s="1" t="s">
        <v>1671</v>
      </c>
      <c r="G1040" s="1" t="s">
        <v>11314</v>
      </c>
      <c r="I1040" s="1" t="s">
        <v>94</v>
      </c>
      <c r="K1040" s="4" t="s">
        <v>2174</v>
      </c>
      <c r="L1040" s="4"/>
      <c r="N1040" s="54">
        <v>40</v>
      </c>
      <c r="O1040" s="55">
        <v>2</v>
      </c>
      <c r="Q1040" s="57">
        <v>4</v>
      </c>
      <c r="R1040" s="58">
        <v>2</v>
      </c>
      <c r="S1040" s="59">
        <v>6</v>
      </c>
      <c r="V1040" s="4" t="s">
        <v>11315</v>
      </c>
      <c r="AP1040" s="1"/>
    </row>
    <row r="1041" spans="1:42" ht="36" x14ac:dyDescent="0.2">
      <c r="A1041" s="1" t="s">
        <v>11288</v>
      </c>
      <c r="B1041" s="1" t="s">
        <v>11316</v>
      </c>
      <c r="C1041" s="1" t="s">
        <v>11449</v>
      </c>
      <c r="D1041" s="1">
        <v>9</v>
      </c>
      <c r="E1041" s="1">
        <v>4</v>
      </c>
      <c r="F1041" s="1" t="s">
        <v>1671</v>
      </c>
      <c r="G1041" s="1" t="s">
        <v>11317</v>
      </c>
      <c r="I1041" s="1" t="s">
        <v>94</v>
      </c>
      <c r="K1041" s="4" t="s">
        <v>2174</v>
      </c>
      <c r="L1041" s="4"/>
      <c r="N1041" s="54">
        <v>30</v>
      </c>
      <c r="O1041" s="55">
        <v>3</v>
      </c>
      <c r="Q1041" s="57">
        <v>3</v>
      </c>
      <c r="R1041" s="58">
        <v>3</v>
      </c>
      <c r="S1041" s="59">
        <v>5</v>
      </c>
      <c r="V1041" s="4" t="s">
        <v>11318</v>
      </c>
      <c r="AP1041" s="1"/>
    </row>
    <row r="1042" spans="1:42" ht="24" x14ac:dyDescent="0.2">
      <c r="A1042" s="1" t="s">
        <v>11288</v>
      </c>
      <c r="B1042" s="1" t="s">
        <v>11319</v>
      </c>
      <c r="C1042" s="1" t="s">
        <v>11449</v>
      </c>
      <c r="D1042" s="1">
        <v>10</v>
      </c>
      <c r="E1042" s="1">
        <v>3</v>
      </c>
      <c r="F1042" s="1" t="s">
        <v>1671</v>
      </c>
      <c r="G1042" s="1" t="s">
        <v>11320</v>
      </c>
      <c r="I1042" s="1" t="s">
        <v>94</v>
      </c>
      <c r="K1042" s="4" t="s">
        <v>582</v>
      </c>
      <c r="L1042" s="4" t="s">
        <v>155</v>
      </c>
      <c r="N1042" s="54">
        <v>20</v>
      </c>
      <c r="O1042" s="55">
        <v>1</v>
      </c>
      <c r="Q1042" s="57">
        <v>1</v>
      </c>
      <c r="R1042" s="58">
        <v>0</v>
      </c>
      <c r="S1042" s="59">
        <v>2</v>
      </c>
      <c r="V1042" s="4" t="s">
        <v>11321</v>
      </c>
      <c r="W1042" s="4" t="s">
        <v>10801</v>
      </c>
      <c r="AP1042" s="1"/>
    </row>
    <row r="1043" spans="1:42" ht="36" x14ac:dyDescent="0.2">
      <c r="A1043" s="1" t="s">
        <v>11288</v>
      </c>
      <c r="B1043" s="1" t="s">
        <v>11322</v>
      </c>
      <c r="C1043" s="1" t="s">
        <v>11449</v>
      </c>
      <c r="D1043" s="1">
        <v>11</v>
      </c>
      <c r="E1043" s="1">
        <v>1</v>
      </c>
      <c r="F1043" s="1" t="s">
        <v>1671</v>
      </c>
      <c r="G1043" s="1" t="s">
        <v>11323</v>
      </c>
      <c r="H1043" s="1" t="s">
        <v>26</v>
      </c>
      <c r="I1043" s="1" t="s">
        <v>104</v>
      </c>
      <c r="K1043" s="4" t="s">
        <v>4169</v>
      </c>
      <c r="L1043" s="4" t="s">
        <v>11324</v>
      </c>
      <c r="O1043" s="55">
        <v>1</v>
      </c>
      <c r="T1043" s="60">
        <v>5</v>
      </c>
      <c r="U1043" s="1">
        <v>3</v>
      </c>
      <c r="V1043" s="4" t="s">
        <v>11325</v>
      </c>
      <c r="AP1043" s="1"/>
    </row>
    <row r="1044" spans="1:42" ht="24" x14ac:dyDescent="0.2">
      <c r="A1044" s="1" t="s">
        <v>11288</v>
      </c>
      <c r="B1044" s="1" t="s">
        <v>11326</v>
      </c>
      <c r="C1044" s="1" t="s">
        <v>11449</v>
      </c>
      <c r="D1044" s="1">
        <v>12</v>
      </c>
      <c r="E1044" s="1">
        <v>2</v>
      </c>
      <c r="F1044" s="1" t="s">
        <v>1671</v>
      </c>
      <c r="G1044" s="1" t="s">
        <v>11327</v>
      </c>
      <c r="I1044" s="1" t="s">
        <v>104</v>
      </c>
      <c r="K1044" s="4" t="s">
        <v>105</v>
      </c>
      <c r="L1044" s="4" t="s">
        <v>155</v>
      </c>
      <c r="O1044" s="55">
        <v>1</v>
      </c>
      <c r="T1044" s="60">
        <v>2</v>
      </c>
      <c r="V1044" s="4" t="s">
        <v>11328</v>
      </c>
      <c r="W1044" s="4" t="s">
        <v>11329</v>
      </c>
      <c r="AP1044" s="1"/>
    </row>
    <row r="1045" spans="1:42" ht="36" x14ac:dyDescent="0.2">
      <c r="A1045" s="1" t="s">
        <v>11288</v>
      </c>
      <c r="B1045" s="1" t="s">
        <v>11330</v>
      </c>
      <c r="C1045" s="1" t="s">
        <v>11449</v>
      </c>
      <c r="D1045" s="1">
        <v>13</v>
      </c>
      <c r="E1045" s="1">
        <v>4</v>
      </c>
      <c r="F1045" s="1" t="s">
        <v>1671</v>
      </c>
      <c r="G1045" s="1" t="s">
        <v>11331</v>
      </c>
      <c r="I1045" s="1" t="s">
        <v>104</v>
      </c>
      <c r="K1045" s="4" t="s">
        <v>105</v>
      </c>
      <c r="L1045" s="4"/>
      <c r="O1045" s="55">
        <v>2</v>
      </c>
      <c r="T1045" s="60">
        <v>4</v>
      </c>
      <c r="U1045" s="1">
        <v>2</v>
      </c>
      <c r="V1045" s="4" t="s">
        <v>11332</v>
      </c>
      <c r="AP1045" s="1"/>
    </row>
    <row r="1046" spans="1:42" ht="24" x14ac:dyDescent="0.2">
      <c r="A1046" s="1" t="s">
        <v>11288</v>
      </c>
      <c r="B1046" s="1" t="s">
        <v>11333</v>
      </c>
      <c r="C1046" s="1" t="s">
        <v>11449</v>
      </c>
      <c r="D1046" s="1">
        <v>14</v>
      </c>
      <c r="E1046" s="1">
        <v>3</v>
      </c>
      <c r="F1046" s="1" t="s">
        <v>1671</v>
      </c>
      <c r="G1046" s="1" t="s">
        <v>11334</v>
      </c>
      <c r="I1046" s="1" t="s">
        <v>104</v>
      </c>
      <c r="K1046" s="4" t="s">
        <v>105</v>
      </c>
      <c r="L1046" s="4"/>
      <c r="O1046" s="55">
        <v>3</v>
      </c>
      <c r="T1046" s="60">
        <v>3</v>
      </c>
      <c r="U1046" s="1">
        <v>1</v>
      </c>
      <c r="V1046" s="4" t="s">
        <v>11335</v>
      </c>
      <c r="W1046" s="4" t="s">
        <v>11336</v>
      </c>
      <c r="AP1046" s="1"/>
    </row>
    <row r="1047" spans="1:42" ht="24" x14ac:dyDescent="0.2">
      <c r="A1047" s="1" t="s">
        <v>11288</v>
      </c>
      <c r="B1047" s="1" t="s">
        <v>11337</v>
      </c>
      <c r="C1047" s="1" t="s">
        <v>11449</v>
      </c>
      <c r="D1047" s="1">
        <v>15</v>
      </c>
      <c r="E1047" s="1">
        <v>4</v>
      </c>
      <c r="F1047" s="1" t="s">
        <v>1671</v>
      </c>
      <c r="G1047" s="1" t="s">
        <v>11338</v>
      </c>
      <c r="I1047" s="1" t="s">
        <v>104</v>
      </c>
      <c r="K1047" s="4" t="s">
        <v>105</v>
      </c>
      <c r="L1047" s="4" t="s">
        <v>11339</v>
      </c>
      <c r="O1047" s="55" t="s">
        <v>113</v>
      </c>
      <c r="T1047" s="60">
        <v>4</v>
      </c>
      <c r="U1047" s="1" t="s">
        <v>113</v>
      </c>
      <c r="V1047" s="4" t="s">
        <v>11340</v>
      </c>
      <c r="AP1047" s="1"/>
    </row>
    <row r="1048" spans="1:42" ht="24" x14ac:dyDescent="0.2">
      <c r="A1048" s="1" t="s">
        <v>11288</v>
      </c>
      <c r="B1048" s="1" t="s">
        <v>11341</v>
      </c>
      <c r="C1048" s="1" t="s">
        <v>11449</v>
      </c>
      <c r="D1048" s="1">
        <v>16</v>
      </c>
      <c r="E1048" s="1">
        <v>2</v>
      </c>
      <c r="F1048" s="1" t="s">
        <v>1671</v>
      </c>
      <c r="G1048" s="1" t="s">
        <v>11342</v>
      </c>
      <c r="I1048" s="1" t="s">
        <v>104</v>
      </c>
      <c r="K1048" s="4" t="s">
        <v>105</v>
      </c>
      <c r="L1048" s="4"/>
      <c r="O1048" s="55">
        <v>2</v>
      </c>
      <c r="T1048" s="60">
        <v>5</v>
      </c>
      <c r="U1048" s="1">
        <v>2</v>
      </c>
      <c r="V1048" s="4" t="s">
        <v>11343</v>
      </c>
      <c r="W1048" s="4" t="s">
        <v>11344</v>
      </c>
      <c r="AP1048" s="1"/>
    </row>
    <row r="1049" spans="1:42" ht="36" x14ac:dyDescent="0.2">
      <c r="A1049" s="1" t="s">
        <v>11288</v>
      </c>
      <c r="B1049" s="1" t="s">
        <v>11345</v>
      </c>
      <c r="C1049" s="1" t="s">
        <v>11449</v>
      </c>
      <c r="D1049" s="1">
        <v>17</v>
      </c>
      <c r="E1049" s="1">
        <v>2</v>
      </c>
      <c r="F1049" s="1" t="s">
        <v>1671</v>
      </c>
      <c r="G1049" s="1" t="s">
        <v>11346</v>
      </c>
      <c r="I1049" s="1" t="s">
        <v>82</v>
      </c>
      <c r="K1049" s="4"/>
      <c r="L1049" s="4" t="s">
        <v>3636</v>
      </c>
      <c r="V1049" s="4" t="s">
        <v>11347</v>
      </c>
      <c r="AP1049" s="1"/>
    </row>
    <row r="1050" spans="1:42" ht="36" x14ac:dyDescent="0.2">
      <c r="A1050" s="1" t="s">
        <v>11288</v>
      </c>
      <c r="B1050" s="1" t="s">
        <v>11348</v>
      </c>
      <c r="C1050" s="1" t="s">
        <v>11449</v>
      </c>
      <c r="D1050" s="1">
        <v>18</v>
      </c>
      <c r="E1050" s="1">
        <v>3</v>
      </c>
      <c r="F1050" s="1" t="s">
        <v>1671</v>
      </c>
      <c r="G1050" s="1" t="s">
        <v>11349</v>
      </c>
      <c r="I1050" s="1" t="s">
        <v>82</v>
      </c>
      <c r="K1050" s="4"/>
      <c r="L1050" s="4"/>
      <c r="V1050" s="4" t="s">
        <v>11350</v>
      </c>
      <c r="W1050" s="4" t="s">
        <v>11351</v>
      </c>
      <c r="AP1050" s="1"/>
    </row>
    <row r="1051" spans="1:42" ht="60" x14ac:dyDescent="0.2">
      <c r="A1051" s="1" t="s">
        <v>11288</v>
      </c>
      <c r="B1051" s="1" t="s">
        <v>11352</v>
      </c>
      <c r="C1051" s="1" t="s">
        <v>11449</v>
      </c>
      <c r="D1051" s="1">
        <v>19</v>
      </c>
      <c r="E1051" s="1">
        <v>2</v>
      </c>
      <c r="F1051" s="1" t="s">
        <v>1671</v>
      </c>
      <c r="G1051" s="1" t="s">
        <v>11353</v>
      </c>
      <c r="I1051" s="1" t="s">
        <v>82</v>
      </c>
      <c r="K1051" s="4" t="s">
        <v>1077</v>
      </c>
      <c r="L1051" s="4" t="s">
        <v>3636</v>
      </c>
      <c r="V1051" s="4" t="s">
        <v>11354</v>
      </c>
      <c r="AP1051" s="1"/>
    </row>
    <row r="1052" spans="1:42" ht="48" x14ac:dyDescent="0.2">
      <c r="A1052" s="1" t="s">
        <v>11288</v>
      </c>
      <c r="B1052" s="1" t="s">
        <v>11355</v>
      </c>
      <c r="C1052" s="1" t="s">
        <v>11449</v>
      </c>
      <c r="D1052" s="1">
        <v>20</v>
      </c>
      <c r="E1052" s="1">
        <v>2</v>
      </c>
      <c r="F1052" s="1" t="s">
        <v>1671</v>
      </c>
      <c r="G1052" s="1" t="s">
        <v>11356</v>
      </c>
      <c r="I1052" s="1" t="s">
        <v>82</v>
      </c>
      <c r="K1052" s="4"/>
      <c r="L1052" s="4" t="s">
        <v>155</v>
      </c>
      <c r="V1052" s="4" t="s">
        <v>11357</v>
      </c>
      <c r="AP1052" s="1"/>
    </row>
    <row r="1053" spans="1:42" ht="24" x14ac:dyDescent="0.2">
      <c r="A1053" s="1" t="s">
        <v>11288</v>
      </c>
      <c r="B1053" s="1" t="s">
        <v>11358</v>
      </c>
      <c r="C1053" s="1" t="s">
        <v>11449</v>
      </c>
      <c r="D1053" s="1">
        <v>21</v>
      </c>
      <c r="E1053" s="1">
        <v>2</v>
      </c>
      <c r="F1053" s="1" t="s">
        <v>1671</v>
      </c>
      <c r="G1053" s="1" t="s">
        <v>11359</v>
      </c>
      <c r="I1053" s="1" t="s">
        <v>82</v>
      </c>
      <c r="K1053" s="4"/>
      <c r="L1053" s="4" t="s">
        <v>1233</v>
      </c>
      <c r="V1053" s="4" t="s">
        <v>11360</v>
      </c>
      <c r="W1053" s="4" t="s">
        <v>3491</v>
      </c>
      <c r="AP1053" s="1"/>
    </row>
    <row r="1054" spans="1:42" ht="48" x14ac:dyDescent="0.2">
      <c r="A1054" s="1" t="s">
        <v>11288</v>
      </c>
      <c r="B1054" s="1" t="s">
        <v>11361</v>
      </c>
      <c r="C1054" s="1" t="s">
        <v>11449</v>
      </c>
      <c r="D1054" s="1">
        <v>22</v>
      </c>
      <c r="E1054" s="1">
        <v>1</v>
      </c>
      <c r="F1054" s="1" t="s">
        <v>1671</v>
      </c>
      <c r="G1054" s="1" t="s">
        <v>11362</v>
      </c>
      <c r="H1054" s="1" t="s">
        <v>26</v>
      </c>
      <c r="I1054" s="1" t="s">
        <v>88</v>
      </c>
      <c r="K1054" s="4" t="s">
        <v>11363</v>
      </c>
      <c r="L1054" s="4"/>
      <c r="P1054" s="56">
        <v>3</v>
      </c>
      <c r="Q1054" s="57">
        <v>3</v>
      </c>
      <c r="R1054" s="58">
        <v>3</v>
      </c>
      <c r="S1054" s="59">
        <v>6</v>
      </c>
      <c r="V1054" s="4" t="s">
        <v>11364</v>
      </c>
      <c r="AP1054" s="1"/>
    </row>
    <row r="1055" spans="1:42" ht="36" x14ac:dyDescent="0.2">
      <c r="A1055" s="1" t="s">
        <v>11288</v>
      </c>
      <c r="B1055" s="1" t="s">
        <v>11365</v>
      </c>
      <c r="C1055" s="1" t="s">
        <v>11449</v>
      </c>
      <c r="D1055" s="1">
        <v>23</v>
      </c>
      <c r="E1055" s="1">
        <v>1</v>
      </c>
      <c r="F1055" s="1" t="s">
        <v>1671</v>
      </c>
      <c r="G1055" s="1" t="s">
        <v>1671</v>
      </c>
      <c r="I1055" s="1" t="s">
        <v>3482</v>
      </c>
      <c r="K1055" s="4"/>
      <c r="L1055" s="4"/>
      <c r="V1055" s="4" t="s">
        <v>11366</v>
      </c>
      <c r="X1055" s="137" t="s">
        <v>11367</v>
      </c>
      <c r="Y1055" s="1" t="s">
        <v>1671</v>
      </c>
      <c r="AA1055" s="1" t="s">
        <v>3482</v>
      </c>
      <c r="AN1055" s="4" t="s">
        <v>11368</v>
      </c>
      <c r="AP1055" s="1"/>
    </row>
    <row r="1056" spans="1:42" ht="48" x14ac:dyDescent="0.2">
      <c r="A1056" s="1" t="s">
        <v>11288</v>
      </c>
      <c r="B1056" s="1" t="s">
        <v>11369</v>
      </c>
      <c r="C1056" s="1" t="s">
        <v>11449</v>
      </c>
      <c r="D1056" s="1">
        <v>24</v>
      </c>
      <c r="E1056" s="1">
        <v>1</v>
      </c>
      <c r="F1056" s="1" t="s">
        <v>1671</v>
      </c>
      <c r="G1056" s="1" t="s">
        <v>11370</v>
      </c>
      <c r="I1056" s="1" t="s">
        <v>56</v>
      </c>
      <c r="J1056" s="1" t="s">
        <v>3498</v>
      </c>
      <c r="K1056" s="4" t="s">
        <v>11371</v>
      </c>
      <c r="L1056" s="4"/>
      <c r="U1056" s="1">
        <v>1</v>
      </c>
      <c r="V1056" s="4" t="s">
        <v>11372</v>
      </c>
      <c r="X1056" s="1" t="s">
        <v>1681</v>
      </c>
      <c r="AP1056" s="1"/>
    </row>
    <row r="1057" spans="1:48" ht="36" x14ac:dyDescent="0.2">
      <c r="A1057" s="117" t="s">
        <v>11448</v>
      </c>
      <c r="B1057" s="117" t="s">
        <v>11373</v>
      </c>
      <c r="C1057" s="117" t="s">
        <v>11450</v>
      </c>
      <c r="D1057" s="117">
        <v>1</v>
      </c>
      <c r="E1057" s="117">
        <v>1</v>
      </c>
      <c r="F1057" s="117" t="s">
        <v>11287</v>
      </c>
      <c r="G1057" s="117" t="s">
        <v>11374</v>
      </c>
      <c r="I1057" s="1" t="s">
        <v>125</v>
      </c>
      <c r="K1057" s="4"/>
      <c r="L1057" s="4"/>
      <c r="M1057" s="18">
        <v>1</v>
      </c>
      <c r="N1057" s="54" t="s">
        <v>9529</v>
      </c>
      <c r="V1057" s="4" t="s">
        <v>11375</v>
      </c>
      <c r="Y1057" s="1" t="s">
        <v>11374</v>
      </c>
      <c r="AA1057" s="1" t="s">
        <v>125</v>
      </c>
      <c r="AE1057" s="1">
        <v>1</v>
      </c>
      <c r="AF1057" s="54" t="s">
        <v>9530</v>
      </c>
      <c r="AL1057" s="60">
        <v>1</v>
      </c>
      <c r="AN1057" s="4" t="s">
        <v>11376</v>
      </c>
      <c r="AP1057" s="1"/>
    </row>
    <row r="1058" spans="1:48" ht="48" x14ac:dyDescent="0.2">
      <c r="A1058" s="1" t="s">
        <v>11448</v>
      </c>
      <c r="B1058" s="1" t="s">
        <v>11377</v>
      </c>
      <c r="C1058" s="1" t="s">
        <v>11450</v>
      </c>
      <c r="D1058" s="1">
        <v>2</v>
      </c>
      <c r="E1058" s="1">
        <v>1</v>
      </c>
      <c r="F1058" s="1" t="s">
        <v>11287</v>
      </c>
      <c r="G1058" s="1" t="s">
        <v>11378</v>
      </c>
      <c r="I1058" s="1" t="s">
        <v>125</v>
      </c>
      <c r="K1058" s="4"/>
      <c r="L1058" s="4"/>
      <c r="M1058" s="18">
        <v>2</v>
      </c>
      <c r="N1058" s="54" t="s">
        <v>9529</v>
      </c>
      <c r="V1058" s="4" t="s">
        <v>11379</v>
      </c>
      <c r="Y1058" s="1" t="s">
        <v>11378</v>
      </c>
      <c r="AA1058" s="1" t="s">
        <v>125</v>
      </c>
      <c r="AE1058" s="1">
        <v>2</v>
      </c>
      <c r="AF1058" s="54" t="s">
        <v>9530</v>
      </c>
      <c r="AL1058" s="60">
        <v>14</v>
      </c>
      <c r="AN1058" s="4" t="s">
        <v>11380</v>
      </c>
      <c r="AP1058" s="1"/>
      <c r="AU1058" s="1" t="s">
        <v>6219</v>
      </c>
      <c r="AV1058" s="1" t="s">
        <v>6220</v>
      </c>
    </row>
    <row r="1059" spans="1:48" ht="96" x14ac:dyDescent="0.2">
      <c r="A1059" s="1" t="s">
        <v>11448</v>
      </c>
      <c r="B1059" s="1" t="s">
        <v>11381</v>
      </c>
      <c r="C1059" s="1" t="s">
        <v>11450</v>
      </c>
      <c r="D1059" s="1">
        <v>3</v>
      </c>
      <c r="E1059" s="1">
        <v>1</v>
      </c>
      <c r="F1059" s="1" t="s">
        <v>11287</v>
      </c>
      <c r="G1059" s="1" t="s">
        <v>11382</v>
      </c>
      <c r="I1059" s="1" t="s">
        <v>125</v>
      </c>
      <c r="K1059" s="4"/>
      <c r="L1059" s="4"/>
      <c r="M1059" s="18">
        <v>3</v>
      </c>
      <c r="N1059" s="54" t="s">
        <v>9529</v>
      </c>
      <c r="V1059" s="4" t="s">
        <v>11383</v>
      </c>
      <c r="Y1059" s="1" t="s">
        <v>11382</v>
      </c>
      <c r="AA1059" s="1" t="s">
        <v>125</v>
      </c>
      <c r="AE1059" s="1">
        <v>3</v>
      </c>
      <c r="AF1059" s="54" t="s">
        <v>9530</v>
      </c>
      <c r="AL1059" s="60">
        <v>16</v>
      </c>
      <c r="AN1059" s="4" t="s">
        <v>11384</v>
      </c>
      <c r="AP1059" s="1"/>
    </row>
    <row r="1060" spans="1:48" ht="72" x14ac:dyDescent="0.2">
      <c r="A1060" s="1" t="s">
        <v>11448</v>
      </c>
      <c r="B1060" s="1" t="s">
        <v>11385</v>
      </c>
      <c r="C1060" s="1" t="s">
        <v>11450</v>
      </c>
      <c r="D1060" s="1">
        <v>4</v>
      </c>
      <c r="E1060" s="1">
        <v>4</v>
      </c>
      <c r="F1060" s="1" t="s">
        <v>11287</v>
      </c>
      <c r="G1060" s="1" t="s">
        <v>11386</v>
      </c>
      <c r="I1060" s="1" t="s">
        <v>125</v>
      </c>
      <c r="K1060" s="4"/>
      <c r="L1060" s="4"/>
      <c r="M1060" s="18">
        <v>4</v>
      </c>
      <c r="N1060" s="54" t="s">
        <v>9529</v>
      </c>
      <c r="V1060" s="4" t="s">
        <v>11387</v>
      </c>
      <c r="Y1060" s="1" t="s">
        <v>11388</v>
      </c>
      <c r="AA1060" s="1" t="s">
        <v>125</v>
      </c>
      <c r="AE1060" s="1">
        <v>4</v>
      </c>
      <c r="AF1060" s="54" t="s">
        <v>9530</v>
      </c>
      <c r="AL1060" s="60">
        <v>9</v>
      </c>
      <c r="AN1060" s="4" t="s">
        <v>11389</v>
      </c>
      <c r="AP1060" s="1"/>
      <c r="AU1060" s="1" t="s">
        <v>6221</v>
      </c>
    </row>
    <row r="1061" spans="1:48" ht="36" x14ac:dyDescent="0.2">
      <c r="A1061" s="1" t="s">
        <v>11448</v>
      </c>
      <c r="B1061" s="1" t="s">
        <v>11390</v>
      </c>
      <c r="C1061" s="1" t="s">
        <v>11450</v>
      </c>
      <c r="D1061" s="1">
        <v>5</v>
      </c>
      <c r="E1061" s="1">
        <v>1</v>
      </c>
      <c r="F1061" s="1" t="s">
        <v>11287</v>
      </c>
      <c r="G1061" s="1" t="s">
        <v>11391</v>
      </c>
      <c r="H1061" s="1" t="s">
        <v>26</v>
      </c>
      <c r="I1061" s="1" t="s">
        <v>104</v>
      </c>
      <c r="K1061" s="4" t="s">
        <v>11392</v>
      </c>
      <c r="L1061" s="4" t="s">
        <v>331</v>
      </c>
      <c r="O1061" s="55">
        <v>3</v>
      </c>
      <c r="T1061" s="60">
        <v>3</v>
      </c>
      <c r="U1061" s="1">
        <v>3</v>
      </c>
      <c r="V1061" s="4" t="s">
        <v>11393</v>
      </c>
      <c r="AP1061" s="1"/>
    </row>
    <row r="1062" spans="1:48" ht="36" x14ac:dyDescent="0.2">
      <c r="A1062" s="1" t="s">
        <v>11448</v>
      </c>
      <c r="B1062" s="1" t="s">
        <v>11394</v>
      </c>
      <c r="C1062" s="1" t="s">
        <v>11450</v>
      </c>
      <c r="D1062" s="1">
        <v>6</v>
      </c>
      <c r="E1062" s="1">
        <v>1</v>
      </c>
      <c r="F1062" s="1" t="s">
        <v>11287</v>
      </c>
      <c r="G1062" s="1" t="s">
        <v>11395</v>
      </c>
      <c r="H1062" s="1" t="s">
        <v>26</v>
      </c>
      <c r="I1062" s="1" t="s">
        <v>104</v>
      </c>
      <c r="K1062" s="4" t="s">
        <v>11392</v>
      </c>
      <c r="L1062" s="4" t="s">
        <v>331</v>
      </c>
      <c r="O1062" s="55">
        <v>4</v>
      </c>
      <c r="T1062" s="60">
        <v>4</v>
      </c>
      <c r="U1062" s="1">
        <v>3</v>
      </c>
      <c r="V1062" s="4" t="s">
        <v>11396</v>
      </c>
      <c r="AP1062" s="1"/>
      <c r="AU1062" s="1" t="s">
        <v>6222</v>
      </c>
    </row>
    <row r="1063" spans="1:48" ht="36" x14ac:dyDescent="0.2">
      <c r="A1063" s="1" t="s">
        <v>11448</v>
      </c>
      <c r="B1063" s="1" t="s">
        <v>11397</v>
      </c>
      <c r="C1063" s="1" t="s">
        <v>11450</v>
      </c>
      <c r="D1063" s="1">
        <v>7</v>
      </c>
      <c r="E1063" s="1">
        <v>5</v>
      </c>
      <c r="F1063" s="1" t="s">
        <v>11287</v>
      </c>
      <c r="G1063" s="1" t="s">
        <v>11398</v>
      </c>
      <c r="I1063" s="1" t="s">
        <v>104</v>
      </c>
      <c r="K1063" s="4" t="s">
        <v>11392</v>
      </c>
      <c r="L1063" s="4" t="s">
        <v>11399</v>
      </c>
      <c r="O1063" s="55">
        <v>1</v>
      </c>
      <c r="T1063" s="60">
        <v>1</v>
      </c>
      <c r="U1063" s="1">
        <v>5</v>
      </c>
      <c r="V1063" s="4" t="s">
        <v>11400</v>
      </c>
      <c r="AP1063" s="1"/>
    </row>
    <row r="1064" spans="1:48" ht="48" x14ac:dyDescent="0.2">
      <c r="A1064" s="1" t="s">
        <v>11448</v>
      </c>
      <c r="B1064" s="1" t="s">
        <v>11401</v>
      </c>
      <c r="C1064" s="1" t="s">
        <v>11450</v>
      </c>
      <c r="D1064" s="1">
        <v>8</v>
      </c>
      <c r="E1064" s="1">
        <v>3</v>
      </c>
      <c r="F1064" s="1" t="s">
        <v>11287</v>
      </c>
      <c r="G1064" s="1" t="s">
        <v>2129</v>
      </c>
      <c r="I1064" s="1" t="s">
        <v>104</v>
      </c>
      <c r="K1064" s="4" t="s">
        <v>11392</v>
      </c>
      <c r="L1064" s="4" t="s">
        <v>11402</v>
      </c>
      <c r="O1064" s="55" t="s">
        <v>113</v>
      </c>
      <c r="T1064" s="60">
        <v>4</v>
      </c>
      <c r="V1064" s="4" t="s">
        <v>11403</v>
      </c>
      <c r="AP1064" s="1"/>
    </row>
    <row r="1065" spans="1:48" ht="48" x14ac:dyDescent="0.2">
      <c r="A1065" s="1" t="s">
        <v>11448</v>
      </c>
      <c r="B1065" s="1" t="s">
        <v>11404</v>
      </c>
      <c r="C1065" s="1" t="s">
        <v>11450</v>
      </c>
      <c r="D1065" s="1">
        <v>9</v>
      </c>
      <c r="E1065" s="1">
        <v>4</v>
      </c>
      <c r="F1065" s="1" t="s">
        <v>11287</v>
      </c>
      <c r="G1065" s="1" t="s">
        <v>11405</v>
      </c>
      <c r="I1065" s="1" t="s">
        <v>104</v>
      </c>
      <c r="K1065" s="4" t="s">
        <v>11392</v>
      </c>
      <c r="L1065" s="4"/>
      <c r="O1065" s="55">
        <v>3</v>
      </c>
      <c r="T1065" s="60">
        <v>3</v>
      </c>
      <c r="V1065" s="4" t="s">
        <v>11406</v>
      </c>
      <c r="AP1065" s="1"/>
      <c r="AQ1065" s="1"/>
    </row>
    <row r="1066" spans="1:48" ht="24" x14ac:dyDescent="0.2">
      <c r="A1066" s="1" t="s">
        <v>11448</v>
      </c>
      <c r="B1066" s="1" t="s">
        <v>11407</v>
      </c>
      <c r="C1066" s="1" t="s">
        <v>11450</v>
      </c>
      <c r="D1066" s="1">
        <v>10</v>
      </c>
      <c r="E1066" s="1">
        <v>4</v>
      </c>
      <c r="F1066" s="1" t="s">
        <v>11287</v>
      </c>
      <c r="G1066" s="1" t="s">
        <v>11408</v>
      </c>
      <c r="I1066" s="1" t="s">
        <v>104</v>
      </c>
      <c r="K1066" s="4" t="s">
        <v>11409</v>
      </c>
      <c r="L1066" s="4"/>
      <c r="O1066" s="55">
        <v>2</v>
      </c>
      <c r="T1066" s="60">
        <v>5</v>
      </c>
      <c r="V1066" s="4" t="s">
        <v>11410</v>
      </c>
      <c r="W1066" s="4" t="s">
        <v>11411</v>
      </c>
      <c r="AP1066" s="1"/>
      <c r="AQ1066" s="1"/>
    </row>
    <row r="1067" spans="1:48" ht="60" x14ac:dyDescent="0.2">
      <c r="A1067" s="1" t="s">
        <v>11448</v>
      </c>
      <c r="B1067" s="1" t="s">
        <v>11412</v>
      </c>
      <c r="C1067" s="1" t="s">
        <v>11450</v>
      </c>
      <c r="D1067" s="1">
        <v>11</v>
      </c>
      <c r="E1067" s="1">
        <v>4</v>
      </c>
      <c r="F1067" s="1" t="s">
        <v>11287</v>
      </c>
      <c r="G1067" s="1" t="s">
        <v>2116</v>
      </c>
      <c r="I1067" s="1" t="s">
        <v>94</v>
      </c>
      <c r="K1067" s="4" t="s">
        <v>11413</v>
      </c>
      <c r="L1067" s="4"/>
      <c r="N1067" s="54">
        <v>30</v>
      </c>
      <c r="O1067" s="55">
        <v>3</v>
      </c>
      <c r="Q1067" s="57">
        <v>5</v>
      </c>
      <c r="R1067" s="58">
        <v>1</v>
      </c>
      <c r="S1067" s="59">
        <v>6</v>
      </c>
      <c r="V1067" s="4" t="s">
        <v>11414</v>
      </c>
      <c r="AP1067" s="1"/>
      <c r="AQ1067" s="1"/>
    </row>
    <row r="1068" spans="1:48" ht="60" x14ac:dyDescent="0.2">
      <c r="A1068" s="1" t="s">
        <v>11448</v>
      </c>
      <c r="B1068" s="1" t="s">
        <v>11415</v>
      </c>
      <c r="C1068" s="1" t="s">
        <v>11450</v>
      </c>
      <c r="D1068" s="1">
        <v>12</v>
      </c>
      <c r="E1068" s="1">
        <v>3</v>
      </c>
      <c r="F1068" s="1" t="s">
        <v>11287</v>
      </c>
      <c r="G1068" s="1" t="s">
        <v>11416</v>
      </c>
      <c r="I1068" s="1" t="s">
        <v>94</v>
      </c>
      <c r="K1068" s="4" t="s">
        <v>11413</v>
      </c>
      <c r="L1068" s="4"/>
      <c r="N1068" s="54">
        <v>35</v>
      </c>
      <c r="O1068" s="55">
        <v>2</v>
      </c>
      <c r="Q1068" s="57">
        <v>4</v>
      </c>
      <c r="R1068" s="58">
        <v>1</v>
      </c>
      <c r="S1068" s="59">
        <v>5</v>
      </c>
      <c r="V1068" s="4" t="s">
        <v>11417</v>
      </c>
      <c r="AP1068" s="1"/>
      <c r="AQ1068" s="1"/>
    </row>
    <row r="1069" spans="1:48" ht="72" x14ac:dyDescent="0.2">
      <c r="A1069" s="1" t="s">
        <v>11448</v>
      </c>
      <c r="B1069" s="1" t="s">
        <v>11418</v>
      </c>
      <c r="C1069" s="1" t="s">
        <v>11450</v>
      </c>
      <c r="D1069" s="1">
        <v>13</v>
      </c>
      <c r="E1069" s="1">
        <v>3</v>
      </c>
      <c r="F1069" s="1" t="s">
        <v>11287</v>
      </c>
      <c r="G1069" s="1" t="s">
        <v>11419</v>
      </c>
      <c r="I1069" s="1" t="s">
        <v>94</v>
      </c>
      <c r="K1069" s="4" t="s">
        <v>11413</v>
      </c>
      <c r="L1069" s="4"/>
      <c r="N1069" s="54">
        <v>40</v>
      </c>
      <c r="O1069" s="55">
        <v>2</v>
      </c>
      <c r="Q1069" s="57">
        <v>3</v>
      </c>
      <c r="R1069" s="58">
        <v>1</v>
      </c>
      <c r="S1069" s="59">
        <v>7</v>
      </c>
      <c r="V1069" s="4" t="s">
        <v>11420</v>
      </c>
      <c r="AP1069" s="1"/>
      <c r="AQ1069" s="1"/>
    </row>
    <row r="1070" spans="1:48" ht="36" x14ac:dyDescent="0.2">
      <c r="A1070" s="1" t="s">
        <v>11448</v>
      </c>
      <c r="B1070" s="1" t="s">
        <v>11421</v>
      </c>
      <c r="C1070" s="1" t="s">
        <v>11450</v>
      </c>
      <c r="D1070" s="1">
        <v>14</v>
      </c>
      <c r="E1070" s="1">
        <v>2</v>
      </c>
      <c r="F1070" s="1" t="s">
        <v>11287</v>
      </c>
      <c r="G1070" s="1" t="s">
        <v>11422</v>
      </c>
      <c r="I1070" s="1" t="s">
        <v>82</v>
      </c>
      <c r="K1070" s="4"/>
      <c r="L1070" s="4"/>
      <c r="V1070" s="4" t="s">
        <v>11423</v>
      </c>
      <c r="W1070" s="4" t="s">
        <v>11424</v>
      </c>
      <c r="AP1070" s="1"/>
      <c r="AQ1070" s="1"/>
    </row>
    <row r="1071" spans="1:48" ht="60" x14ac:dyDescent="0.2">
      <c r="A1071" s="1" t="s">
        <v>11448</v>
      </c>
      <c r="B1071" s="1" t="s">
        <v>11425</v>
      </c>
      <c r="C1071" s="1" t="s">
        <v>11450</v>
      </c>
      <c r="D1071" s="1">
        <v>15</v>
      </c>
      <c r="E1071" s="1">
        <v>3</v>
      </c>
      <c r="F1071" s="1" t="s">
        <v>11287</v>
      </c>
      <c r="G1071" s="1" t="s">
        <v>11426</v>
      </c>
      <c r="I1071" s="1" t="s">
        <v>82</v>
      </c>
      <c r="K1071" s="4"/>
      <c r="L1071" s="4" t="s">
        <v>3636</v>
      </c>
      <c r="V1071" s="4" t="s">
        <v>11427</v>
      </c>
      <c r="AP1071" s="1"/>
      <c r="AQ1071" s="1"/>
    </row>
    <row r="1072" spans="1:48" ht="36" x14ac:dyDescent="0.2">
      <c r="A1072" s="1" t="s">
        <v>11448</v>
      </c>
      <c r="B1072" s="1" t="s">
        <v>11428</v>
      </c>
      <c r="C1072" s="1" t="s">
        <v>11450</v>
      </c>
      <c r="D1072" s="1">
        <v>16</v>
      </c>
      <c r="E1072" s="1">
        <v>2</v>
      </c>
      <c r="F1072" s="1" t="s">
        <v>11287</v>
      </c>
      <c r="G1072" s="1" t="s">
        <v>11429</v>
      </c>
      <c r="I1072" s="1" t="s">
        <v>82</v>
      </c>
      <c r="K1072" s="4"/>
      <c r="L1072" s="4"/>
      <c r="V1072" s="4" t="s">
        <v>11430</v>
      </c>
      <c r="W1072" s="4" t="s">
        <v>11431</v>
      </c>
      <c r="AP1072" s="1"/>
      <c r="AQ1072" s="1"/>
    </row>
    <row r="1073" spans="1:43" ht="24" x14ac:dyDescent="0.2">
      <c r="A1073" s="1" t="s">
        <v>11448</v>
      </c>
      <c r="B1073" s="1" t="s">
        <v>11432</v>
      </c>
      <c r="C1073" s="1" t="s">
        <v>11450</v>
      </c>
      <c r="D1073" s="1">
        <v>17</v>
      </c>
      <c r="E1073" s="1">
        <v>3</v>
      </c>
      <c r="F1073" s="1" t="s">
        <v>11287</v>
      </c>
      <c r="G1073" s="1" t="s">
        <v>11433</v>
      </c>
      <c r="I1073" s="1" t="s">
        <v>82</v>
      </c>
      <c r="K1073" s="4"/>
      <c r="L1073" s="4" t="s">
        <v>5774</v>
      </c>
      <c r="V1073" s="4" t="s">
        <v>11434</v>
      </c>
      <c r="W1073" s="4" t="s">
        <v>5648</v>
      </c>
      <c r="AP1073" s="1"/>
      <c r="AQ1073" s="1"/>
    </row>
    <row r="1074" spans="1:43" ht="48" x14ac:dyDescent="0.2">
      <c r="A1074" s="1" t="s">
        <v>11448</v>
      </c>
      <c r="B1074" s="1" t="s">
        <v>11435</v>
      </c>
      <c r="C1074" s="1" t="s">
        <v>11450</v>
      </c>
      <c r="D1074" s="1">
        <v>18</v>
      </c>
      <c r="E1074" s="1">
        <v>2</v>
      </c>
      <c r="F1074" s="1" t="s">
        <v>11287</v>
      </c>
      <c r="G1074" s="1" t="s">
        <v>11436</v>
      </c>
      <c r="I1074" s="1" t="s">
        <v>82</v>
      </c>
      <c r="K1074" s="4" t="s">
        <v>1077</v>
      </c>
      <c r="L1074" s="4" t="s">
        <v>3636</v>
      </c>
      <c r="V1074" s="4" t="s">
        <v>11437</v>
      </c>
      <c r="AP1074" s="1"/>
      <c r="AQ1074" s="1"/>
    </row>
    <row r="1075" spans="1:43" ht="48" x14ac:dyDescent="0.2">
      <c r="A1075" s="1" t="s">
        <v>11448</v>
      </c>
      <c r="B1075" s="1" t="s">
        <v>11438</v>
      </c>
      <c r="C1075" s="1" t="s">
        <v>11450</v>
      </c>
      <c r="D1075" s="1">
        <v>19</v>
      </c>
      <c r="E1075" s="1">
        <v>1</v>
      </c>
      <c r="F1075" s="1" t="s">
        <v>11287</v>
      </c>
      <c r="G1075" s="1" t="s">
        <v>11362</v>
      </c>
      <c r="I1075" s="1" t="s">
        <v>88</v>
      </c>
      <c r="K1075" s="4" t="s">
        <v>11363</v>
      </c>
      <c r="L1075" s="4"/>
      <c r="P1075" s="56">
        <v>3</v>
      </c>
      <c r="Q1075" s="57">
        <v>3</v>
      </c>
      <c r="R1075" s="58">
        <v>3</v>
      </c>
      <c r="S1075" s="59">
        <v>6</v>
      </c>
      <c r="V1075" s="4" t="s">
        <v>11439</v>
      </c>
      <c r="AP1075" s="1"/>
      <c r="AQ1075" s="1"/>
    </row>
    <row r="1076" spans="1:43" ht="48" x14ac:dyDescent="0.2">
      <c r="A1076" s="1" t="s">
        <v>11448</v>
      </c>
      <c r="B1076" s="138" t="s">
        <v>11440</v>
      </c>
      <c r="C1076" s="1" t="s">
        <v>11450</v>
      </c>
      <c r="D1076" s="138">
        <v>20</v>
      </c>
      <c r="E1076" s="138">
        <v>1</v>
      </c>
      <c r="F1076" s="1" t="s">
        <v>11287</v>
      </c>
      <c r="G1076" s="138" t="s">
        <v>11287</v>
      </c>
      <c r="I1076" s="1" t="s">
        <v>3482</v>
      </c>
      <c r="K1076" s="4" t="s">
        <v>11441</v>
      </c>
      <c r="L1076" s="4"/>
      <c r="V1076" s="4" t="s">
        <v>11442</v>
      </c>
      <c r="Y1076" s="1" t="s">
        <v>11287</v>
      </c>
      <c r="AA1076" s="1" t="s">
        <v>3482</v>
      </c>
      <c r="AN1076" s="4" t="s">
        <v>11443</v>
      </c>
      <c r="AP1076" s="1"/>
      <c r="AQ1076" s="1"/>
    </row>
    <row r="1077" spans="1:43" ht="36" x14ac:dyDescent="0.2">
      <c r="A1077" s="1" t="s">
        <v>11448</v>
      </c>
      <c r="B1077" s="1" t="s">
        <v>11444</v>
      </c>
      <c r="C1077" s="1" t="s">
        <v>11450</v>
      </c>
      <c r="D1077" s="1">
        <v>21</v>
      </c>
      <c r="E1077" s="1">
        <v>1</v>
      </c>
      <c r="F1077" s="1" t="s">
        <v>11287</v>
      </c>
      <c r="G1077" s="1" t="s">
        <v>11445</v>
      </c>
      <c r="I1077" s="1" t="s">
        <v>63</v>
      </c>
      <c r="J1077" s="1" t="s">
        <v>3498</v>
      </c>
      <c r="K1077" s="4" t="s">
        <v>324</v>
      </c>
      <c r="L1077" s="4" t="s">
        <v>11446</v>
      </c>
      <c r="U1077" s="1">
        <v>1</v>
      </c>
      <c r="V1077" s="4" t="s">
        <v>11447</v>
      </c>
      <c r="AP1077" s="1"/>
      <c r="AQ1077" s="1"/>
    </row>
    <row r="1078" spans="1:43" ht="48" x14ac:dyDescent="0.2">
      <c r="A1078" s="119" t="s">
        <v>766</v>
      </c>
      <c r="B1078" s="119" t="s">
        <v>767</v>
      </c>
      <c r="C1078" s="119" t="s">
        <v>5717</v>
      </c>
      <c r="D1078" s="120">
        <v>1</v>
      </c>
      <c r="E1078" s="119">
        <v>1</v>
      </c>
      <c r="F1078" s="119" t="s">
        <v>770</v>
      </c>
      <c r="G1078" s="119" t="s">
        <v>661</v>
      </c>
      <c r="I1078" s="1" t="s">
        <v>768</v>
      </c>
      <c r="L1078" s="2" t="s">
        <v>21</v>
      </c>
      <c r="N1078" s="54" t="s">
        <v>9529</v>
      </c>
      <c r="V1078" s="4" t="s">
        <v>769</v>
      </c>
      <c r="X1078" s="1" t="s">
        <v>127</v>
      </c>
      <c r="Y1078" s="1" t="s">
        <v>661</v>
      </c>
      <c r="AA1078" s="1" t="s">
        <v>768</v>
      </c>
      <c r="AF1078" s="54" t="s">
        <v>9530</v>
      </c>
      <c r="AL1078" s="60" t="s">
        <v>30</v>
      </c>
      <c r="AN1078" s="4" t="s">
        <v>771</v>
      </c>
      <c r="AQ1078" s="1"/>
    </row>
    <row r="1079" spans="1:43" ht="24" x14ac:dyDescent="0.2">
      <c r="A1079" s="1" t="s">
        <v>766</v>
      </c>
      <c r="B1079" s="1" t="s">
        <v>871</v>
      </c>
      <c r="C1079" s="1" t="s">
        <v>5717</v>
      </c>
      <c r="D1079" s="48">
        <v>2</v>
      </c>
      <c r="E1079" s="1">
        <v>1</v>
      </c>
      <c r="F1079" s="1" t="s">
        <v>770</v>
      </c>
      <c r="G1079" s="1" t="s">
        <v>586</v>
      </c>
      <c r="I1079" s="1" t="s">
        <v>94</v>
      </c>
      <c r="K1079" s="1" t="s">
        <v>576</v>
      </c>
      <c r="N1079" s="54">
        <v>32</v>
      </c>
      <c r="O1079" s="55">
        <v>3</v>
      </c>
      <c r="Q1079" s="57">
        <v>5</v>
      </c>
      <c r="R1079" s="58">
        <v>3</v>
      </c>
      <c r="S1079" s="59">
        <v>9</v>
      </c>
      <c r="V1079" s="4" t="s">
        <v>872</v>
      </c>
      <c r="W1079" s="4" t="s">
        <v>873</v>
      </c>
      <c r="AL1079" s="60" t="s">
        <v>30</v>
      </c>
      <c r="AQ1079" s="1"/>
    </row>
    <row r="1080" spans="1:43" ht="24" x14ac:dyDescent="0.2">
      <c r="A1080" s="1" t="s">
        <v>766</v>
      </c>
      <c r="B1080" s="1" t="s">
        <v>867</v>
      </c>
      <c r="C1080" s="1" t="s">
        <v>5717</v>
      </c>
      <c r="D1080" s="48">
        <v>3</v>
      </c>
      <c r="E1080" s="1">
        <v>3</v>
      </c>
      <c r="F1080" s="1" t="s">
        <v>770</v>
      </c>
      <c r="G1080" s="1" t="s">
        <v>868</v>
      </c>
      <c r="I1080" s="1" t="s">
        <v>94</v>
      </c>
      <c r="K1080" s="1" t="s">
        <v>576</v>
      </c>
      <c r="N1080" s="54">
        <v>31</v>
      </c>
      <c r="O1080" s="55">
        <v>2</v>
      </c>
      <c r="Q1080" s="57">
        <v>3</v>
      </c>
      <c r="R1080" s="58">
        <v>2</v>
      </c>
      <c r="S1080" s="59">
        <v>5</v>
      </c>
      <c r="V1080" s="4" t="s">
        <v>869</v>
      </c>
      <c r="W1080" s="4" t="s">
        <v>870</v>
      </c>
      <c r="AL1080" s="60" t="s">
        <v>30</v>
      </c>
      <c r="AQ1080" s="1"/>
    </row>
    <row r="1081" spans="1:43" ht="24" x14ac:dyDescent="0.2">
      <c r="A1081" s="1" t="s">
        <v>766</v>
      </c>
      <c r="B1081" s="1" t="s">
        <v>820</v>
      </c>
      <c r="C1081" s="1" t="s">
        <v>5717</v>
      </c>
      <c r="D1081" s="48">
        <v>4</v>
      </c>
      <c r="E1081" s="1">
        <v>3</v>
      </c>
      <c r="F1081" s="1" t="s">
        <v>770</v>
      </c>
      <c r="G1081" s="1" t="s">
        <v>821</v>
      </c>
      <c r="I1081" s="1" t="s">
        <v>94</v>
      </c>
      <c r="K1081" s="1" t="s">
        <v>582</v>
      </c>
      <c r="N1081" s="54">
        <v>27</v>
      </c>
      <c r="O1081" s="55">
        <v>4</v>
      </c>
      <c r="Q1081" s="57">
        <v>1</v>
      </c>
      <c r="R1081" s="58">
        <v>0</v>
      </c>
      <c r="S1081" s="59">
        <v>3</v>
      </c>
      <c r="V1081" s="4" t="s">
        <v>822</v>
      </c>
      <c r="W1081" s="4" t="s">
        <v>823</v>
      </c>
      <c r="AL1081" s="60" t="s">
        <v>30</v>
      </c>
      <c r="AQ1081" s="1"/>
    </row>
    <row r="1082" spans="1:43" ht="24" x14ac:dyDescent="0.2">
      <c r="A1082" s="1" t="s">
        <v>766</v>
      </c>
      <c r="B1082" s="1" t="s">
        <v>850</v>
      </c>
      <c r="C1082" s="1" t="s">
        <v>5717</v>
      </c>
      <c r="D1082" s="48">
        <v>5</v>
      </c>
      <c r="E1082" s="1">
        <v>2</v>
      </c>
      <c r="F1082" s="1" t="s">
        <v>770</v>
      </c>
      <c r="G1082" s="1" t="s">
        <v>579</v>
      </c>
      <c r="I1082" s="1" t="s">
        <v>94</v>
      </c>
      <c r="K1082" s="1" t="s">
        <v>851</v>
      </c>
      <c r="N1082" s="54">
        <v>18</v>
      </c>
      <c r="O1082" s="55">
        <v>3</v>
      </c>
      <c r="Q1082" s="57">
        <v>2</v>
      </c>
      <c r="R1082" s="58">
        <v>2</v>
      </c>
      <c r="S1082" s="59">
        <v>4</v>
      </c>
      <c r="V1082" s="4" t="s">
        <v>852</v>
      </c>
      <c r="W1082" s="4" t="s">
        <v>853</v>
      </c>
      <c r="AL1082" s="60" t="s">
        <v>30</v>
      </c>
      <c r="AQ1082" s="1"/>
    </row>
    <row r="1083" spans="1:43" ht="48" x14ac:dyDescent="0.2">
      <c r="A1083" s="1" t="s">
        <v>766</v>
      </c>
      <c r="B1083" s="1" t="s">
        <v>854</v>
      </c>
      <c r="C1083" s="1" t="s">
        <v>5717</v>
      </c>
      <c r="D1083" s="48">
        <v>6</v>
      </c>
      <c r="E1083" s="1">
        <v>3</v>
      </c>
      <c r="F1083" s="1" t="s">
        <v>770</v>
      </c>
      <c r="G1083" s="1" t="s">
        <v>855</v>
      </c>
      <c r="I1083" s="1" t="s">
        <v>82</v>
      </c>
      <c r="V1083" s="4" t="s">
        <v>856</v>
      </c>
      <c r="AL1083" s="60" t="s">
        <v>30</v>
      </c>
      <c r="AQ1083" s="1"/>
    </row>
    <row r="1084" spans="1:43" ht="24" x14ac:dyDescent="0.2">
      <c r="A1084" s="1" t="s">
        <v>766</v>
      </c>
      <c r="B1084" s="1" t="s">
        <v>791</v>
      </c>
      <c r="C1084" s="1" t="s">
        <v>5717</v>
      </c>
      <c r="D1084" s="48">
        <v>7</v>
      </c>
      <c r="E1084" s="1">
        <v>2</v>
      </c>
      <c r="F1084" s="1" t="s">
        <v>770</v>
      </c>
      <c r="G1084" s="1" t="s">
        <v>792</v>
      </c>
      <c r="I1084" s="1" t="s">
        <v>82</v>
      </c>
      <c r="L1084" s="2" t="s">
        <v>155</v>
      </c>
      <c r="V1084" s="4" t="s">
        <v>793</v>
      </c>
      <c r="W1084" s="4" t="s">
        <v>794</v>
      </c>
      <c r="AL1084" s="60" t="s">
        <v>30</v>
      </c>
      <c r="AQ1084" s="1"/>
    </row>
    <row r="1085" spans="1:43" ht="24" x14ac:dyDescent="0.2">
      <c r="A1085" s="1" t="s">
        <v>766</v>
      </c>
      <c r="B1085" s="1" t="s">
        <v>779</v>
      </c>
      <c r="C1085" s="1" t="s">
        <v>5717</v>
      </c>
      <c r="D1085" s="48">
        <v>8</v>
      </c>
      <c r="E1085" s="1">
        <v>3</v>
      </c>
      <c r="F1085" s="1" t="s">
        <v>770</v>
      </c>
      <c r="G1085" s="1" t="s">
        <v>780</v>
      </c>
      <c r="I1085" s="1" t="s">
        <v>104</v>
      </c>
      <c r="K1085" s="1" t="s">
        <v>781</v>
      </c>
      <c r="L1085" s="2" t="s">
        <v>331</v>
      </c>
      <c r="O1085" s="55">
        <v>2</v>
      </c>
      <c r="T1085" s="60">
        <v>2</v>
      </c>
      <c r="V1085" s="4" t="s">
        <v>782</v>
      </c>
      <c r="W1085" s="4" t="s">
        <v>783</v>
      </c>
      <c r="AL1085" s="60" t="s">
        <v>30</v>
      </c>
      <c r="AQ1085" s="1"/>
    </row>
    <row r="1086" spans="1:43" ht="36" x14ac:dyDescent="0.2">
      <c r="A1086" s="1" t="s">
        <v>766</v>
      </c>
      <c r="B1086" s="1" t="s">
        <v>828</v>
      </c>
      <c r="C1086" s="1" t="s">
        <v>5717</v>
      </c>
      <c r="D1086" s="48">
        <v>9</v>
      </c>
      <c r="E1086" s="1">
        <v>2</v>
      </c>
      <c r="F1086" s="1" t="s">
        <v>770</v>
      </c>
      <c r="G1086" s="1" t="s">
        <v>829</v>
      </c>
      <c r="I1086" s="1" t="s">
        <v>104</v>
      </c>
      <c r="K1086" s="1" t="s">
        <v>781</v>
      </c>
      <c r="O1086" s="55">
        <v>4</v>
      </c>
      <c r="T1086" s="60">
        <v>4</v>
      </c>
      <c r="V1086" s="4" t="s">
        <v>830</v>
      </c>
      <c r="AL1086" s="60" t="s">
        <v>30</v>
      </c>
      <c r="AQ1086" s="1"/>
    </row>
    <row r="1087" spans="1:43" ht="72" x14ac:dyDescent="0.2">
      <c r="A1087" s="1" t="s">
        <v>766</v>
      </c>
      <c r="B1087" s="1" t="s">
        <v>772</v>
      </c>
      <c r="C1087" s="1" t="s">
        <v>5718</v>
      </c>
      <c r="D1087" s="48">
        <v>1</v>
      </c>
      <c r="E1087" s="1">
        <v>1</v>
      </c>
      <c r="F1087" s="1" t="s">
        <v>774</v>
      </c>
      <c r="G1087" s="1" t="s">
        <v>773</v>
      </c>
      <c r="I1087" s="1" t="s">
        <v>768</v>
      </c>
      <c r="L1087" s="2" t="s">
        <v>21</v>
      </c>
      <c r="N1087" s="54" t="s">
        <v>9529</v>
      </c>
      <c r="V1087" s="4" t="s">
        <v>769</v>
      </c>
      <c r="Y1087" s="1" t="s">
        <v>773</v>
      </c>
      <c r="AA1087" s="1" t="s">
        <v>768</v>
      </c>
      <c r="AF1087" s="54" t="s">
        <v>9530</v>
      </c>
      <c r="AL1087" s="60" t="s">
        <v>30</v>
      </c>
      <c r="AN1087" s="4" t="s">
        <v>775</v>
      </c>
      <c r="AQ1087" s="1"/>
    </row>
    <row r="1088" spans="1:43" ht="36" x14ac:dyDescent="0.2">
      <c r="A1088" s="1" t="s">
        <v>766</v>
      </c>
      <c r="B1088" s="1" t="s">
        <v>831</v>
      </c>
      <c r="C1088" s="1" t="s">
        <v>5718</v>
      </c>
      <c r="D1088" s="48">
        <v>2</v>
      </c>
      <c r="E1088" s="1">
        <v>2</v>
      </c>
      <c r="F1088" s="1" t="s">
        <v>774</v>
      </c>
      <c r="G1088" s="1" t="s">
        <v>832</v>
      </c>
      <c r="I1088" s="1" t="s">
        <v>94</v>
      </c>
      <c r="K1088" s="1" t="s">
        <v>726</v>
      </c>
      <c r="N1088" s="54">
        <v>21</v>
      </c>
      <c r="O1088" s="55">
        <v>2</v>
      </c>
      <c r="Q1088" s="57">
        <v>2</v>
      </c>
      <c r="R1088" s="58">
        <v>2</v>
      </c>
      <c r="S1088" s="59">
        <v>8</v>
      </c>
      <c r="V1088" s="4" t="s">
        <v>833</v>
      </c>
      <c r="W1088" s="4" t="s">
        <v>834</v>
      </c>
      <c r="AL1088" s="60" t="s">
        <v>30</v>
      </c>
      <c r="AQ1088" s="1"/>
    </row>
    <row r="1089" spans="1:43" ht="48" x14ac:dyDescent="0.2">
      <c r="A1089" s="1" t="s">
        <v>766</v>
      </c>
      <c r="B1089" s="1" t="s">
        <v>788</v>
      </c>
      <c r="C1089" s="1" t="s">
        <v>5718</v>
      </c>
      <c r="D1089" s="48">
        <v>3</v>
      </c>
      <c r="E1089" s="1">
        <v>3</v>
      </c>
      <c r="F1089" s="1" t="s">
        <v>774</v>
      </c>
      <c r="G1089" s="1" t="s">
        <v>789</v>
      </c>
      <c r="I1089" s="1" t="s">
        <v>94</v>
      </c>
      <c r="K1089" s="1" t="s">
        <v>287</v>
      </c>
      <c r="N1089" s="54">
        <v>26</v>
      </c>
      <c r="O1089" s="55">
        <v>2</v>
      </c>
      <c r="Q1089" s="57">
        <v>4</v>
      </c>
      <c r="R1089" s="58">
        <v>3</v>
      </c>
      <c r="S1089" s="59">
        <v>5</v>
      </c>
      <c r="V1089" s="4" t="s">
        <v>790</v>
      </c>
      <c r="AL1089" s="60" t="s">
        <v>30</v>
      </c>
      <c r="AQ1089" s="1"/>
    </row>
    <row r="1090" spans="1:43" ht="24" x14ac:dyDescent="0.2">
      <c r="A1090" s="1" t="s">
        <v>766</v>
      </c>
      <c r="B1090" s="1" t="s">
        <v>795</v>
      </c>
      <c r="C1090" s="1" t="s">
        <v>5718</v>
      </c>
      <c r="D1090" s="48">
        <v>4</v>
      </c>
      <c r="E1090" s="1">
        <v>3</v>
      </c>
      <c r="F1090" s="1" t="s">
        <v>774</v>
      </c>
      <c r="G1090" s="1" t="s">
        <v>796</v>
      </c>
      <c r="I1090" s="1" t="s">
        <v>94</v>
      </c>
      <c r="K1090" s="1" t="s">
        <v>797</v>
      </c>
      <c r="L1090" s="2" t="s">
        <v>798</v>
      </c>
      <c r="N1090" s="54">
        <v>1</v>
      </c>
      <c r="O1090" s="55">
        <v>1</v>
      </c>
      <c r="Q1090" s="57">
        <v>1</v>
      </c>
      <c r="R1090" s="58">
        <v>1</v>
      </c>
      <c r="S1090" s="59" t="s">
        <v>799</v>
      </c>
      <c r="V1090" s="4" t="s">
        <v>800</v>
      </c>
      <c r="W1090" s="4" t="s">
        <v>801</v>
      </c>
      <c r="AL1090" s="60" t="s">
        <v>30</v>
      </c>
      <c r="AQ1090" s="1"/>
    </row>
    <row r="1091" spans="1:43" ht="24" x14ac:dyDescent="0.2">
      <c r="A1091" s="1" t="s">
        <v>766</v>
      </c>
      <c r="B1091" s="1" t="s">
        <v>784</v>
      </c>
      <c r="C1091" s="1" t="s">
        <v>5718</v>
      </c>
      <c r="D1091" s="48">
        <v>5</v>
      </c>
      <c r="E1091" s="1">
        <v>2</v>
      </c>
      <c r="F1091" s="1" t="s">
        <v>774</v>
      </c>
      <c r="G1091" s="1" t="s">
        <v>785</v>
      </c>
      <c r="I1091" s="1" t="s">
        <v>104</v>
      </c>
      <c r="K1091" s="1" t="s">
        <v>306</v>
      </c>
      <c r="O1091" s="55">
        <v>3</v>
      </c>
      <c r="T1091" s="60">
        <v>6</v>
      </c>
      <c r="V1091" s="4" t="s">
        <v>786</v>
      </c>
      <c r="W1091" s="4" t="s">
        <v>787</v>
      </c>
      <c r="AL1091" s="60" t="s">
        <v>30</v>
      </c>
      <c r="AQ1091" s="1"/>
    </row>
    <row r="1092" spans="1:43" ht="36" x14ac:dyDescent="0.2">
      <c r="A1092" s="1" t="s">
        <v>766</v>
      </c>
      <c r="B1092" s="1" t="s">
        <v>824</v>
      </c>
      <c r="C1092" s="1" t="s">
        <v>5718</v>
      </c>
      <c r="D1092" s="48">
        <v>6</v>
      </c>
      <c r="E1092" s="1">
        <v>3</v>
      </c>
      <c r="F1092" s="1" t="s">
        <v>774</v>
      </c>
      <c r="G1092" s="1" t="s">
        <v>825</v>
      </c>
      <c r="I1092" s="1" t="s">
        <v>104</v>
      </c>
      <c r="K1092" s="1" t="s">
        <v>726</v>
      </c>
      <c r="O1092" s="55">
        <v>10</v>
      </c>
      <c r="T1092" s="60">
        <v>10</v>
      </c>
      <c r="V1092" s="4" t="s">
        <v>826</v>
      </c>
      <c r="W1092" s="4" t="s">
        <v>827</v>
      </c>
      <c r="AL1092" s="60" t="s">
        <v>30</v>
      </c>
      <c r="AQ1092" s="1"/>
    </row>
    <row r="1093" spans="1:43" ht="48" x14ac:dyDescent="0.2">
      <c r="A1093" s="1" t="s">
        <v>766</v>
      </c>
      <c r="B1093" s="1" t="s">
        <v>835</v>
      </c>
      <c r="C1093" s="1" t="s">
        <v>5718</v>
      </c>
      <c r="D1093" s="48">
        <v>7</v>
      </c>
      <c r="E1093" s="1">
        <v>2</v>
      </c>
      <c r="F1093" s="1" t="s">
        <v>774</v>
      </c>
      <c r="G1093" s="1" t="s">
        <v>836</v>
      </c>
      <c r="I1093" s="1" t="s">
        <v>82</v>
      </c>
      <c r="V1093" s="4" t="s">
        <v>837</v>
      </c>
      <c r="AL1093" s="60" t="s">
        <v>30</v>
      </c>
      <c r="AQ1093" s="1"/>
    </row>
    <row r="1094" spans="1:43" ht="36" x14ac:dyDescent="0.2">
      <c r="A1094" s="1" t="s">
        <v>766</v>
      </c>
      <c r="B1094" s="1" t="s">
        <v>863</v>
      </c>
      <c r="C1094" s="1" t="s">
        <v>5718</v>
      </c>
      <c r="D1094" s="48">
        <v>8</v>
      </c>
      <c r="E1094" s="1">
        <v>2</v>
      </c>
      <c r="F1094" s="1" t="s">
        <v>774</v>
      </c>
      <c r="G1094" s="1" t="s">
        <v>864</v>
      </c>
      <c r="I1094" s="1" t="s">
        <v>82</v>
      </c>
      <c r="V1094" s="4" t="s">
        <v>865</v>
      </c>
      <c r="W1094" s="4" t="s">
        <v>866</v>
      </c>
      <c r="AL1094" s="60" t="s">
        <v>30</v>
      </c>
      <c r="AQ1094" s="1"/>
    </row>
    <row r="1095" spans="1:43" ht="48" x14ac:dyDescent="0.2">
      <c r="A1095" s="1" t="s">
        <v>766</v>
      </c>
      <c r="B1095" s="1" t="s">
        <v>841</v>
      </c>
      <c r="C1095" s="1" t="s">
        <v>5718</v>
      </c>
      <c r="D1095" s="48">
        <v>9</v>
      </c>
      <c r="E1095" s="1">
        <v>2</v>
      </c>
      <c r="F1095" s="1" t="s">
        <v>774</v>
      </c>
      <c r="G1095" s="1" t="s">
        <v>842</v>
      </c>
      <c r="I1095" s="1" t="s">
        <v>82</v>
      </c>
      <c r="V1095" s="4" t="s">
        <v>843</v>
      </c>
      <c r="W1095" s="4" t="s">
        <v>844</v>
      </c>
      <c r="AL1095" s="60" t="s">
        <v>30</v>
      </c>
      <c r="AQ1095" s="1"/>
    </row>
    <row r="1096" spans="1:43" ht="96" x14ac:dyDescent="0.2">
      <c r="A1096" s="1" t="s">
        <v>766</v>
      </c>
      <c r="B1096" s="1" t="s">
        <v>776</v>
      </c>
      <c r="C1096" s="1" t="s">
        <v>5735</v>
      </c>
      <c r="D1096" s="48">
        <v>1</v>
      </c>
      <c r="E1096" s="1">
        <v>1</v>
      </c>
      <c r="F1096" s="1" t="s">
        <v>777</v>
      </c>
      <c r="G1096" s="1" t="s">
        <v>677</v>
      </c>
      <c r="I1096" s="1" t="s">
        <v>768</v>
      </c>
      <c r="L1096" s="2" t="s">
        <v>21</v>
      </c>
      <c r="N1096" s="54" t="s">
        <v>9529</v>
      </c>
      <c r="V1096" s="4" t="s">
        <v>769</v>
      </c>
      <c r="X1096" s="1" t="s">
        <v>753</v>
      </c>
      <c r="Y1096" s="1" t="s">
        <v>677</v>
      </c>
      <c r="AA1096" s="1" t="s">
        <v>768</v>
      </c>
      <c r="AF1096" s="54" t="s">
        <v>9530</v>
      </c>
      <c r="AL1096" s="60" t="s">
        <v>30</v>
      </c>
      <c r="AN1096" s="4" t="s">
        <v>778</v>
      </c>
      <c r="AQ1096" s="1"/>
    </row>
    <row r="1097" spans="1:43" ht="36" x14ac:dyDescent="0.2">
      <c r="A1097" s="1" t="s">
        <v>766</v>
      </c>
      <c r="B1097" s="1" t="s">
        <v>860</v>
      </c>
      <c r="C1097" s="1" t="s">
        <v>5735</v>
      </c>
      <c r="D1097" s="48">
        <v>2</v>
      </c>
      <c r="E1097" s="1">
        <v>3</v>
      </c>
      <c r="F1097" s="1" t="s">
        <v>777</v>
      </c>
      <c r="G1097" s="1" t="s">
        <v>861</v>
      </c>
      <c r="I1097" s="1" t="s">
        <v>94</v>
      </c>
      <c r="K1097" s="1" t="s">
        <v>633</v>
      </c>
      <c r="N1097" s="54">
        <v>45</v>
      </c>
      <c r="O1097" s="55">
        <v>5</v>
      </c>
      <c r="Q1097" s="57">
        <v>1</v>
      </c>
      <c r="R1097" s="58">
        <v>2</v>
      </c>
      <c r="S1097" s="59">
        <v>4</v>
      </c>
      <c r="V1097" s="4" t="s">
        <v>804</v>
      </c>
      <c r="W1097" s="4" t="s">
        <v>862</v>
      </c>
      <c r="AL1097" s="60" t="s">
        <v>30</v>
      </c>
      <c r="AQ1097" s="1"/>
    </row>
    <row r="1098" spans="1:43" ht="24" x14ac:dyDescent="0.2">
      <c r="A1098" s="1" t="s">
        <v>766</v>
      </c>
      <c r="B1098" s="1" t="s">
        <v>806</v>
      </c>
      <c r="C1098" s="1" t="s">
        <v>5735</v>
      </c>
      <c r="D1098" s="48">
        <v>3</v>
      </c>
      <c r="E1098" s="1">
        <v>2</v>
      </c>
      <c r="F1098" s="1" t="s">
        <v>777</v>
      </c>
      <c r="G1098" s="1" t="s">
        <v>807</v>
      </c>
      <c r="I1098" s="1" t="s">
        <v>94</v>
      </c>
      <c r="K1098" s="1" t="s">
        <v>808</v>
      </c>
      <c r="L1098" s="2" t="s">
        <v>685</v>
      </c>
      <c r="N1098" s="54">
        <v>13</v>
      </c>
      <c r="O1098" s="55">
        <v>2</v>
      </c>
      <c r="Q1098" s="57">
        <v>1</v>
      </c>
      <c r="R1098" s="58">
        <v>3</v>
      </c>
      <c r="S1098" s="59">
        <v>1</v>
      </c>
      <c r="V1098" s="4" t="s">
        <v>810</v>
      </c>
      <c r="W1098" s="4" t="s">
        <v>811</v>
      </c>
      <c r="AL1098" s="60" t="s">
        <v>30</v>
      </c>
      <c r="AQ1098" s="1"/>
    </row>
    <row r="1099" spans="1:43" ht="24" x14ac:dyDescent="0.2">
      <c r="A1099" s="1" t="s">
        <v>766</v>
      </c>
      <c r="B1099" s="1" t="s">
        <v>845</v>
      </c>
      <c r="C1099" s="1" t="s">
        <v>5735</v>
      </c>
      <c r="D1099" s="48">
        <v>4</v>
      </c>
      <c r="E1099" s="1">
        <v>3</v>
      </c>
      <c r="F1099" s="1" t="s">
        <v>777</v>
      </c>
      <c r="G1099" s="1" t="s">
        <v>846</v>
      </c>
      <c r="I1099" s="1" t="s">
        <v>94</v>
      </c>
      <c r="K1099" s="1" t="s">
        <v>847</v>
      </c>
      <c r="N1099" s="54">
        <v>28</v>
      </c>
      <c r="O1099" s="55">
        <v>3</v>
      </c>
      <c r="Q1099" s="57">
        <v>3</v>
      </c>
      <c r="R1099" s="58">
        <v>3</v>
      </c>
      <c r="S1099" s="59">
        <v>6</v>
      </c>
      <c r="V1099" s="4" t="s">
        <v>848</v>
      </c>
      <c r="W1099" s="4" t="s">
        <v>849</v>
      </c>
      <c r="AL1099" s="60" t="s">
        <v>30</v>
      </c>
      <c r="AQ1099" s="1"/>
    </row>
    <row r="1100" spans="1:43" ht="60" x14ac:dyDescent="0.2">
      <c r="A1100" s="1" t="s">
        <v>766</v>
      </c>
      <c r="B1100" s="1" t="s">
        <v>857</v>
      </c>
      <c r="C1100" s="1" t="s">
        <v>5735</v>
      </c>
      <c r="D1100" s="48">
        <v>5</v>
      </c>
      <c r="E1100" s="1">
        <v>2</v>
      </c>
      <c r="F1100" s="1" t="s">
        <v>777</v>
      </c>
      <c r="G1100" s="1" t="s">
        <v>858</v>
      </c>
      <c r="I1100" s="1" t="s">
        <v>104</v>
      </c>
      <c r="K1100" s="1" t="s">
        <v>818</v>
      </c>
      <c r="O1100" s="55">
        <v>3</v>
      </c>
      <c r="T1100" s="60">
        <v>6</v>
      </c>
      <c r="V1100" s="4" t="s">
        <v>859</v>
      </c>
      <c r="AL1100" s="60" t="s">
        <v>30</v>
      </c>
      <c r="AQ1100" s="1"/>
    </row>
    <row r="1101" spans="1:43" ht="60" x14ac:dyDescent="0.2">
      <c r="A1101" s="1" t="s">
        <v>766</v>
      </c>
      <c r="B1101" s="1" t="s">
        <v>816</v>
      </c>
      <c r="C1101" s="1" t="s">
        <v>5735</v>
      </c>
      <c r="D1101" s="48">
        <v>6</v>
      </c>
      <c r="E1101" s="1">
        <v>3</v>
      </c>
      <c r="F1101" s="1" t="s">
        <v>777</v>
      </c>
      <c r="G1101" s="1" t="s">
        <v>817</v>
      </c>
      <c r="I1101" s="1" t="s">
        <v>104</v>
      </c>
      <c r="K1101" s="1" t="s">
        <v>818</v>
      </c>
      <c r="O1101" s="55">
        <v>1</v>
      </c>
      <c r="T1101" s="60">
        <v>4</v>
      </c>
      <c r="V1101" s="4" t="s">
        <v>819</v>
      </c>
      <c r="AL1101" s="60" t="s">
        <v>30</v>
      </c>
      <c r="AQ1101" s="1"/>
    </row>
    <row r="1102" spans="1:43" ht="60" x14ac:dyDescent="0.2">
      <c r="A1102" s="1" t="s">
        <v>766</v>
      </c>
      <c r="B1102" s="1" t="s">
        <v>838</v>
      </c>
      <c r="C1102" s="1" t="s">
        <v>5735</v>
      </c>
      <c r="D1102" s="48">
        <v>7</v>
      </c>
      <c r="E1102" s="1">
        <v>2</v>
      </c>
      <c r="F1102" s="1" t="s">
        <v>777</v>
      </c>
      <c r="G1102" s="1" t="s">
        <v>839</v>
      </c>
      <c r="I1102" s="1" t="s">
        <v>82</v>
      </c>
      <c r="V1102" s="4" t="s">
        <v>840</v>
      </c>
      <c r="AL1102" s="60" t="s">
        <v>30</v>
      </c>
      <c r="AQ1102" s="1"/>
    </row>
    <row r="1103" spans="1:43" ht="48" x14ac:dyDescent="0.2">
      <c r="A1103" s="1" t="s">
        <v>766</v>
      </c>
      <c r="B1103" s="1" t="s">
        <v>802</v>
      </c>
      <c r="C1103" s="1" t="s">
        <v>5735</v>
      </c>
      <c r="D1103" s="48">
        <v>8</v>
      </c>
      <c r="E1103" s="1">
        <v>2</v>
      </c>
      <c r="F1103" s="1" t="s">
        <v>777</v>
      </c>
      <c r="G1103" s="1" t="s">
        <v>803</v>
      </c>
      <c r="I1103" s="1" t="s">
        <v>82</v>
      </c>
      <c r="L1103" s="2" t="s">
        <v>155</v>
      </c>
      <c r="V1103" s="4" t="s">
        <v>804</v>
      </c>
      <c r="W1103" s="4" t="s">
        <v>805</v>
      </c>
      <c r="AL1103" s="60" t="s">
        <v>30</v>
      </c>
      <c r="AQ1103" s="1"/>
    </row>
    <row r="1104" spans="1:43" ht="36" x14ac:dyDescent="0.2">
      <c r="A1104" s="1" t="s">
        <v>766</v>
      </c>
      <c r="B1104" s="1" t="s">
        <v>812</v>
      </c>
      <c r="C1104" s="1" t="s">
        <v>5735</v>
      </c>
      <c r="D1104" s="48">
        <v>9</v>
      </c>
      <c r="E1104" s="1">
        <v>2</v>
      </c>
      <c r="F1104" s="1" t="s">
        <v>777</v>
      </c>
      <c r="G1104" s="1" t="s">
        <v>813</v>
      </c>
      <c r="I1104" s="1" t="s">
        <v>82</v>
      </c>
      <c r="V1104" s="4" t="s">
        <v>814</v>
      </c>
      <c r="W1104" s="4" t="s">
        <v>815</v>
      </c>
      <c r="AL1104" s="60" t="s">
        <v>30</v>
      </c>
      <c r="AQ1104" s="1"/>
    </row>
    <row r="1105" spans="1:48" ht="108" x14ac:dyDescent="0.2">
      <c r="A1105" s="119" t="s">
        <v>3165</v>
      </c>
      <c r="B1105" s="119" t="s">
        <v>3271</v>
      </c>
      <c r="C1105" s="119" t="s">
        <v>5739</v>
      </c>
      <c r="D1105" s="120">
        <v>1</v>
      </c>
      <c r="E1105" s="119">
        <v>1</v>
      </c>
      <c r="F1105" s="119" t="s">
        <v>3272</v>
      </c>
      <c r="G1105" s="119" t="s">
        <v>3169</v>
      </c>
      <c r="I1105" s="1" t="s">
        <v>768</v>
      </c>
      <c r="N1105" s="54" t="s">
        <v>9529</v>
      </c>
      <c r="V1105" s="4" t="s">
        <v>769</v>
      </c>
      <c r="Y1105" s="1" t="s">
        <v>3169</v>
      </c>
      <c r="AA1105" s="1" t="s">
        <v>768</v>
      </c>
      <c r="AF1105" s="54" t="s">
        <v>9530</v>
      </c>
      <c r="AL1105" s="60" t="s">
        <v>30</v>
      </c>
      <c r="AN1105" s="4" t="s">
        <v>3273</v>
      </c>
      <c r="AQ1105" s="1"/>
    </row>
    <row r="1106" spans="1:48" ht="48" x14ac:dyDescent="0.2">
      <c r="A1106" s="1" t="s">
        <v>3165</v>
      </c>
      <c r="B1106" s="1" t="s">
        <v>3285</v>
      </c>
      <c r="C1106" s="1" t="s">
        <v>5739</v>
      </c>
      <c r="D1106" s="48">
        <v>2</v>
      </c>
      <c r="E1106" s="1">
        <v>3</v>
      </c>
      <c r="F1106" s="1" t="s">
        <v>3272</v>
      </c>
      <c r="G1106" s="1" t="s">
        <v>3286</v>
      </c>
      <c r="I1106" s="1" t="s">
        <v>94</v>
      </c>
      <c r="K1106" s="1" t="s">
        <v>95</v>
      </c>
      <c r="N1106" s="54">
        <v>42</v>
      </c>
      <c r="O1106" s="55">
        <v>2</v>
      </c>
      <c r="Q1106" s="57">
        <v>3</v>
      </c>
      <c r="R1106" s="58">
        <v>3</v>
      </c>
      <c r="S1106" s="59">
        <v>3</v>
      </c>
      <c r="V1106" s="4" t="s">
        <v>3287</v>
      </c>
      <c r="AL1106" s="60" t="s">
        <v>30</v>
      </c>
      <c r="AQ1106" s="1"/>
    </row>
    <row r="1107" spans="1:48" ht="48" x14ac:dyDescent="0.2">
      <c r="A1107" s="1" t="s">
        <v>3165</v>
      </c>
      <c r="B1107" s="1" t="s">
        <v>3288</v>
      </c>
      <c r="C1107" s="1" t="s">
        <v>5739</v>
      </c>
      <c r="D1107" s="48">
        <v>3</v>
      </c>
      <c r="E1107" s="1">
        <v>2</v>
      </c>
      <c r="F1107" s="1" t="s">
        <v>3272</v>
      </c>
      <c r="G1107" s="1" t="s">
        <v>3289</v>
      </c>
      <c r="I1107" s="1" t="s">
        <v>94</v>
      </c>
      <c r="K1107" s="1" t="s">
        <v>3290</v>
      </c>
      <c r="N1107" s="54">
        <v>15</v>
      </c>
      <c r="O1107" s="55">
        <v>1</v>
      </c>
      <c r="Q1107" s="57">
        <v>3</v>
      </c>
      <c r="R1107" s="58">
        <v>2</v>
      </c>
      <c r="S1107" s="59">
        <v>3</v>
      </c>
      <c r="V1107" s="4" t="s">
        <v>3291</v>
      </c>
      <c r="AL1107" s="60" t="s">
        <v>30</v>
      </c>
      <c r="AQ1107" s="1"/>
    </row>
    <row r="1108" spans="1:48" ht="24" x14ac:dyDescent="0.2">
      <c r="A1108" s="1" t="s">
        <v>3165</v>
      </c>
      <c r="B1108" s="1" t="s">
        <v>3292</v>
      </c>
      <c r="C1108" s="1" t="s">
        <v>5739</v>
      </c>
      <c r="D1108" s="48">
        <v>4</v>
      </c>
      <c r="E1108" s="1">
        <v>2</v>
      </c>
      <c r="F1108" s="1" t="s">
        <v>3272</v>
      </c>
      <c r="G1108" s="1" t="s">
        <v>3293</v>
      </c>
      <c r="I1108" s="1" t="s">
        <v>104</v>
      </c>
      <c r="K1108" s="1" t="s">
        <v>2506</v>
      </c>
      <c r="O1108" s="55">
        <v>3</v>
      </c>
      <c r="T1108" s="60">
        <v>4</v>
      </c>
      <c r="V1108" s="4" t="s">
        <v>3294</v>
      </c>
      <c r="W1108" s="4" t="s">
        <v>3295</v>
      </c>
      <c r="AL1108" s="60" t="s">
        <v>30</v>
      </c>
      <c r="AQ1108" s="1"/>
    </row>
    <row r="1109" spans="1:48" ht="24" x14ac:dyDescent="0.2">
      <c r="A1109" s="1" t="s">
        <v>3165</v>
      </c>
      <c r="B1109" s="1" t="s">
        <v>3296</v>
      </c>
      <c r="C1109" s="1" t="s">
        <v>5739</v>
      </c>
      <c r="D1109" s="48">
        <v>5</v>
      </c>
      <c r="E1109" s="1">
        <v>2</v>
      </c>
      <c r="F1109" s="1" t="s">
        <v>3272</v>
      </c>
      <c r="G1109" s="1" t="s">
        <v>3297</v>
      </c>
      <c r="I1109" s="1" t="s">
        <v>104</v>
      </c>
      <c r="K1109" s="1" t="s">
        <v>306</v>
      </c>
      <c r="O1109" s="55">
        <v>2</v>
      </c>
      <c r="T1109" s="60">
        <v>6</v>
      </c>
      <c r="V1109" s="4" t="s">
        <v>3298</v>
      </c>
      <c r="W1109" s="4" t="s">
        <v>3299</v>
      </c>
      <c r="AL1109" s="60" t="s">
        <v>30</v>
      </c>
      <c r="AQ1109" s="1"/>
    </row>
    <row r="1110" spans="1:48" ht="72" x14ac:dyDescent="0.2">
      <c r="A1110" s="1" t="s">
        <v>3165</v>
      </c>
      <c r="B1110" s="1" t="s">
        <v>3300</v>
      </c>
      <c r="C1110" s="1" t="s">
        <v>5739</v>
      </c>
      <c r="D1110" s="48">
        <v>6</v>
      </c>
      <c r="E1110" s="1">
        <v>3</v>
      </c>
      <c r="F1110" s="1" t="s">
        <v>3272</v>
      </c>
      <c r="G1110" s="1" t="s">
        <v>3301</v>
      </c>
      <c r="I1110" s="1" t="s">
        <v>104</v>
      </c>
      <c r="K1110" s="1" t="s">
        <v>726</v>
      </c>
      <c r="O1110" s="55">
        <v>3</v>
      </c>
      <c r="T1110" s="60">
        <v>2</v>
      </c>
      <c r="V1110" s="4" t="s">
        <v>3302</v>
      </c>
      <c r="AL1110" s="60" t="s">
        <v>30</v>
      </c>
      <c r="AQ1110" s="1"/>
    </row>
    <row r="1111" spans="1:48" ht="36" x14ac:dyDescent="0.2">
      <c r="A1111" s="1" t="s">
        <v>3165</v>
      </c>
      <c r="B1111" s="1" t="s">
        <v>3274</v>
      </c>
      <c r="C1111" s="1" t="s">
        <v>5739</v>
      </c>
      <c r="D1111" s="48">
        <v>7</v>
      </c>
      <c r="E1111" s="1">
        <v>2</v>
      </c>
      <c r="F1111" s="1" t="s">
        <v>3272</v>
      </c>
      <c r="G1111" s="1" t="s">
        <v>3275</v>
      </c>
      <c r="I1111" s="1" t="s">
        <v>82</v>
      </c>
      <c r="V1111" s="4" t="s">
        <v>3276</v>
      </c>
      <c r="W1111" s="4" t="s">
        <v>3277</v>
      </c>
      <c r="AL1111" s="60" t="s">
        <v>30</v>
      </c>
      <c r="AQ1111" s="1"/>
    </row>
    <row r="1112" spans="1:48" ht="24" x14ac:dyDescent="0.2">
      <c r="A1112" s="1" t="s">
        <v>3165</v>
      </c>
      <c r="B1112" s="1" t="s">
        <v>3278</v>
      </c>
      <c r="C1112" s="1" t="s">
        <v>5739</v>
      </c>
      <c r="D1112" s="48">
        <v>8</v>
      </c>
      <c r="E1112" s="1">
        <v>3</v>
      </c>
      <c r="F1112" s="1" t="s">
        <v>3272</v>
      </c>
      <c r="G1112" s="1" t="s">
        <v>3279</v>
      </c>
      <c r="I1112" s="1" t="s">
        <v>82</v>
      </c>
      <c r="L1112" s="2" t="s">
        <v>155</v>
      </c>
      <c r="V1112" s="4" t="s">
        <v>3280</v>
      </c>
      <c r="W1112" s="4" t="s">
        <v>3281</v>
      </c>
      <c r="AL1112" s="60" t="s">
        <v>30</v>
      </c>
      <c r="AQ1112" s="1"/>
    </row>
    <row r="1113" spans="1:48" ht="84" x14ac:dyDescent="0.2">
      <c r="A1113" s="1" t="s">
        <v>3165</v>
      </c>
      <c r="B1113" s="1" t="s">
        <v>3282</v>
      </c>
      <c r="C1113" s="1" t="s">
        <v>5739</v>
      </c>
      <c r="D1113" s="48">
        <v>9</v>
      </c>
      <c r="E1113" s="1">
        <v>2</v>
      </c>
      <c r="F1113" s="1" t="s">
        <v>3272</v>
      </c>
      <c r="G1113" s="1" t="s">
        <v>3283</v>
      </c>
      <c r="I1113" s="1" t="s">
        <v>82</v>
      </c>
      <c r="V1113" s="4" t="s">
        <v>3284</v>
      </c>
      <c r="AL1113" s="60" t="s">
        <v>30</v>
      </c>
      <c r="AQ1113" s="1"/>
    </row>
    <row r="1114" spans="1:48" ht="156" x14ac:dyDescent="0.2">
      <c r="A1114" s="1" t="s">
        <v>3165</v>
      </c>
      <c r="B1114" s="1" t="s">
        <v>3332</v>
      </c>
      <c r="C1114" s="1" t="s">
        <v>5741</v>
      </c>
      <c r="D1114" s="48">
        <v>1</v>
      </c>
      <c r="E1114" s="1">
        <v>1</v>
      </c>
      <c r="F1114" s="1" t="s">
        <v>3333</v>
      </c>
      <c r="G1114" s="1" t="s">
        <v>248</v>
      </c>
      <c r="I1114" s="1" t="s">
        <v>768</v>
      </c>
      <c r="N1114" s="54" t="s">
        <v>9529</v>
      </c>
      <c r="V1114" s="4" t="s">
        <v>769</v>
      </c>
      <c r="X1114" s="1" t="s">
        <v>3334</v>
      </c>
      <c r="Y1114" s="1" t="s">
        <v>248</v>
      </c>
      <c r="AA1114" s="1" t="s">
        <v>768</v>
      </c>
      <c r="AF1114" s="54" t="s">
        <v>9530</v>
      </c>
      <c r="AL1114" s="60" t="s">
        <v>30</v>
      </c>
      <c r="AN1114" s="4" t="s">
        <v>3335</v>
      </c>
      <c r="AQ1114" s="1"/>
    </row>
    <row r="1115" spans="1:48" ht="24" x14ac:dyDescent="0.2">
      <c r="A1115" s="1" t="s">
        <v>3165</v>
      </c>
      <c r="B1115" s="1" t="s">
        <v>3339</v>
      </c>
      <c r="C1115" s="1" t="s">
        <v>5741</v>
      </c>
      <c r="D1115" s="48">
        <v>2</v>
      </c>
      <c r="E1115" s="1">
        <v>4</v>
      </c>
      <c r="F1115" s="1" t="s">
        <v>3333</v>
      </c>
      <c r="G1115" s="1" t="s">
        <v>3340</v>
      </c>
      <c r="I1115" s="1" t="s">
        <v>94</v>
      </c>
      <c r="K1115" s="1" t="s">
        <v>287</v>
      </c>
      <c r="N1115" s="54">
        <v>21</v>
      </c>
      <c r="O1115" s="55">
        <v>1</v>
      </c>
      <c r="Q1115" s="57">
        <v>3</v>
      </c>
      <c r="R1115" s="58">
        <v>2</v>
      </c>
      <c r="S1115" s="59">
        <v>6</v>
      </c>
      <c r="U1115" s="1">
        <v>1</v>
      </c>
      <c r="V1115" s="4" t="s">
        <v>3341</v>
      </c>
      <c r="W1115" s="4" t="s">
        <v>3342</v>
      </c>
      <c r="AL1115" s="60" t="s">
        <v>30</v>
      </c>
      <c r="AQ1115" s="1"/>
    </row>
    <row r="1116" spans="1:48" ht="36" x14ac:dyDescent="0.2">
      <c r="A1116" s="1" t="s">
        <v>3165</v>
      </c>
      <c r="B1116" s="1" t="s">
        <v>3343</v>
      </c>
      <c r="C1116" s="1" t="s">
        <v>5741</v>
      </c>
      <c r="D1116" s="48">
        <v>3</v>
      </c>
      <c r="E1116" s="1">
        <v>1</v>
      </c>
      <c r="F1116" s="1" t="s">
        <v>3333</v>
      </c>
      <c r="G1116" s="1" t="s">
        <v>3344</v>
      </c>
      <c r="H1116" s="1" t="s">
        <v>26</v>
      </c>
      <c r="I1116" s="1" t="s">
        <v>94</v>
      </c>
      <c r="K1116" s="1" t="s">
        <v>287</v>
      </c>
      <c r="N1116" s="54">
        <v>34</v>
      </c>
      <c r="O1116" s="55">
        <v>4</v>
      </c>
      <c r="Q1116" s="57">
        <v>5</v>
      </c>
      <c r="R1116" s="58">
        <v>4</v>
      </c>
      <c r="S1116" s="59">
        <v>10</v>
      </c>
      <c r="V1116" s="4" t="s">
        <v>3345</v>
      </c>
      <c r="AL1116" s="60" t="s">
        <v>30</v>
      </c>
    </row>
    <row r="1117" spans="1:48" ht="72" x14ac:dyDescent="0.2">
      <c r="A1117" s="1" t="s">
        <v>3165</v>
      </c>
      <c r="B1117" s="1" t="s">
        <v>3346</v>
      </c>
      <c r="C1117" s="1" t="s">
        <v>5741</v>
      </c>
      <c r="D1117" s="48">
        <v>4</v>
      </c>
      <c r="E1117" s="1">
        <v>1</v>
      </c>
      <c r="F1117" s="1" t="s">
        <v>3333</v>
      </c>
      <c r="G1117" s="1" t="s">
        <v>286</v>
      </c>
      <c r="H1117" s="1" t="s">
        <v>26</v>
      </c>
      <c r="I1117" s="1" t="s">
        <v>94</v>
      </c>
      <c r="K1117" s="1" t="s">
        <v>287</v>
      </c>
      <c r="N1117" s="54">
        <v>34</v>
      </c>
      <c r="O1117" s="55">
        <v>4</v>
      </c>
      <c r="Q1117" s="57">
        <v>4</v>
      </c>
      <c r="R1117" s="58">
        <v>2</v>
      </c>
      <c r="S1117" s="59">
        <v>10</v>
      </c>
      <c r="U1117" s="1">
        <v>2</v>
      </c>
      <c r="V1117" s="4" t="s">
        <v>3347</v>
      </c>
      <c r="AL1117" s="60" t="s">
        <v>30</v>
      </c>
    </row>
    <row r="1118" spans="1:48" ht="48" x14ac:dyDescent="0.2">
      <c r="A1118" s="1" t="s">
        <v>3165</v>
      </c>
      <c r="B1118" s="1" t="s">
        <v>3348</v>
      </c>
      <c r="C1118" s="1" t="s">
        <v>5741</v>
      </c>
      <c r="D1118" s="48">
        <v>5</v>
      </c>
      <c r="E1118" s="1">
        <v>1</v>
      </c>
      <c r="F1118" s="1" t="s">
        <v>3333</v>
      </c>
      <c r="G1118" s="1" t="s">
        <v>290</v>
      </c>
      <c r="H1118" s="1" t="s">
        <v>26</v>
      </c>
      <c r="I1118" s="1" t="s">
        <v>94</v>
      </c>
      <c r="K1118" s="1" t="s">
        <v>287</v>
      </c>
      <c r="N1118" s="54">
        <v>34</v>
      </c>
      <c r="O1118" s="55">
        <v>3</v>
      </c>
      <c r="Q1118" s="57">
        <v>5</v>
      </c>
      <c r="R1118" s="58">
        <v>2</v>
      </c>
      <c r="S1118" s="59">
        <v>10</v>
      </c>
      <c r="U1118" s="1">
        <v>2</v>
      </c>
      <c r="V1118" s="4" t="s">
        <v>3349</v>
      </c>
      <c r="AL1118" s="60" t="s">
        <v>30</v>
      </c>
    </row>
    <row r="1119" spans="1:48" ht="48" x14ac:dyDescent="0.2">
      <c r="A1119" s="1" t="s">
        <v>3165</v>
      </c>
      <c r="B1119" s="1" t="s">
        <v>3350</v>
      </c>
      <c r="C1119" s="1" t="s">
        <v>5741</v>
      </c>
      <c r="D1119" s="48">
        <v>6</v>
      </c>
      <c r="E1119" s="1">
        <v>1</v>
      </c>
      <c r="F1119" s="1" t="s">
        <v>3333</v>
      </c>
      <c r="G1119" s="1" t="s">
        <v>313</v>
      </c>
      <c r="H1119" s="1" t="s">
        <v>26</v>
      </c>
      <c r="I1119" s="1" t="s">
        <v>94</v>
      </c>
      <c r="K1119" s="1" t="s">
        <v>287</v>
      </c>
      <c r="N1119" s="54">
        <v>34</v>
      </c>
      <c r="O1119" s="55">
        <v>2</v>
      </c>
      <c r="Q1119" s="57">
        <v>5</v>
      </c>
      <c r="R1119" s="58">
        <v>3</v>
      </c>
      <c r="S1119" s="59">
        <v>10</v>
      </c>
      <c r="U1119" s="1">
        <v>2</v>
      </c>
      <c r="V1119" s="4" t="s">
        <v>3351</v>
      </c>
      <c r="AL1119" s="60" t="s">
        <v>30</v>
      </c>
    </row>
    <row r="1120" spans="1:48" ht="48" x14ac:dyDescent="0.2">
      <c r="A1120" s="1" t="s">
        <v>3165</v>
      </c>
      <c r="B1120" s="1" t="s">
        <v>3352</v>
      </c>
      <c r="C1120" s="1" t="s">
        <v>5741</v>
      </c>
      <c r="D1120" s="48">
        <v>7</v>
      </c>
      <c r="E1120" s="1">
        <v>1</v>
      </c>
      <c r="F1120" s="1" t="s">
        <v>3333</v>
      </c>
      <c r="G1120" s="1" t="s">
        <v>327</v>
      </c>
      <c r="H1120" s="1" t="s">
        <v>26</v>
      </c>
      <c r="I1120" s="1" t="s">
        <v>94</v>
      </c>
      <c r="K1120" s="1" t="s">
        <v>287</v>
      </c>
      <c r="N1120" s="54">
        <v>34</v>
      </c>
      <c r="O1120" s="55">
        <v>2</v>
      </c>
      <c r="Q1120" s="57">
        <v>4</v>
      </c>
      <c r="R1120" s="58">
        <v>4</v>
      </c>
      <c r="S1120" s="59">
        <v>10</v>
      </c>
      <c r="U1120" s="1">
        <v>2</v>
      </c>
      <c r="V1120" s="4" t="s">
        <v>3353</v>
      </c>
      <c r="AL1120" s="60" t="s">
        <v>30</v>
      </c>
      <c r="AU1120" s="1" t="s">
        <v>6223</v>
      </c>
      <c r="AV1120" s="1" t="s">
        <v>6224</v>
      </c>
    </row>
    <row r="1121" spans="1:48" ht="24" x14ac:dyDescent="0.2">
      <c r="A1121" s="1" t="s">
        <v>3165</v>
      </c>
      <c r="B1121" s="1" t="s">
        <v>3357</v>
      </c>
      <c r="C1121" s="1" t="s">
        <v>5741</v>
      </c>
      <c r="D1121" s="48">
        <v>8</v>
      </c>
      <c r="E1121" s="1">
        <v>3</v>
      </c>
      <c r="F1121" s="1" t="s">
        <v>3333</v>
      </c>
      <c r="G1121" s="1" t="s">
        <v>3358</v>
      </c>
      <c r="I1121" s="1" t="s">
        <v>104</v>
      </c>
      <c r="K1121" s="1" t="s">
        <v>105</v>
      </c>
      <c r="O1121" s="55">
        <v>2</v>
      </c>
      <c r="T1121" s="60">
        <v>5</v>
      </c>
      <c r="V1121" s="4" t="s">
        <v>3359</v>
      </c>
      <c r="W1121" s="4" t="s">
        <v>3360</v>
      </c>
      <c r="AL1121" s="60" t="s">
        <v>30</v>
      </c>
      <c r="AU1121" s="1" t="s">
        <v>6225</v>
      </c>
    </row>
    <row r="1122" spans="1:48" ht="24" x14ac:dyDescent="0.2">
      <c r="A1122" s="1" t="s">
        <v>3165</v>
      </c>
      <c r="B1122" s="1" t="s">
        <v>3361</v>
      </c>
      <c r="C1122" s="1" t="s">
        <v>5741</v>
      </c>
      <c r="D1122" s="48">
        <v>9</v>
      </c>
      <c r="E1122" s="1">
        <v>3</v>
      </c>
      <c r="F1122" s="1" t="s">
        <v>3333</v>
      </c>
      <c r="G1122" s="1" t="s">
        <v>3362</v>
      </c>
      <c r="I1122" s="1" t="s">
        <v>104</v>
      </c>
      <c r="K1122" s="1" t="s">
        <v>253</v>
      </c>
      <c r="O1122" s="55">
        <v>3</v>
      </c>
      <c r="T1122" s="60">
        <v>3</v>
      </c>
      <c r="V1122" s="4" t="s">
        <v>3363</v>
      </c>
      <c r="W1122" s="4" t="s">
        <v>3364</v>
      </c>
      <c r="AL1122" s="60" t="s">
        <v>30</v>
      </c>
    </row>
    <row r="1123" spans="1:48" ht="60" x14ac:dyDescent="0.2">
      <c r="A1123" s="1" t="s">
        <v>3165</v>
      </c>
      <c r="B1123" s="1" t="s">
        <v>3354</v>
      </c>
      <c r="C1123" s="1" t="s">
        <v>5741</v>
      </c>
      <c r="D1123" s="48">
        <v>10</v>
      </c>
      <c r="E1123" s="1">
        <v>3</v>
      </c>
      <c r="F1123" s="1" t="s">
        <v>3333</v>
      </c>
      <c r="G1123" s="1" t="s">
        <v>3355</v>
      </c>
      <c r="I1123" s="1" t="s">
        <v>82</v>
      </c>
      <c r="V1123" s="4" t="s">
        <v>3356</v>
      </c>
      <c r="AL1123" s="60" t="s">
        <v>30</v>
      </c>
    </row>
    <row r="1124" spans="1:48" ht="48" x14ac:dyDescent="0.2">
      <c r="A1124" s="1" t="s">
        <v>3165</v>
      </c>
      <c r="B1124" s="1" t="s">
        <v>3336</v>
      </c>
      <c r="C1124" s="1" t="s">
        <v>5741</v>
      </c>
      <c r="D1124" s="48">
        <v>11</v>
      </c>
      <c r="E1124" s="1">
        <v>1</v>
      </c>
      <c r="F1124" s="1" t="s">
        <v>3333</v>
      </c>
      <c r="G1124" s="1" t="s">
        <v>9685</v>
      </c>
      <c r="I1124" s="1" t="s">
        <v>125</v>
      </c>
      <c r="M1124" s="18">
        <v>3</v>
      </c>
      <c r="N1124" s="54" t="s">
        <v>9529</v>
      </c>
      <c r="V1124" s="4" t="s">
        <v>3337</v>
      </c>
      <c r="Y1124" s="1" t="s">
        <v>9685</v>
      </c>
      <c r="AA1124" s="1" t="s">
        <v>125</v>
      </c>
      <c r="AE1124" s="1">
        <v>3</v>
      </c>
      <c r="AF1124" s="54" t="s">
        <v>9530</v>
      </c>
      <c r="AL1124" s="60" t="s">
        <v>30</v>
      </c>
      <c r="AN1124" s="4" t="s">
        <v>3338</v>
      </c>
    </row>
    <row r="1125" spans="1:48" ht="108" x14ac:dyDescent="0.2">
      <c r="A1125" s="1" t="s">
        <v>3165</v>
      </c>
      <c r="B1125" s="1" t="s">
        <v>3303</v>
      </c>
      <c r="C1125" s="1" t="s">
        <v>5737</v>
      </c>
      <c r="D1125" s="48">
        <v>1</v>
      </c>
      <c r="E1125" s="1">
        <v>1</v>
      </c>
      <c r="F1125" s="1" t="s">
        <v>3304</v>
      </c>
      <c r="G1125" s="1" t="s">
        <v>85</v>
      </c>
      <c r="I1125" s="1" t="s">
        <v>768</v>
      </c>
      <c r="N1125" s="54" t="s">
        <v>9529</v>
      </c>
      <c r="V1125" s="4" t="s">
        <v>769</v>
      </c>
      <c r="X1125" s="1" t="s">
        <v>2486</v>
      </c>
      <c r="Y1125" s="1" t="s">
        <v>85</v>
      </c>
      <c r="AA1125" s="1" t="s">
        <v>768</v>
      </c>
      <c r="AF1125" s="54" t="s">
        <v>9530</v>
      </c>
      <c r="AL1125" s="60" t="s">
        <v>30</v>
      </c>
      <c r="AN1125" s="4" t="s">
        <v>3305</v>
      </c>
    </row>
    <row r="1126" spans="1:48" ht="36" x14ac:dyDescent="0.2">
      <c r="A1126" s="1" t="s">
        <v>3165</v>
      </c>
      <c r="B1126" s="1" t="s">
        <v>3306</v>
      </c>
      <c r="C1126" s="1" t="s">
        <v>5737</v>
      </c>
      <c r="D1126" s="48">
        <v>2</v>
      </c>
      <c r="E1126" s="1">
        <v>3</v>
      </c>
      <c r="F1126" s="1" t="s">
        <v>3304</v>
      </c>
      <c r="G1126" s="1" t="s">
        <v>3307</v>
      </c>
      <c r="I1126" s="1" t="s">
        <v>94</v>
      </c>
      <c r="K1126" s="1" t="s">
        <v>604</v>
      </c>
      <c r="N1126" s="54">
        <v>48</v>
      </c>
      <c r="O1126" s="55">
        <v>2</v>
      </c>
      <c r="Q1126" s="57">
        <v>5</v>
      </c>
      <c r="R1126" s="58">
        <v>3</v>
      </c>
      <c r="S1126" s="59">
        <v>4</v>
      </c>
      <c r="V1126" s="4" t="s">
        <v>3308</v>
      </c>
      <c r="W1126" s="4" t="s">
        <v>3309</v>
      </c>
      <c r="AL1126" s="60" t="s">
        <v>30</v>
      </c>
      <c r="AU1126" s="1" t="s">
        <v>6226</v>
      </c>
      <c r="AV1126" s="1" t="s">
        <v>6227</v>
      </c>
    </row>
    <row r="1127" spans="1:48" ht="60" x14ac:dyDescent="0.2">
      <c r="A1127" s="1" t="s">
        <v>3165</v>
      </c>
      <c r="B1127" s="1" t="s">
        <v>3329</v>
      </c>
      <c r="C1127" s="1" t="s">
        <v>5737</v>
      </c>
      <c r="D1127" s="48">
        <v>3</v>
      </c>
      <c r="E1127" s="1">
        <v>2</v>
      </c>
      <c r="F1127" s="1" t="s">
        <v>3304</v>
      </c>
      <c r="G1127" s="1" t="s">
        <v>3330</v>
      </c>
      <c r="I1127" s="1" t="s">
        <v>94</v>
      </c>
      <c r="K1127" s="1" t="s">
        <v>576</v>
      </c>
      <c r="N1127" s="54">
        <v>11</v>
      </c>
      <c r="O1127" s="55">
        <v>2</v>
      </c>
      <c r="Q1127" s="57">
        <v>4</v>
      </c>
      <c r="R1127" s="58">
        <v>3</v>
      </c>
      <c r="S1127" s="59">
        <v>5</v>
      </c>
      <c r="V1127" s="4" t="s">
        <v>3331</v>
      </c>
      <c r="AL1127" s="60" t="s">
        <v>30</v>
      </c>
    </row>
    <row r="1128" spans="1:48" ht="24" x14ac:dyDescent="0.2">
      <c r="A1128" s="1" t="s">
        <v>3165</v>
      </c>
      <c r="B1128" s="1" t="s">
        <v>3314</v>
      </c>
      <c r="C1128" s="1" t="s">
        <v>5737</v>
      </c>
      <c r="D1128" s="48">
        <v>4</v>
      </c>
      <c r="E1128" s="1">
        <v>3</v>
      </c>
      <c r="F1128" s="1" t="s">
        <v>3304</v>
      </c>
      <c r="G1128" s="1" t="s">
        <v>3315</v>
      </c>
      <c r="I1128" s="1" t="s">
        <v>104</v>
      </c>
      <c r="K1128" s="1" t="s">
        <v>105</v>
      </c>
      <c r="O1128" s="55">
        <v>3</v>
      </c>
      <c r="T1128" s="60">
        <v>4</v>
      </c>
      <c r="V1128" s="4" t="s">
        <v>3316</v>
      </c>
      <c r="W1128" s="4" t="s">
        <v>3317</v>
      </c>
      <c r="AL1128" s="60" t="s">
        <v>30</v>
      </c>
      <c r="AU1128" s="1" t="s">
        <v>6228</v>
      </c>
    </row>
    <row r="1129" spans="1:48" ht="24" x14ac:dyDescent="0.2">
      <c r="A1129" s="1" t="s">
        <v>3165</v>
      </c>
      <c r="B1129" s="1" t="s">
        <v>3321</v>
      </c>
      <c r="C1129" s="1" t="s">
        <v>5737</v>
      </c>
      <c r="D1129" s="48">
        <v>5</v>
      </c>
      <c r="E1129" s="1">
        <v>3</v>
      </c>
      <c r="F1129" s="1" t="s">
        <v>3304</v>
      </c>
      <c r="G1129" s="1" t="s">
        <v>3322</v>
      </c>
      <c r="I1129" s="1" t="s">
        <v>104</v>
      </c>
      <c r="K1129" s="1" t="s">
        <v>105</v>
      </c>
      <c r="O1129" s="55">
        <v>2</v>
      </c>
      <c r="T1129" s="60">
        <v>5</v>
      </c>
      <c r="V1129" s="4" t="s">
        <v>3323</v>
      </c>
      <c r="W1129" s="4" t="s">
        <v>3324</v>
      </c>
      <c r="AL1129" s="60" t="s">
        <v>30</v>
      </c>
      <c r="AU1129" s="1" t="s">
        <v>6228</v>
      </c>
    </row>
    <row r="1130" spans="1:48" ht="24" x14ac:dyDescent="0.2">
      <c r="A1130" s="1" t="s">
        <v>3165</v>
      </c>
      <c r="B1130" s="1" t="s">
        <v>3325</v>
      </c>
      <c r="C1130" s="1" t="s">
        <v>5737</v>
      </c>
      <c r="D1130" s="48">
        <v>6</v>
      </c>
      <c r="E1130" s="1">
        <v>2</v>
      </c>
      <c r="F1130" s="1" t="s">
        <v>3304</v>
      </c>
      <c r="G1130" s="1" t="s">
        <v>3326</v>
      </c>
      <c r="I1130" s="1" t="s">
        <v>104</v>
      </c>
      <c r="K1130" s="1" t="s">
        <v>105</v>
      </c>
      <c r="O1130" s="55">
        <v>4</v>
      </c>
      <c r="T1130" s="60">
        <v>2</v>
      </c>
      <c r="V1130" s="4" t="s">
        <v>3327</v>
      </c>
      <c r="W1130" s="4" t="s">
        <v>3328</v>
      </c>
      <c r="AL1130" s="60" t="s">
        <v>30</v>
      </c>
      <c r="AU1130" s="1" t="s">
        <v>6228</v>
      </c>
    </row>
    <row r="1131" spans="1:48" ht="36" x14ac:dyDescent="0.2">
      <c r="A1131" s="1" t="s">
        <v>3165</v>
      </c>
      <c r="B1131" s="1" t="s">
        <v>3310</v>
      </c>
      <c r="C1131" s="1" t="s">
        <v>5737</v>
      </c>
      <c r="D1131" s="48">
        <v>7</v>
      </c>
      <c r="E1131" s="1">
        <v>3</v>
      </c>
      <c r="F1131" s="1" t="s">
        <v>3304</v>
      </c>
      <c r="G1131" s="1" t="s">
        <v>3311</v>
      </c>
      <c r="I1131" s="1" t="s">
        <v>82</v>
      </c>
      <c r="L1131" s="2" t="s">
        <v>155</v>
      </c>
      <c r="V1131" s="4" t="s">
        <v>3312</v>
      </c>
      <c r="W1131" s="4" t="s">
        <v>3313</v>
      </c>
      <c r="AL1131" s="60" t="s">
        <v>30</v>
      </c>
    </row>
    <row r="1132" spans="1:48" ht="48" x14ac:dyDescent="0.2">
      <c r="A1132" s="1" t="s">
        <v>3165</v>
      </c>
      <c r="B1132" s="1" t="s">
        <v>3318</v>
      </c>
      <c r="C1132" s="1" t="s">
        <v>5737</v>
      </c>
      <c r="D1132" s="48">
        <v>8</v>
      </c>
      <c r="E1132" s="1">
        <v>3</v>
      </c>
      <c r="F1132" s="1" t="s">
        <v>3304</v>
      </c>
      <c r="G1132" s="1" t="s">
        <v>3319</v>
      </c>
      <c r="I1132" s="1" t="s">
        <v>82</v>
      </c>
      <c r="L1132" s="2" t="s">
        <v>155</v>
      </c>
      <c r="V1132" s="4" t="s">
        <v>3320</v>
      </c>
      <c r="AL1132" s="60" t="s">
        <v>30</v>
      </c>
      <c r="AU1132" s="1" t="s">
        <v>6229</v>
      </c>
      <c r="AV1132" s="1" t="s">
        <v>6230</v>
      </c>
    </row>
    <row r="1133" spans="1:48" ht="48" x14ac:dyDescent="0.2">
      <c r="A1133" s="1" t="s">
        <v>3165</v>
      </c>
      <c r="B1133" s="1" t="s">
        <v>3166</v>
      </c>
      <c r="C1133" s="1" t="s">
        <v>5742</v>
      </c>
      <c r="D1133" s="48">
        <v>1</v>
      </c>
      <c r="E1133" s="1">
        <v>1</v>
      </c>
      <c r="F1133" s="1" t="s">
        <v>3168</v>
      </c>
      <c r="G1133" s="1" t="s">
        <v>3167</v>
      </c>
      <c r="I1133" s="1" t="s">
        <v>768</v>
      </c>
      <c r="N1133" s="54" t="s">
        <v>9529</v>
      </c>
      <c r="V1133" s="4" t="s">
        <v>769</v>
      </c>
      <c r="X1133" s="1" t="s">
        <v>127</v>
      </c>
      <c r="Y1133" s="1" t="s">
        <v>3169</v>
      </c>
      <c r="AA1133" s="1" t="s">
        <v>768</v>
      </c>
      <c r="AF1133" s="54" t="s">
        <v>9530</v>
      </c>
      <c r="AL1133" s="60" t="s">
        <v>30</v>
      </c>
      <c r="AN1133" s="4" t="s">
        <v>3170</v>
      </c>
    </row>
    <row r="1134" spans="1:48" ht="60" x14ac:dyDescent="0.2">
      <c r="A1134" s="1" t="s">
        <v>3165</v>
      </c>
      <c r="B1134" s="1" t="s">
        <v>3171</v>
      </c>
      <c r="C1134" s="1" t="s">
        <v>5742</v>
      </c>
      <c r="D1134" s="48">
        <v>2</v>
      </c>
      <c r="E1134" s="1">
        <v>3</v>
      </c>
      <c r="F1134" s="1" t="s">
        <v>3168</v>
      </c>
      <c r="G1134" s="1" t="s">
        <v>3172</v>
      </c>
      <c r="I1134" s="1" t="s">
        <v>94</v>
      </c>
      <c r="K1134" s="1" t="s">
        <v>2338</v>
      </c>
      <c r="N1134" s="54">
        <v>50</v>
      </c>
      <c r="O1134" s="55">
        <v>4</v>
      </c>
      <c r="Q1134" s="57">
        <v>6</v>
      </c>
      <c r="R1134" s="58">
        <v>4</v>
      </c>
      <c r="S1134" s="59">
        <v>10</v>
      </c>
      <c r="V1134" s="4" t="s">
        <v>3173</v>
      </c>
      <c r="AL1134" s="60" t="s">
        <v>30</v>
      </c>
    </row>
    <row r="1135" spans="1:48" ht="48" x14ac:dyDescent="0.2">
      <c r="A1135" s="1" t="s">
        <v>3165</v>
      </c>
      <c r="B1135" s="1" t="s">
        <v>3174</v>
      </c>
      <c r="C1135" s="1" t="s">
        <v>5742</v>
      </c>
      <c r="D1135" s="48">
        <v>3</v>
      </c>
      <c r="E1135" s="1">
        <v>2</v>
      </c>
      <c r="F1135" s="1" t="s">
        <v>3168</v>
      </c>
      <c r="G1135" s="1" t="s">
        <v>3175</v>
      </c>
      <c r="I1135" s="1" t="s">
        <v>94</v>
      </c>
      <c r="K1135" s="1" t="s">
        <v>2558</v>
      </c>
      <c r="N1135" s="54">
        <v>39</v>
      </c>
      <c r="O1135" s="55">
        <v>2</v>
      </c>
      <c r="Q1135" s="57">
        <v>2</v>
      </c>
      <c r="R1135" s="58">
        <v>3</v>
      </c>
      <c r="S1135" s="59">
        <v>5</v>
      </c>
      <c r="V1135" s="4" t="s">
        <v>3176</v>
      </c>
      <c r="AL1135" s="60" t="s">
        <v>30</v>
      </c>
    </row>
    <row r="1136" spans="1:48" ht="36" x14ac:dyDescent="0.2">
      <c r="A1136" s="1" t="s">
        <v>3165</v>
      </c>
      <c r="B1136" s="1" t="s">
        <v>3177</v>
      </c>
      <c r="C1136" s="1" t="s">
        <v>5742</v>
      </c>
      <c r="D1136" s="48">
        <v>4</v>
      </c>
      <c r="E1136" s="1">
        <v>3</v>
      </c>
      <c r="F1136" s="1" t="s">
        <v>3168</v>
      </c>
      <c r="G1136" s="1" t="s">
        <v>3178</v>
      </c>
      <c r="I1136" s="1" t="s">
        <v>104</v>
      </c>
      <c r="K1136" s="1" t="s">
        <v>3179</v>
      </c>
      <c r="O1136" s="55">
        <v>3</v>
      </c>
      <c r="T1136" s="60">
        <v>5</v>
      </c>
      <c r="U1136" s="1">
        <v>3</v>
      </c>
      <c r="V1136" s="4" t="s">
        <v>3180</v>
      </c>
      <c r="AL1136" s="60" t="s">
        <v>30</v>
      </c>
    </row>
    <row r="1137" spans="1:48" ht="24" x14ac:dyDescent="0.2">
      <c r="A1137" s="1" t="s">
        <v>3165</v>
      </c>
      <c r="B1137" s="1" t="s">
        <v>3181</v>
      </c>
      <c r="C1137" s="1" t="s">
        <v>5742</v>
      </c>
      <c r="D1137" s="48">
        <v>5</v>
      </c>
      <c r="E1137" s="1">
        <v>2</v>
      </c>
      <c r="F1137" s="1" t="s">
        <v>3168</v>
      </c>
      <c r="G1137" s="1" t="s">
        <v>3182</v>
      </c>
      <c r="I1137" s="1" t="s">
        <v>104</v>
      </c>
      <c r="K1137" s="1" t="s">
        <v>3179</v>
      </c>
      <c r="O1137" s="55">
        <v>5</v>
      </c>
      <c r="T1137" s="60">
        <v>5</v>
      </c>
      <c r="U1137" s="1">
        <v>2</v>
      </c>
      <c r="V1137" s="4" t="s">
        <v>3183</v>
      </c>
      <c r="AL1137" s="60" t="s">
        <v>30</v>
      </c>
      <c r="AU1137" s="1" t="s">
        <v>6231</v>
      </c>
      <c r="AV1137" s="1" t="s">
        <v>6232</v>
      </c>
    </row>
    <row r="1138" spans="1:48" ht="36" x14ac:dyDescent="0.2">
      <c r="A1138" s="1" t="s">
        <v>3165</v>
      </c>
      <c r="B1138" s="1" t="s">
        <v>3184</v>
      </c>
      <c r="C1138" s="1" t="s">
        <v>5742</v>
      </c>
      <c r="D1138" s="48">
        <v>6</v>
      </c>
      <c r="E1138" s="1">
        <v>2</v>
      </c>
      <c r="F1138" s="1" t="s">
        <v>3168</v>
      </c>
      <c r="G1138" s="1" t="s">
        <v>3185</v>
      </c>
      <c r="I1138" s="1" t="s">
        <v>82</v>
      </c>
      <c r="K1138" s="1" t="s">
        <v>2713</v>
      </c>
      <c r="V1138" s="4" t="s">
        <v>3186</v>
      </c>
      <c r="W1138" s="4" t="s">
        <v>3187</v>
      </c>
      <c r="AL1138" s="60" t="s">
        <v>30</v>
      </c>
    </row>
    <row r="1139" spans="1:48" ht="36" x14ac:dyDescent="0.2">
      <c r="A1139" s="1" t="s">
        <v>3165</v>
      </c>
      <c r="B1139" s="1" t="s">
        <v>3188</v>
      </c>
      <c r="C1139" s="1" t="s">
        <v>5742</v>
      </c>
      <c r="D1139" s="48">
        <v>7</v>
      </c>
      <c r="E1139" s="1">
        <v>3</v>
      </c>
      <c r="F1139" s="1" t="s">
        <v>3168</v>
      </c>
      <c r="G1139" s="1" t="s">
        <v>3189</v>
      </c>
      <c r="I1139" s="1" t="s">
        <v>82</v>
      </c>
      <c r="K1139" s="1" t="s">
        <v>2713</v>
      </c>
      <c r="L1139" s="2" t="s">
        <v>1233</v>
      </c>
      <c r="V1139" s="4" t="s">
        <v>3190</v>
      </c>
      <c r="W1139" s="4" t="s">
        <v>3191</v>
      </c>
      <c r="AL1139" s="60" t="s">
        <v>30</v>
      </c>
      <c r="AU1139" s="1" t="s">
        <v>6233</v>
      </c>
    </row>
    <row r="1140" spans="1:48" ht="36" x14ac:dyDescent="0.2">
      <c r="A1140" s="1" t="s">
        <v>3165</v>
      </c>
      <c r="B1140" s="1" t="s">
        <v>3192</v>
      </c>
      <c r="C1140" s="1" t="s">
        <v>5742</v>
      </c>
      <c r="D1140" s="48">
        <v>8</v>
      </c>
      <c r="E1140" s="1">
        <v>2</v>
      </c>
      <c r="F1140" s="1" t="s">
        <v>3168</v>
      </c>
      <c r="G1140" s="1" t="s">
        <v>3193</v>
      </c>
      <c r="I1140" s="1" t="s">
        <v>82</v>
      </c>
      <c r="L1140" s="2" t="s">
        <v>3194</v>
      </c>
      <c r="V1140" s="4" t="s">
        <v>3195</v>
      </c>
      <c r="W1140" s="4" t="s">
        <v>3196</v>
      </c>
      <c r="AL1140" s="60" t="s">
        <v>30</v>
      </c>
      <c r="AU1140" s="1" t="s">
        <v>6234</v>
      </c>
    </row>
    <row r="1141" spans="1:48" ht="24" x14ac:dyDescent="0.2">
      <c r="A1141" s="1" t="s">
        <v>3165</v>
      </c>
      <c r="B1141" s="1" t="s">
        <v>3197</v>
      </c>
      <c r="C1141" s="1" t="s">
        <v>5742</v>
      </c>
      <c r="D1141" s="48">
        <v>9</v>
      </c>
      <c r="E1141" s="1">
        <v>2</v>
      </c>
      <c r="F1141" s="1" t="s">
        <v>3168</v>
      </c>
      <c r="G1141" s="1" t="s">
        <v>3198</v>
      </c>
      <c r="I1141" s="1" t="s">
        <v>82</v>
      </c>
      <c r="L1141" s="2" t="s">
        <v>155</v>
      </c>
      <c r="V1141" s="4" t="s">
        <v>3199</v>
      </c>
      <c r="AL1141" s="60" t="s">
        <v>30</v>
      </c>
      <c r="AU1141" s="1" t="s">
        <v>6234</v>
      </c>
    </row>
    <row r="1142" spans="1:48" ht="108" x14ac:dyDescent="0.2">
      <c r="A1142" s="1" t="s">
        <v>3165</v>
      </c>
      <c r="B1142" s="1" t="s">
        <v>3200</v>
      </c>
      <c r="C1142" s="1" t="s">
        <v>5740</v>
      </c>
      <c r="D1142" s="48">
        <v>1</v>
      </c>
      <c r="E1142" s="1">
        <v>1</v>
      </c>
      <c r="F1142" s="1" t="s">
        <v>3202</v>
      </c>
      <c r="G1142" s="1" t="s">
        <v>3201</v>
      </c>
      <c r="I1142" s="1" t="s">
        <v>768</v>
      </c>
      <c r="N1142" s="54" t="s">
        <v>9529</v>
      </c>
      <c r="V1142" s="4" t="s">
        <v>769</v>
      </c>
      <c r="X1142" s="1" t="s">
        <v>127</v>
      </c>
      <c r="Y1142" s="1" t="s">
        <v>3201</v>
      </c>
      <c r="AA1142" s="1" t="s">
        <v>768</v>
      </c>
      <c r="AF1142" s="54" t="s">
        <v>9530</v>
      </c>
      <c r="AL1142" s="60" t="s">
        <v>30</v>
      </c>
      <c r="AN1142" s="4" t="s">
        <v>3203</v>
      </c>
      <c r="AU1142" s="1" t="s">
        <v>6234</v>
      </c>
    </row>
    <row r="1143" spans="1:48" ht="108" x14ac:dyDescent="0.2">
      <c r="A1143" s="1" t="s">
        <v>3165</v>
      </c>
      <c r="B1143" s="1" t="s">
        <v>3204</v>
      </c>
      <c r="C1143" s="1" t="s">
        <v>5740</v>
      </c>
      <c r="D1143" s="48">
        <v>2</v>
      </c>
      <c r="E1143" s="1">
        <v>1</v>
      </c>
      <c r="F1143" s="1" t="s">
        <v>3202</v>
      </c>
      <c r="G1143" s="1" t="s">
        <v>3205</v>
      </c>
      <c r="H1143" s="1" t="s">
        <v>26</v>
      </c>
      <c r="I1143" s="1" t="s">
        <v>104</v>
      </c>
      <c r="K1143" s="1" t="s">
        <v>3206</v>
      </c>
      <c r="O1143" s="55" t="s">
        <v>113</v>
      </c>
      <c r="T1143" s="60" t="s">
        <v>799</v>
      </c>
      <c r="V1143" s="4" t="s">
        <v>3207</v>
      </c>
      <c r="AL1143" s="60" t="s">
        <v>30</v>
      </c>
    </row>
    <row r="1144" spans="1:48" ht="48" x14ac:dyDescent="0.2">
      <c r="A1144" s="1" t="s">
        <v>3165</v>
      </c>
      <c r="B1144" s="1" t="s">
        <v>3208</v>
      </c>
      <c r="C1144" s="1" t="s">
        <v>5740</v>
      </c>
      <c r="D1144" s="48">
        <v>3</v>
      </c>
      <c r="E1144" s="1">
        <v>3</v>
      </c>
      <c r="F1144" s="1" t="s">
        <v>3202</v>
      </c>
      <c r="G1144" s="1" t="s">
        <v>3209</v>
      </c>
      <c r="I1144" s="1" t="s">
        <v>104</v>
      </c>
      <c r="K1144" s="1" t="s">
        <v>3206</v>
      </c>
      <c r="O1144" s="55">
        <v>3</v>
      </c>
      <c r="T1144" s="60">
        <v>5</v>
      </c>
      <c r="V1144" s="4" t="s">
        <v>3210</v>
      </c>
      <c r="W1144" s="4" t="s">
        <v>3211</v>
      </c>
      <c r="AL1144" s="60" t="s">
        <v>30</v>
      </c>
    </row>
    <row r="1145" spans="1:48" ht="24" x14ac:dyDescent="0.2">
      <c r="A1145" s="1" t="s">
        <v>3165</v>
      </c>
      <c r="B1145" s="1" t="s">
        <v>3212</v>
      </c>
      <c r="C1145" s="1" t="s">
        <v>5740</v>
      </c>
      <c r="D1145" s="48">
        <v>4</v>
      </c>
      <c r="E1145" s="1">
        <v>3</v>
      </c>
      <c r="F1145" s="1" t="s">
        <v>3202</v>
      </c>
      <c r="G1145" s="1" t="s">
        <v>3213</v>
      </c>
      <c r="I1145" s="1" t="s">
        <v>94</v>
      </c>
      <c r="K1145" s="1" t="s">
        <v>684</v>
      </c>
      <c r="N1145" s="54">
        <v>50</v>
      </c>
      <c r="O1145" s="55">
        <v>3</v>
      </c>
      <c r="Q1145" s="57">
        <v>4</v>
      </c>
      <c r="R1145" s="58">
        <v>2</v>
      </c>
      <c r="S1145" s="59">
        <v>8</v>
      </c>
      <c r="V1145" s="4" t="s">
        <v>3214</v>
      </c>
      <c r="W1145" s="4" t="s">
        <v>3215</v>
      </c>
      <c r="AL1145" s="60" t="s">
        <v>30</v>
      </c>
    </row>
    <row r="1146" spans="1:48" ht="48" x14ac:dyDescent="0.2">
      <c r="A1146" s="1" t="s">
        <v>3165</v>
      </c>
      <c r="B1146" s="1" t="s">
        <v>3216</v>
      </c>
      <c r="C1146" s="1" t="s">
        <v>5740</v>
      </c>
      <c r="D1146" s="48">
        <v>5</v>
      </c>
      <c r="E1146" s="1">
        <v>2</v>
      </c>
      <c r="F1146" s="1" t="s">
        <v>3202</v>
      </c>
      <c r="G1146" s="1" t="s">
        <v>3217</v>
      </c>
      <c r="I1146" s="1" t="s">
        <v>94</v>
      </c>
      <c r="K1146" s="1" t="s">
        <v>2117</v>
      </c>
      <c r="N1146" s="54">
        <v>40</v>
      </c>
      <c r="O1146" s="55">
        <v>4</v>
      </c>
      <c r="Q1146" s="57">
        <v>3</v>
      </c>
      <c r="R1146" s="58">
        <v>2</v>
      </c>
      <c r="S1146" s="59">
        <v>5</v>
      </c>
      <c r="V1146" s="4" t="s">
        <v>3218</v>
      </c>
      <c r="AL1146" s="60" t="s">
        <v>30</v>
      </c>
    </row>
    <row r="1147" spans="1:48" ht="36" x14ac:dyDescent="0.2">
      <c r="A1147" s="1" t="s">
        <v>3165</v>
      </c>
      <c r="B1147" s="1" t="s">
        <v>3219</v>
      </c>
      <c r="C1147" s="1" t="s">
        <v>5740</v>
      </c>
      <c r="D1147" s="48">
        <v>6</v>
      </c>
      <c r="E1147" s="1">
        <v>3</v>
      </c>
      <c r="F1147" s="1" t="s">
        <v>3202</v>
      </c>
      <c r="G1147" s="1" t="s">
        <v>3220</v>
      </c>
      <c r="I1147" s="1" t="s">
        <v>94</v>
      </c>
      <c r="K1147" s="1" t="s">
        <v>3221</v>
      </c>
      <c r="N1147" s="54">
        <v>30</v>
      </c>
      <c r="O1147" s="55">
        <v>1</v>
      </c>
      <c r="Q1147" s="57">
        <v>5</v>
      </c>
      <c r="R1147" s="58">
        <v>2</v>
      </c>
      <c r="S1147" s="59">
        <v>3</v>
      </c>
      <c r="V1147" s="4" t="s">
        <v>3222</v>
      </c>
      <c r="AL1147" s="60" t="s">
        <v>30</v>
      </c>
    </row>
    <row r="1148" spans="1:48" ht="24" x14ac:dyDescent="0.2">
      <c r="A1148" s="1" t="s">
        <v>3165</v>
      </c>
      <c r="B1148" s="1" t="s">
        <v>3223</v>
      </c>
      <c r="C1148" s="1" t="s">
        <v>5740</v>
      </c>
      <c r="D1148" s="48">
        <v>7</v>
      </c>
      <c r="E1148" s="1">
        <v>3</v>
      </c>
      <c r="F1148" s="1" t="s">
        <v>3202</v>
      </c>
      <c r="G1148" s="1" t="s">
        <v>3224</v>
      </c>
      <c r="I1148" s="1" t="s">
        <v>94</v>
      </c>
      <c r="K1148" s="1" t="s">
        <v>3221</v>
      </c>
      <c r="N1148" s="54">
        <v>18</v>
      </c>
      <c r="O1148" s="55">
        <v>2</v>
      </c>
      <c r="Q1148" s="57">
        <v>2</v>
      </c>
      <c r="R1148" s="58">
        <v>3</v>
      </c>
      <c r="S1148" s="59">
        <v>7</v>
      </c>
      <c r="V1148" s="4" t="s">
        <v>3225</v>
      </c>
      <c r="W1148" s="4" t="s">
        <v>3226</v>
      </c>
      <c r="AL1148" s="60" t="s">
        <v>30</v>
      </c>
    </row>
    <row r="1149" spans="1:48" ht="60" x14ac:dyDescent="0.2">
      <c r="A1149" s="1" t="s">
        <v>3165</v>
      </c>
      <c r="B1149" s="1" t="s">
        <v>3227</v>
      </c>
      <c r="C1149" s="1" t="s">
        <v>5740</v>
      </c>
      <c r="D1149" s="48">
        <v>8</v>
      </c>
      <c r="E1149" s="1">
        <v>1</v>
      </c>
      <c r="F1149" s="1" t="s">
        <v>3202</v>
      </c>
      <c r="G1149" s="1" t="s">
        <v>3228</v>
      </c>
      <c r="I1149" s="1" t="s">
        <v>82</v>
      </c>
      <c r="K1149" s="1" t="s">
        <v>3229</v>
      </c>
      <c r="V1149" s="4" t="s">
        <v>3230</v>
      </c>
      <c r="AL1149" s="60" t="s">
        <v>30</v>
      </c>
    </row>
    <row r="1150" spans="1:48" ht="72" x14ac:dyDescent="0.2">
      <c r="A1150" s="1" t="s">
        <v>3165</v>
      </c>
      <c r="B1150" s="1" t="s">
        <v>3231</v>
      </c>
      <c r="C1150" s="1" t="s">
        <v>5740</v>
      </c>
      <c r="D1150" s="48">
        <v>9</v>
      </c>
      <c r="E1150" s="1">
        <v>2</v>
      </c>
      <c r="F1150" s="1" t="s">
        <v>3202</v>
      </c>
      <c r="G1150" s="1" t="s">
        <v>3232</v>
      </c>
      <c r="I1150" s="1" t="s">
        <v>82</v>
      </c>
      <c r="K1150" s="1" t="s">
        <v>3229</v>
      </c>
      <c r="V1150" s="4" t="s">
        <v>3233</v>
      </c>
      <c r="AL1150" s="60" t="s">
        <v>30</v>
      </c>
      <c r="AU1150" s="1" t="s">
        <v>6235</v>
      </c>
      <c r="AV1150" s="1" t="s">
        <v>6236</v>
      </c>
    </row>
    <row r="1151" spans="1:48" ht="72" x14ac:dyDescent="0.2">
      <c r="A1151" s="1" t="s">
        <v>3165</v>
      </c>
      <c r="B1151" s="1" t="s">
        <v>3234</v>
      </c>
      <c r="C1151" s="1" t="s">
        <v>5740</v>
      </c>
      <c r="D1151" s="48">
        <v>10</v>
      </c>
      <c r="E1151" s="1">
        <v>1</v>
      </c>
      <c r="F1151" s="1" t="s">
        <v>3202</v>
      </c>
      <c r="G1151" s="1" t="s">
        <v>3235</v>
      </c>
      <c r="I1151" s="1" t="s">
        <v>82</v>
      </c>
      <c r="K1151" s="1" t="s">
        <v>3236</v>
      </c>
      <c r="V1151" s="4" t="s">
        <v>3237</v>
      </c>
      <c r="AL1151" s="60" t="s">
        <v>30</v>
      </c>
      <c r="AU1151" s="1" t="s">
        <v>6237</v>
      </c>
      <c r="AV1151" s="1" t="s">
        <v>6238</v>
      </c>
    </row>
    <row r="1152" spans="1:48" ht="108" x14ac:dyDescent="0.2">
      <c r="A1152" s="1" t="s">
        <v>3165</v>
      </c>
      <c r="B1152" s="1" t="s">
        <v>3238</v>
      </c>
      <c r="C1152" s="1" t="s">
        <v>5736</v>
      </c>
      <c r="D1152" s="48">
        <v>1</v>
      </c>
      <c r="E1152" s="1">
        <v>1</v>
      </c>
      <c r="F1152" s="1" t="s">
        <v>3239</v>
      </c>
      <c r="G1152" s="1" t="s">
        <v>2923</v>
      </c>
      <c r="I1152" s="1" t="s">
        <v>768</v>
      </c>
      <c r="N1152" s="54" t="s">
        <v>9529</v>
      </c>
      <c r="V1152" s="4" t="s">
        <v>769</v>
      </c>
      <c r="X1152" s="1" t="s">
        <v>1629</v>
      </c>
      <c r="Y1152" s="1" t="s">
        <v>2923</v>
      </c>
      <c r="AA1152" s="1" t="s">
        <v>768</v>
      </c>
      <c r="AF1152" s="54" t="s">
        <v>9530</v>
      </c>
      <c r="AL1152" s="60" t="s">
        <v>30</v>
      </c>
      <c r="AN1152" s="4" t="s">
        <v>3240</v>
      </c>
      <c r="AU1152" s="1" t="s">
        <v>6239</v>
      </c>
    </row>
    <row r="1153" spans="1:47" ht="24" x14ac:dyDescent="0.2">
      <c r="A1153" s="1" t="s">
        <v>3165</v>
      </c>
      <c r="B1153" s="1" t="s">
        <v>3241</v>
      </c>
      <c r="C1153" s="1" t="s">
        <v>5736</v>
      </c>
      <c r="D1153" s="48">
        <v>2</v>
      </c>
      <c r="E1153" s="1">
        <v>3</v>
      </c>
      <c r="F1153" s="1" t="s">
        <v>3239</v>
      </c>
      <c r="G1153" s="1" t="s">
        <v>3242</v>
      </c>
      <c r="I1153" s="1" t="s">
        <v>94</v>
      </c>
      <c r="K1153" s="1" t="s">
        <v>2558</v>
      </c>
      <c r="N1153" s="54">
        <v>28</v>
      </c>
      <c r="O1153" s="55">
        <v>2</v>
      </c>
      <c r="Q1153" s="57">
        <v>4</v>
      </c>
      <c r="R1153" s="58">
        <v>3</v>
      </c>
      <c r="S1153" s="59">
        <v>7</v>
      </c>
      <c r="V1153" s="4" t="s">
        <v>3243</v>
      </c>
      <c r="AL1153" s="60" t="s">
        <v>30</v>
      </c>
      <c r="AU1153" s="1" t="s">
        <v>6239</v>
      </c>
    </row>
    <row r="1154" spans="1:47" ht="36" x14ac:dyDescent="0.2">
      <c r="A1154" s="1" t="s">
        <v>3165</v>
      </c>
      <c r="B1154" s="1" t="s">
        <v>3244</v>
      </c>
      <c r="C1154" s="1" t="s">
        <v>5736</v>
      </c>
      <c r="D1154" s="48">
        <v>3</v>
      </c>
      <c r="E1154" s="1">
        <v>2</v>
      </c>
      <c r="F1154" s="1" t="s">
        <v>3239</v>
      </c>
      <c r="G1154" s="1" t="s">
        <v>3245</v>
      </c>
      <c r="I1154" s="1" t="s">
        <v>94</v>
      </c>
      <c r="K1154" s="1" t="s">
        <v>604</v>
      </c>
      <c r="L1154" s="2" t="s">
        <v>3246</v>
      </c>
      <c r="N1154" s="54">
        <v>48</v>
      </c>
      <c r="O1154" s="55">
        <v>3</v>
      </c>
      <c r="Q1154" s="57">
        <v>4</v>
      </c>
      <c r="R1154" s="58">
        <v>2</v>
      </c>
      <c r="S1154" s="59">
        <v>4</v>
      </c>
      <c r="V1154" s="4" t="s">
        <v>3247</v>
      </c>
      <c r="AL1154" s="60" t="s">
        <v>30</v>
      </c>
      <c r="AU1154" s="1" t="s">
        <v>6240</v>
      </c>
    </row>
    <row r="1155" spans="1:47" ht="24" x14ac:dyDescent="0.2">
      <c r="A1155" s="1" t="s">
        <v>3165</v>
      </c>
      <c r="B1155" s="1" t="s">
        <v>3248</v>
      </c>
      <c r="C1155" s="1" t="s">
        <v>5736</v>
      </c>
      <c r="D1155" s="48">
        <v>4</v>
      </c>
      <c r="E1155" s="1">
        <v>3</v>
      </c>
      <c r="F1155" s="1" t="s">
        <v>3239</v>
      </c>
      <c r="G1155" s="1" t="s">
        <v>3249</v>
      </c>
      <c r="I1155" s="1" t="s">
        <v>94</v>
      </c>
      <c r="K1155" s="1" t="s">
        <v>576</v>
      </c>
      <c r="N1155" s="54">
        <v>33</v>
      </c>
      <c r="O1155" s="55">
        <v>3</v>
      </c>
      <c r="Q1155" s="57">
        <v>3</v>
      </c>
      <c r="R1155" s="58">
        <v>2</v>
      </c>
      <c r="S1155" s="59">
        <v>5</v>
      </c>
      <c r="V1155" s="4" t="s">
        <v>3250</v>
      </c>
      <c r="W1155" s="4" t="s">
        <v>3251</v>
      </c>
      <c r="AL1155" s="60" t="s">
        <v>30</v>
      </c>
      <c r="AU1155" s="1" t="s">
        <v>6239</v>
      </c>
    </row>
    <row r="1156" spans="1:47" ht="84" x14ac:dyDescent="0.2">
      <c r="A1156" s="1" t="s">
        <v>3165</v>
      </c>
      <c r="B1156" s="1" t="s">
        <v>3252</v>
      </c>
      <c r="C1156" s="1" t="s">
        <v>5736</v>
      </c>
      <c r="D1156" s="48">
        <v>5</v>
      </c>
      <c r="E1156" s="1">
        <v>2</v>
      </c>
      <c r="F1156" s="1" t="s">
        <v>3239</v>
      </c>
      <c r="G1156" s="1" t="s">
        <v>3253</v>
      </c>
      <c r="I1156" s="1" t="s">
        <v>104</v>
      </c>
      <c r="K1156" s="1" t="s">
        <v>105</v>
      </c>
      <c r="O1156" s="55">
        <v>4</v>
      </c>
      <c r="T1156" s="60">
        <v>1</v>
      </c>
      <c r="V1156" s="4" t="s">
        <v>3254</v>
      </c>
      <c r="AL1156" s="60" t="s">
        <v>30</v>
      </c>
      <c r="AU1156" s="1" t="s">
        <v>6239</v>
      </c>
    </row>
    <row r="1157" spans="1:47" ht="24" x14ac:dyDescent="0.2">
      <c r="A1157" s="1" t="s">
        <v>3165</v>
      </c>
      <c r="B1157" s="1" t="s">
        <v>3255</v>
      </c>
      <c r="C1157" s="1" t="s">
        <v>5736</v>
      </c>
      <c r="D1157" s="48">
        <v>6</v>
      </c>
      <c r="E1157" s="1">
        <v>3</v>
      </c>
      <c r="F1157" s="1" t="s">
        <v>3239</v>
      </c>
      <c r="G1157" s="1" t="s">
        <v>3256</v>
      </c>
      <c r="I1157" s="1" t="s">
        <v>104</v>
      </c>
      <c r="K1157" s="1" t="s">
        <v>105</v>
      </c>
      <c r="O1157" s="55">
        <v>3</v>
      </c>
      <c r="T1157" s="60">
        <v>6</v>
      </c>
      <c r="V1157" s="4" t="s">
        <v>3257</v>
      </c>
      <c r="W1157" s="4" t="s">
        <v>3258</v>
      </c>
      <c r="AL1157" s="60" t="s">
        <v>30</v>
      </c>
      <c r="AU1157" s="1" t="s">
        <v>6239</v>
      </c>
    </row>
    <row r="1158" spans="1:47" ht="48" x14ac:dyDescent="0.2">
      <c r="A1158" s="1" t="s">
        <v>3165</v>
      </c>
      <c r="B1158" s="1" t="s">
        <v>3259</v>
      </c>
      <c r="C1158" s="1" t="s">
        <v>5736</v>
      </c>
      <c r="D1158" s="48">
        <v>7</v>
      </c>
      <c r="E1158" s="1">
        <v>2</v>
      </c>
      <c r="F1158" s="1" t="s">
        <v>3239</v>
      </c>
      <c r="G1158" s="1" t="s">
        <v>3260</v>
      </c>
      <c r="I1158" s="1" t="s">
        <v>82</v>
      </c>
      <c r="L1158" s="2" t="s">
        <v>3261</v>
      </c>
      <c r="V1158" s="4" t="s">
        <v>3262</v>
      </c>
      <c r="AL1158" s="60" t="s">
        <v>30</v>
      </c>
      <c r="AU1158" s="1" t="s">
        <v>6240</v>
      </c>
    </row>
    <row r="1159" spans="1:47" ht="48" x14ac:dyDescent="0.2">
      <c r="A1159" s="1" t="s">
        <v>3165</v>
      </c>
      <c r="B1159" s="1" t="s">
        <v>3263</v>
      </c>
      <c r="C1159" s="1" t="s">
        <v>5736</v>
      </c>
      <c r="D1159" s="48">
        <v>8</v>
      </c>
      <c r="E1159" s="1">
        <v>2</v>
      </c>
      <c r="F1159" s="1" t="s">
        <v>3239</v>
      </c>
      <c r="G1159" s="1" t="s">
        <v>3264</v>
      </c>
      <c r="I1159" s="1" t="s">
        <v>82</v>
      </c>
      <c r="K1159" s="1" t="s">
        <v>2951</v>
      </c>
      <c r="V1159" s="4" t="s">
        <v>3265</v>
      </c>
      <c r="W1159" s="4" t="s">
        <v>3266</v>
      </c>
      <c r="AL1159" s="60" t="s">
        <v>30</v>
      </c>
    </row>
    <row r="1160" spans="1:47" ht="36" x14ac:dyDescent="0.2">
      <c r="A1160" s="1" t="s">
        <v>3165</v>
      </c>
      <c r="B1160" s="1" t="s">
        <v>3267</v>
      </c>
      <c r="C1160" s="1" t="s">
        <v>5736</v>
      </c>
      <c r="D1160" s="48">
        <v>9</v>
      </c>
      <c r="E1160" s="1">
        <v>2</v>
      </c>
      <c r="F1160" s="1" t="s">
        <v>3239</v>
      </c>
      <c r="G1160" s="1" t="s">
        <v>3268</v>
      </c>
      <c r="I1160" s="1" t="s">
        <v>82</v>
      </c>
      <c r="K1160" s="1" t="s">
        <v>2951</v>
      </c>
      <c r="V1160" s="4" t="s">
        <v>3269</v>
      </c>
      <c r="W1160" s="4" t="s">
        <v>3270</v>
      </c>
      <c r="AL1160" s="60" t="s">
        <v>30</v>
      </c>
    </row>
    <row r="1161" spans="1:47" ht="60" x14ac:dyDescent="0.2">
      <c r="A1161" s="119" t="s">
        <v>5801</v>
      </c>
      <c r="B1161" s="119" t="s">
        <v>5802</v>
      </c>
      <c r="C1161" s="119" t="s">
        <v>5747</v>
      </c>
      <c r="D1161" s="120">
        <v>1</v>
      </c>
      <c r="E1161" s="119">
        <v>1</v>
      </c>
      <c r="F1161" s="119" t="s">
        <v>7747</v>
      </c>
      <c r="G1161" s="119" t="s">
        <v>2671</v>
      </c>
      <c r="I1161" s="1" t="s">
        <v>768</v>
      </c>
      <c r="K1161" s="3"/>
      <c r="L1161" s="4"/>
      <c r="M1161" s="20"/>
      <c r="N1161" s="54" t="s">
        <v>9529</v>
      </c>
      <c r="T1161" s="67"/>
      <c r="V1161" s="4" t="s">
        <v>769</v>
      </c>
      <c r="Y1161" s="1" t="s">
        <v>2671</v>
      </c>
      <c r="AA1161" s="1" t="s">
        <v>768</v>
      </c>
      <c r="AF1161" s="54" t="s">
        <v>9530</v>
      </c>
      <c r="AL1161" s="67" t="s">
        <v>30</v>
      </c>
      <c r="AN1161" s="4" t="s">
        <v>5799</v>
      </c>
    </row>
    <row r="1162" spans="1:47" ht="48" x14ac:dyDescent="0.2">
      <c r="A1162" s="1" t="s">
        <v>5801</v>
      </c>
      <c r="B1162" s="1" t="s">
        <v>5803</v>
      </c>
      <c r="C1162" s="1" t="s">
        <v>5747</v>
      </c>
      <c r="D1162" s="48">
        <v>2</v>
      </c>
      <c r="E1162" s="1">
        <v>1</v>
      </c>
      <c r="F1162" s="1" t="s">
        <v>7747</v>
      </c>
      <c r="G1162" s="1" t="s">
        <v>9624</v>
      </c>
      <c r="I1162" s="1" t="s">
        <v>125</v>
      </c>
      <c r="K1162" s="3"/>
      <c r="L1162" s="4"/>
      <c r="M1162" s="20">
        <v>2</v>
      </c>
      <c r="N1162" s="54" t="s">
        <v>9529</v>
      </c>
      <c r="T1162" s="67"/>
      <c r="V1162" s="4" t="s">
        <v>5794</v>
      </c>
      <c r="Y1162" s="1" t="s">
        <v>9624</v>
      </c>
      <c r="AA1162" s="1" t="s">
        <v>125</v>
      </c>
      <c r="AE1162" s="1">
        <v>2</v>
      </c>
      <c r="AF1162" s="54" t="s">
        <v>9530</v>
      </c>
      <c r="AL1162" s="67" t="s">
        <v>113</v>
      </c>
      <c r="AN1162" s="4" t="s">
        <v>5793</v>
      </c>
    </row>
    <row r="1163" spans="1:47" ht="24" x14ac:dyDescent="0.2">
      <c r="A1163" s="1" t="s">
        <v>5801</v>
      </c>
      <c r="B1163" s="1" t="s">
        <v>5804</v>
      </c>
      <c r="C1163" s="1" t="s">
        <v>5747</v>
      </c>
      <c r="D1163" s="48">
        <v>3</v>
      </c>
      <c r="E1163" s="1">
        <v>4</v>
      </c>
      <c r="F1163" s="1" t="s">
        <v>7747</v>
      </c>
      <c r="G1163" s="1" t="s">
        <v>5786</v>
      </c>
      <c r="I1163" s="1" t="s">
        <v>94</v>
      </c>
      <c r="K1163" s="3" t="s">
        <v>604</v>
      </c>
      <c r="L1163" s="4"/>
      <c r="M1163" s="20"/>
      <c r="N1163" s="54">
        <v>20</v>
      </c>
      <c r="O1163" s="55">
        <v>1</v>
      </c>
      <c r="Q1163" s="57">
        <v>4</v>
      </c>
      <c r="R1163" s="58">
        <v>3</v>
      </c>
      <c r="S1163" s="59">
        <v>5</v>
      </c>
      <c r="T1163" s="67"/>
      <c r="V1163" s="4" t="s">
        <v>5788</v>
      </c>
      <c r="W1163" s="4" t="s">
        <v>5790</v>
      </c>
      <c r="AL1163" s="67" t="s">
        <v>30</v>
      </c>
      <c r="AN1163" s="5"/>
      <c r="AO1163" s="5"/>
      <c r="AP1163" s="5"/>
    </row>
    <row r="1164" spans="1:47" ht="36" x14ac:dyDescent="0.2">
      <c r="A1164" s="1" t="s">
        <v>5801</v>
      </c>
      <c r="B1164" s="1" t="s">
        <v>5805</v>
      </c>
      <c r="C1164" s="1" t="s">
        <v>5747</v>
      </c>
      <c r="D1164" s="48">
        <v>4</v>
      </c>
      <c r="E1164" s="1">
        <v>3</v>
      </c>
      <c r="F1164" s="1" t="s">
        <v>7747</v>
      </c>
      <c r="G1164" s="1" t="s">
        <v>5748</v>
      </c>
      <c r="I1164" s="1" t="s">
        <v>94</v>
      </c>
      <c r="K1164" s="3" t="s">
        <v>604</v>
      </c>
      <c r="L1164" s="4"/>
      <c r="M1164" s="20"/>
      <c r="N1164" s="54">
        <v>50</v>
      </c>
      <c r="O1164" s="55">
        <v>3</v>
      </c>
      <c r="Q1164" s="57">
        <v>2</v>
      </c>
      <c r="R1164" s="58">
        <v>2</v>
      </c>
      <c r="S1164" s="59">
        <v>4</v>
      </c>
      <c r="T1164" s="67"/>
      <c r="V1164" s="4" t="s">
        <v>5830</v>
      </c>
      <c r="W1164" s="4" t="s">
        <v>5838</v>
      </c>
      <c r="AL1164" s="67" t="s">
        <v>30</v>
      </c>
      <c r="AN1164" s="5"/>
      <c r="AO1164" s="5"/>
      <c r="AP1164" s="5"/>
    </row>
    <row r="1165" spans="1:47" ht="24" x14ac:dyDescent="0.2">
      <c r="A1165" s="1" t="s">
        <v>5801</v>
      </c>
      <c r="B1165" s="1" t="s">
        <v>5806</v>
      </c>
      <c r="C1165" s="1" t="s">
        <v>5747</v>
      </c>
      <c r="D1165" s="48">
        <v>5</v>
      </c>
      <c r="E1165" s="1">
        <v>2</v>
      </c>
      <c r="F1165" s="1" t="s">
        <v>7747</v>
      </c>
      <c r="G1165" s="1" t="s">
        <v>5749</v>
      </c>
      <c r="I1165" s="1" t="s">
        <v>94</v>
      </c>
      <c r="K1165" s="3" t="s">
        <v>95</v>
      </c>
      <c r="L1165" s="4" t="s">
        <v>155</v>
      </c>
      <c r="M1165" s="20"/>
      <c r="N1165" s="54">
        <v>0</v>
      </c>
      <c r="O1165" s="55">
        <v>1</v>
      </c>
      <c r="Q1165" s="57">
        <v>7</v>
      </c>
      <c r="R1165" s="58">
        <v>7</v>
      </c>
      <c r="S1165" s="59">
        <v>8</v>
      </c>
      <c r="T1165" s="67"/>
      <c r="V1165" s="4" t="s">
        <v>5750</v>
      </c>
      <c r="W1165" s="4" t="s">
        <v>5751</v>
      </c>
      <c r="AL1165" s="67" t="s">
        <v>30</v>
      </c>
      <c r="AN1165" s="5"/>
      <c r="AO1165" s="5"/>
      <c r="AP1165" s="5"/>
    </row>
    <row r="1166" spans="1:47" ht="36" x14ac:dyDescent="0.2">
      <c r="A1166" s="1" t="s">
        <v>5801</v>
      </c>
      <c r="B1166" s="1" t="s">
        <v>5807</v>
      </c>
      <c r="C1166" s="1" t="s">
        <v>5747</v>
      </c>
      <c r="D1166" s="48">
        <v>6</v>
      </c>
      <c r="E1166" s="1">
        <v>3</v>
      </c>
      <c r="F1166" s="1" t="s">
        <v>7747</v>
      </c>
      <c r="G1166" s="1" t="s">
        <v>5752</v>
      </c>
      <c r="I1166" s="1" t="s">
        <v>104</v>
      </c>
      <c r="K1166" s="3" t="s">
        <v>1592</v>
      </c>
      <c r="L1166" s="4"/>
      <c r="M1166" s="20"/>
      <c r="O1166" s="55" t="s">
        <v>113</v>
      </c>
      <c r="T1166" s="67" t="s">
        <v>113</v>
      </c>
      <c r="V1166" s="4" t="s">
        <v>5753</v>
      </c>
      <c r="W1166" s="4" t="s">
        <v>5839</v>
      </c>
      <c r="AL1166" s="67" t="s">
        <v>30</v>
      </c>
      <c r="AN1166" s="5"/>
      <c r="AO1166" s="5"/>
      <c r="AP1166" s="5"/>
    </row>
    <row r="1167" spans="1:47" ht="36" x14ac:dyDescent="0.2">
      <c r="A1167" s="1" t="s">
        <v>5801</v>
      </c>
      <c r="B1167" s="1" t="s">
        <v>5808</v>
      </c>
      <c r="C1167" s="1" t="s">
        <v>5747</v>
      </c>
      <c r="D1167" s="48">
        <v>7</v>
      </c>
      <c r="E1167" s="1">
        <v>3</v>
      </c>
      <c r="F1167" s="1" t="s">
        <v>7747</v>
      </c>
      <c r="G1167" s="1" t="s">
        <v>5754</v>
      </c>
      <c r="I1167" s="1" t="s">
        <v>104</v>
      </c>
      <c r="K1167" s="3" t="s">
        <v>2742</v>
      </c>
      <c r="L1167" s="4" t="s">
        <v>685</v>
      </c>
      <c r="M1167" s="20"/>
      <c r="O1167" s="55">
        <v>3</v>
      </c>
      <c r="T1167" s="67">
        <v>1</v>
      </c>
      <c r="V1167" s="4" t="s">
        <v>5755</v>
      </c>
      <c r="AL1167" s="67" t="s">
        <v>30</v>
      </c>
      <c r="AN1167" s="5"/>
      <c r="AO1167" s="5"/>
      <c r="AP1167" s="5"/>
    </row>
    <row r="1168" spans="1:47" ht="36" x14ac:dyDescent="0.2">
      <c r="A1168" s="1" t="s">
        <v>5801</v>
      </c>
      <c r="B1168" s="1" t="s">
        <v>5809</v>
      </c>
      <c r="C1168" s="1" t="s">
        <v>5747</v>
      </c>
      <c r="D1168" s="48">
        <v>8</v>
      </c>
      <c r="E1168" s="1">
        <v>3</v>
      </c>
      <c r="F1168" s="1" t="s">
        <v>7747</v>
      </c>
      <c r="G1168" s="1" t="s">
        <v>5756</v>
      </c>
      <c r="I1168" s="1" t="s">
        <v>82</v>
      </c>
      <c r="K1168" s="3"/>
      <c r="L1168" s="4" t="s">
        <v>155</v>
      </c>
      <c r="M1168" s="20"/>
      <c r="T1168" s="67"/>
      <c r="V1168" s="4" t="s">
        <v>5757</v>
      </c>
      <c r="W1168" s="4" t="s">
        <v>5837</v>
      </c>
      <c r="AL1168" s="67" t="s">
        <v>30</v>
      </c>
      <c r="AN1168" s="5"/>
      <c r="AO1168" s="5"/>
      <c r="AP1168" s="5"/>
    </row>
    <row r="1169" spans="1:42" ht="84" x14ac:dyDescent="0.2">
      <c r="A1169" s="111" t="s">
        <v>5801</v>
      </c>
      <c r="B1169" s="111" t="s">
        <v>5810</v>
      </c>
      <c r="C1169" s="111" t="s">
        <v>5758</v>
      </c>
      <c r="D1169" s="112">
        <v>1</v>
      </c>
      <c r="E1169" s="111">
        <v>1</v>
      </c>
      <c r="F1169" s="111" t="s">
        <v>7748</v>
      </c>
      <c r="G1169" s="111" t="s">
        <v>2696</v>
      </c>
      <c r="I1169" s="1" t="s">
        <v>768</v>
      </c>
      <c r="K1169" s="3"/>
      <c r="L1169" s="4"/>
      <c r="M1169" s="20"/>
      <c r="N1169" s="54" t="s">
        <v>9529</v>
      </c>
      <c r="T1169" s="67"/>
      <c r="V1169" s="4" t="s">
        <v>769</v>
      </c>
      <c r="X1169" s="1" t="s">
        <v>1672</v>
      </c>
      <c r="Y1169" s="1" t="s">
        <v>2696</v>
      </c>
      <c r="AA1169" s="1" t="s">
        <v>768</v>
      </c>
      <c r="AF1169" s="54" t="s">
        <v>9530</v>
      </c>
      <c r="AL1169" s="67" t="s">
        <v>30</v>
      </c>
      <c r="AN1169" s="4" t="s">
        <v>5800</v>
      </c>
    </row>
    <row r="1170" spans="1:42" ht="48" x14ac:dyDescent="0.2">
      <c r="A1170" s="1" t="s">
        <v>5801</v>
      </c>
      <c r="B1170" s="1" t="s">
        <v>5811</v>
      </c>
      <c r="C1170" s="1" t="s">
        <v>5758</v>
      </c>
      <c r="D1170" s="48">
        <v>2</v>
      </c>
      <c r="E1170" s="1">
        <v>1</v>
      </c>
      <c r="F1170" s="1" t="s">
        <v>7748</v>
      </c>
      <c r="G1170" s="1" t="s">
        <v>5759</v>
      </c>
      <c r="H1170" s="1" t="s">
        <v>26</v>
      </c>
      <c r="I1170" s="1" t="s">
        <v>94</v>
      </c>
      <c r="K1170" s="3" t="s">
        <v>2558</v>
      </c>
      <c r="L1170" s="4"/>
      <c r="M1170" s="20"/>
      <c r="N1170" s="54">
        <v>20</v>
      </c>
      <c r="O1170" s="55">
        <v>3</v>
      </c>
      <c r="Q1170" s="57">
        <v>3</v>
      </c>
      <c r="R1170" s="58">
        <v>3</v>
      </c>
      <c r="S1170" s="59">
        <v>12</v>
      </c>
      <c r="T1170" s="67"/>
      <c r="U1170" s="1">
        <v>5</v>
      </c>
      <c r="V1170" s="4" t="s">
        <v>5831</v>
      </c>
      <c r="AL1170" s="67" t="s">
        <v>30</v>
      </c>
      <c r="AN1170" s="5"/>
      <c r="AO1170" s="5"/>
      <c r="AP1170" s="5"/>
    </row>
    <row r="1171" spans="1:42" ht="60" x14ac:dyDescent="0.2">
      <c r="A1171" s="1" t="s">
        <v>5801</v>
      </c>
      <c r="B1171" s="1" t="s">
        <v>5812</v>
      </c>
      <c r="C1171" s="1" t="s">
        <v>5758</v>
      </c>
      <c r="D1171" s="48">
        <v>3</v>
      </c>
      <c r="E1171" s="1">
        <v>1</v>
      </c>
      <c r="F1171" s="1" t="s">
        <v>7748</v>
      </c>
      <c r="G1171" s="1" t="s">
        <v>5760</v>
      </c>
      <c r="H1171" s="1" t="s">
        <v>26</v>
      </c>
      <c r="I1171" s="1" t="s">
        <v>104</v>
      </c>
      <c r="K1171" s="3" t="s">
        <v>1112</v>
      </c>
      <c r="L1171" s="4"/>
      <c r="M1171" s="20"/>
      <c r="O1171" s="55">
        <v>5</v>
      </c>
      <c r="T1171" s="67">
        <v>8</v>
      </c>
      <c r="U1171" s="1">
        <v>5</v>
      </c>
      <c r="V1171" s="4" t="s">
        <v>5761</v>
      </c>
      <c r="AL1171" s="67" t="s">
        <v>30</v>
      </c>
      <c r="AN1171" s="5"/>
      <c r="AO1171" s="5"/>
      <c r="AP1171" s="5"/>
    </row>
    <row r="1172" spans="1:42" ht="48" x14ac:dyDescent="0.2">
      <c r="A1172" s="1" t="s">
        <v>5801</v>
      </c>
      <c r="B1172" s="1" t="s">
        <v>5813</v>
      </c>
      <c r="C1172" s="1" t="s">
        <v>5758</v>
      </c>
      <c r="D1172" s="48">
        <v>4</v>
      </c>
      <c r="E1172" s="1">
        <v>2</v>
      </c>
      <c r="F1172" s="1" t="s">
        <v>7748</v>
      </c>
      <c r="G1172" s="1" t="s">
        <v>5762</v>
      </c>
      <c r="I1172" s="1" t="s">
        <v>94</v>
      </c>
      <c r="K1172" s="3" t="s">
        <v>2558</v>
      </c>
      <c r="L1172" s="4"/>
      <c r="M1172" s="20"/>
      <c r="N1172" s="54">
        <v>44</v>
      </c>
      <c r="O1172" s="55">
        <v>1</v>
      </c>
      <c r="Q1172" s="57">
        <v>4</v>
      </c>
      <c r="R1172" s="58">
        <v>4</v>
      </c>
      <c r="S1172" s="59">
        <v>6</v>
      </c>
      <c r="T1172" s="67"/>
      <c r="V1172" s="4" t="s">
        <v>5763</v>
      </c>
      <c r="AL1172" s="67" t="s">
        <v>30</v>
      </c>
      <c r="AN1172" s="5"/>
      <c r="AO1172" s="5"/>
      <c r="AP1172" s="5"/>
    </row>
    <row r="1173" spans="1:42" ht="24" x14ac:dyDescent="0.2">
      <c r="A1173" s="1" t="s">
        <v>5801</v>
      </c>
      <c r="B1173" s="1" t="s">
        <v>5814</v>
      </c>
      <c r="C1173" s="1" t="s">
        <v>5758</v>
      </c>
      <c r="D1173" s="48">
        <v>5</v>
      </c>
      <c r="E1173" s="1">
        <v>3</v>
      </c>
      <c r="F1173" s="1" t="s">
        <v>7748</v>
      </c>
      <c r="G1173" s="1" t="s">
        <v>5764</v>
      </c>
      <c r="I1173" s="1" t="s">
        <v>94</v>
      </c>
      <c r="K1173" s="3" t="s">
        <v>604</v>
      </c>
      <c r="L1173" s="4"/>
      <c r="M1173" s="20"/>
      <c r="N1173" s="54">
        <v>15</v>
      </c>
      <c r="O1173" s="55">
        <v>2</v>
      </c>
      <c r="Q1173" s="57">
        <v>4</v>
      </c>
      <c r="R1173" s="58">
        <v>2</v>
      </c>
      <c r="S1173" s="59">
        <v>3</v>
      </c>
      <c r="T1173" s="67"/>
      <c r="V1173" s="4" t="s">
        <v>5832</v>
      </c>
      <c r="W1173" s="4" t="s">
        <v>5765</v>
      </c>
      <c r="AL1173" s="67" t="s">
        <v>30</v>
      </c>
      <c r="AN1173" s="5"/>
      <c r="AO1173" s="5"/>
      <c r="AP1173" s="5"/>
    </row>
    <row r="1174" spans="1:42" x14ac:dyDescent="0.2">
      <c r="A1174" s="1" t="s">
        <v>5801</v>
      </c>
      <c r="B1174" s="1" t="s">
        <v>5815</v>
      </c>
      <c r="C1174" s="1" t="s">
        <v>5758</v>
      </c>
      <c r="D1174" s="48">
        <v>6</v>
      </c>
      <c r="E1174" s="1">
        <v>2</v>
      </c>
      <c r="F1174" s="1" t="s">
        <v>7748</v>
      </c>
      <c r="G1174" s="1" t="s">
        <v>5766</v>
      </c>
      <c r="I1174" s="1" t="s">
        <v>94</v>
      </c>
      <c r="K1174" s="3" t="s">
        <v>604</v>
      </c>
      <c r="L1174" s="4"/>
      <c r="M1174" s="20"/>
      <c r="N1174" s="54">
        <v>36</v>
      </c>
      <c r="O1174" s="55">
        <v>3</v>
      </c>
      <c r="Q1174" s="57">
        <v>2</v>
      </c>
      <c r="R1174" s="58">
        <v>1</v>
      </c>
      <c r="S1174" s="59">
        <v>4</v>
      </c>
      <c r="T1174" s="67"/>
      <c r="V1174" s="4" t="s">
        <v>5767</v>
      </c>
      <c r="W1174" s="4" t="s">
        <v>5768</v>
      </c>
      <c r="AL1174" s="67" t="s">
        <v>30</v>
      </c>
      <c r="AN1174" s="5"/>
      <c r="AO1174" s="5"/>
      <c r="AP1174" s="5"/>
    </row>
    <row r="1175" spans="1:42" ht="24" x14ac:dyDescent="0.2">
      <c r="A1175" s="1" t="s">
        <v>5801</v>
      </c>
      <c r="B1175" s="1" t="s">
        <v>5816</v>
      </c>
      <c r="C1175" s="1" t="s">
        <v>5758</v>
      </c>
      <c r="D1175" s="48">
        <v>7</v>
      </c>
      <c r="E1175" s="1">
        <v>3</v>
      </c>
      <c r="F1175" s="1" t="s">
        <v>7748</v>
      </c>
      <c r="G1175" s="1" t="s">
        <v>5769</v>
      </c>
      <c r="I1175" s="1" t="s">
        <v>104</v>
      </c>
      <c r="K1175" s="3" t="s">
        <v>1112</v>
      </c>
      <c r="L1175" s="4"/>
      <c r="M1175" s="20"/>
      <c r="O1175" s="55">
        <v>2</v>
      </c>
      <c r="T1175" s="67">
        <v>6</v>
      </c>
      <c r="V1175" s="4" t="s">
        <v>5770</v>
      </c>
      <c r="W1175" s="4" t="s">
        <v>5836</v>
      </c>
      <c r="AL1175" s="67" t="s">
        <v>30</v>
      </c>
      <c r="AN1175" s="5"/>
      <c r="AO1175" s="5"/>
      <c r="AP1175" s="5"/>
    </row>
    <row r="1176" spans="1:42" ht="36" x14ac:dyDescent="0.2">
      <c r="A1176" s="1" t="s">
        <v>5801</v>
      </c>
      <c r="B1176" s="1" t="s">
        <v>5817</v>
      </c>
      <c r="C1176" s="1" t="s">
        <v>5758</v>
      </c>
      <c r="D1176" s="48">
        <v>8</v>
      </c>
      <c r="E1176" s="1">
        <v>2</v>
      </c>
      <c r="F1176" s="1" t="s">
        <v>7748</v>
      </c>
      <c r="G1176" s="1" t="s">
        <v>5771</v>
      </c>
      <c r="I1176" s="1" t="s">
        <v>104</v>
      </c>
      <c r="K1176" s="3" t="s">
        <v>1112</v>
      </c>
      <c r="L1176" s="4"/>
      <c r="M1176" s="20"/>
      <c r="O1176" s="55">
        <v>4</v>
      </c>
      <c r="T1176" s="67">
        <v>4</v>
      </c>
      <c r="V1176" s="4" t="s">
        <v>7743</v>
      </c>
      <c r="AL1176" s="67" t="s">
        <v>30</v>
      </c>
      <c r="AN1176" s="5"/>
      <c r="AO1176" s="5"/>
      <c r="AP1176" s="5"/>
    </row>
    <row r="1177" spans="1:42" x14ac:dyDescent="0.2">
      <c r="A1177" s="1" t="s">
        <v>5801</v>
      </c>
      <c r="B1177" s="1" t="s">
        <v>5818</v>
      </c>
      <c r="C1177" s="1" t="s">
        <v>5758</v>
      </c>
      <c r="D1177" s="48">
        <v>9</v>
      </c>
      <c r="E1177" s="1">
        <v>3</v>
      </c>
      <c r="F1177" s="1" t="s">
        <v>7748</v>
      </c>
      <c r="G1177" s="1" t="s">
        <v>5772</v>
      </c>
      <c r="I1177" s="1" t="s">
        <v>82</v>
      </c>
      <c r="K1177" s="3"/>
      <c r="L1177" s="4" t="s">
        <v>5774</v>
      </c>
      <c r="M1177" s="20"/>
      <c r="T1177" s="67"/>
      <c r="V1177" s="4" t="s">
        <v>5773</v>
      </c>
      <c r="W1177" s="4" t="s">
        <v>5768</v>
      </c>
      <c r="AL1177" s="67" t="s">
        <v>30</v>
      </c>
      <c r="AN1177" s="5"/>
      <c r="AO1177" s="5"/>
      <c r="AP1177" s="5"/>
    </row>
    <row r="1178" spans="1:42" ht="48" x14ac:dyDescent="0.2">
      <c r="A1178" s="1" t="s">
        <v>5801</v>
      </c>
      <c r="B1178" s="1" t="s">
        <v>5819</v>
      </c>
      <c r="C1178" s="1" t="s">
        <v>5758</v>
      </c>
      <c r="D1178" s="48">
        <v>10</v>
      </c>
      <c r="E1178" s="1">
        <v>2</v>
      </c>
      <c r="F1178" s="1" t="s">
        <v>7748</v>
      </c>
      <c r="G1178" s="1" t="s">
        <v>5775</v>
      </c>
      <c r="I1178" s="1" t="s">
        <v>82</v>
      </c>
      <c r="K1178" s="3"/>
      <c r="L1178" s="4"/>
      <c r="M1178" s="20"/>
      <c r="T1178" s="67"/>
      <c r="V1178" s="4" t="s">
        <v>5776</v>
      </c>
      <c r="AL1178" s="67" t="s">
        <v>30</v>
      </c>
      <c r="AN1178" s="5"/>
      <c r="AO1178" s="5"/>
      <c r="AP1178" s="5"/>
    </row>
    <row r="1179" spans="1:42" ht="72" x14ac:dyDescent="0.2">
      <c r="A1179" s="111" t="s">
        <v>5801</v>
      </c>
      <c r="B1179" s="111" t="s">
        <v>5820</v>
      </c>
      <c r="C1179" s="111" t="s">
        <v>5777</v>
      </c>
      <c r="D1179" s="112">
        <v>1</v>
      </c>
      <c r="E1179" s="111">
        <v>1</v>
      </c>
      <c r="F1179" s="111" t="s">
        <v>7746</v>
      </c>
      <c r="G1179" s="111" t="s">
        <v>2665</v>
      </c>
      <c r="I1179" s="1" t="s">
        <v>768</v>
      </c>
      <c r="K1179" s="3"/>
      <c r="L1179" s="4"/>
      <c r="M1179" s="20"/>
      <c r="N1179" s="54" t="s">
        <v>9529</v>
      </c>
      <c r="T1179" s="67"/>
      <c r="V1179" s="4" t="s">
        <v>769</v>
      </c>
      <c r="Y1179" s="1" t="s">
        <v>2665</v>
      </c>
      <c r="AA1179" s="1" t="s">
        <v>768</v>
      </c>
      <c r="AF1179" s="54" t="s">
        <v>9530</v>
      </c>
      <c r="AL1179" s="67" t="s">
        <v>30</v>
      </c>
      <c r="AN1179" s="4" t="s">
        <v>7744</v>
      </c>
    </row>
    <row r="1180" spans="1:42" ht="72" x14ac:dyDescent="0.2">
      <c r="A1180" s="1" t="s">
        <v>5801</v>
      </c>
      <c r="B1180" s="1" t="s">
        <v>5821</v>
      </c>
      <c r="C1180" s="1" t="s">
        <v>5777</v>
      </c>
      <c r="D1180" s="48">
        <v>2</v>
      </c>
      <c r="E1180" s="1">
        <v>1</v>
      </c>
      <c r="F1180" s="1" t="s">
        <v>7746</v>
      </c>
      <c r="G1180" s="1" t="s">
        <v>9598</v>
      </c>
      <c r="I1180" s="1" t="s">
        <v>125</v>
      </c>
      <c r="K1180" s="3"/>
      <c r="L1180" s="4"/>
      <c r="M1180" s="20">
        <v>2</v>
      </c>
      <c r="N1180" s="54" t="s">
        <v>9529</v>
      </c>
      <c r="T1180" s="67"/>
      <c r="V1180" s="4" t="s">
        <v>2854</v>
      </c>
      <c r="Y1180" s="1" t="s">
        <v>737</v>
      </c>
      <c r="AA1180" s="1" t="s">
        <v>125</v>
      </c>
      <c r="AE1180" s="1">
        <v>2</v>
      </c>
      <c r="AF1180" s="54" t="s">
        <v>9530</v>
      </c>
      <c r="AL1180" s="67">
        <v>5</v>
      </c>
      <c r="AN1180" s="4" t="s">
        <v>5797</v>
      </c>
    </row>
    <row r="1181" spans="1:42" ht="108" x14ac:dyDescent="0.2">
      <c r="A1181" s="1" t="s">
        <v>5801</v>
      </c>
      <c r="B1181" s="1" t="s">
        <v>5822</v>
      </c>
      <c r="C1181" s="1" t="s">
        <v>5777</v>
      </c>
      <c r="D1181" s="48">
        <v>3</v>
      </c>
      <c r="E1181" s="1">
        <v>1</v>
      </c>
      <c r="F1181" s="1" t="s">
        <v>7746</v>
      </c>
      <c r="G1181" s="1" t="s">
        <v>9598</v>
      </c>
      <c r="I1181" s="1" t="s">
        <v>125</v>
      </c>
      <c r="K1181" s="3"/>
      <c r="L1181" s="4"/>
      <c r="M1181" s="20">
        <v>2</v>
      </c>
      <c r="N1181" s="54" t="s">
        <v>9529</v>
      </c>
      <c r="T1181" s="67"/>
      <c r="V1181" s="4" t="s">
        <v>2854</v>
      </c>
      <c r="Y1181" s="1" t="s">
        <v>9652</v>
      </c>
      <c r="AA1181" s="1" t="s">
        <v>125</v>
      </c>
      <c r="AE1181" s="1">
        <v>2</v>
      </c>
      <c r="AF1181" s="54" t="s">
        <v>9530</v>
      </c>
      <c r="AL1181" s="67" t="s">
        <v>799</v>
      </c>
      <c r="AN1181" s="4" t="s">
        <v>5798</v>
      </c>
    </row>
    <row r="1182" spans="1:42" ht="24" x14ac:dyDescent="0.2">
      <c r="A1182" s="1" t="s">
        <v>5801</v>
      </c>
      <c r="B1182" s="1" t="s">
        <v>5823</v>
      </c>
      <c r="C1182" s="1" t="s">
        <v>5777</v>
      </c>
      <c r="D1182" s="48">
        <v>4</v>
      </c>
      <c r="E1182" s="1">
        <v>1</v>
      </c>
      <c r="F1182" s="1" t="s">
        <v>7746</v>
      </c>
      <c r="G1182" s="1" t="s">
        <v>9598</v>
      </c>
      <c r="I1182" s="1" t="s">
        <v>125</v>
      </c>
      <c r="K1182" s="3"/>
      <c r="L1182" s="4"/>
      <c r="M1182" s="20">
        <v>2</v>
      </c>
      <c r="N1182" s="54" t="s">
        <v>9529</v>
      </c>
      <c r="T1182" s="67"/>
      <c r="V1182" s="4" t="s">
        <v>2854</v>
      </c>
      <c r="Y1182" s="1" t="s">
        <v>9653</v>
      </c>
      <c r="AA1182" s="1" t="s">
        <v>125</v>
      </c>
      <c r="AE1182" s="1">
        <v>2</v>
      </c>
      <c r="AF1182" s="54" t="s">
        <v>9530</v>
      </c>
      <c r="AL1182" s="67">
        <v>1</v>
      </c>
      <c r="AN1182" s="4" t="s">
        <v>7745</v>
      </c>
    </row>
    <row r="1183" spans="1:42" ht="36" x14ac:dyDescent="0.2">
      <c r="A1183" s="1" t="s">
        <v>5801</v>
      </c>
      <c r="B1183" s="1" t="s">
        <v>5824</v>
      </c>
      <c r="C1183" s="1" t="s">
        <v>5777</v>
      </c>
      <c r="D1183" s="48">
        <v>5</v>
      </c>
      <c r="E1183" s="1">
        <v>3</v>
      </c>
      <c r="F1183" s="1" t="s">
        <v>7746</v>
      </c>
      <c r="G1183" s="1" t="s">
        <v>5778</v>
      </c>
      <c r="I1183" s="1" t="s">
        <v>94</v>
      </c>
      <c r="K1183" s="3" t="s">
        <v>604</v>
      </c>
      <c r="L1183" s="4" t="s">
        <v>155</v>
      </c>
      <c r="M1183" s="20"/>
      <c r="N1183" s="54">
        <v>10</v>
      </c>
      <c r="O1183" s="55">
        <v>1</v>
      </c>
      <c r="Q1183" s="57">
        <v>3</v>
      </c>
      <c r="R1183" s="58">
        <v>1</v>
      </c>
      <c r="S1183" s="59">
        <v>6</v>
      </c>
      <c r="T1183" s="67"/>
      <c r="V1183" s="4" t="s">
        <v>5779</v>
      </c>
      <c r="AL1183" s="67" t="s">
        <v>30</v>
      </c>
      <c r="AN1183" s="5"/>
      <c r="AO1183" s="5"/>
      <c r="AP1183" s="5"/>
    </row>
    <row r="1184" spans="1:42" ht="24" x14ac:dyDescent="0.2">
      <c r="A1184" s="1" t="s">
        <v>5801</v>
      </c>
      <c r="B1184" s="1" t="s">
        <v>5825</v>
      </c>
      <c r="C1184" s="1" t="s">
        <v>5777</v>
      </c>
      <c r="D1184" s="48">
        <v>6</v>
      </c>
      <c r="E1184" s="1">
        <v>3</v>
      </c>
      <c r="F1184" s="1" t="s">
        <v>7746</v>
      </c>
      <c r="G1184" s="1" t="s">
        <v>5780</v>
      </c>
      <c r="I1184" s="1" t="s">
        <v>94</v>
      </c>
      <c r="K1184" s="1" t="s">
        <v>944</v>
      </c>
      <c r="N1184" s="54">
        <v>34</v>
      </c>
      <c r="O1184" s="55" t="s">
        <v>113</v>
      </c>
      <c r="Q1184" s="57" t="s">
        <v>113</v>
      </c>
      <c r="R1184" s="58">
        <v>3</v>
      </c>
      <c r="S1184" s="59">
        <v>5</v>
      </c>
      <c r="V1184" s="4" t="s">
        <v>5781</v>
      </c>
      <c r="W1184" s="4" t="s">
        <v>5835</v>
      </c>
      <c r="AL1184" s="60" t="s">
        <v>30</v>
      </c>
    </row>
    <row r="1185" spans="1:48" ht="36" x14ac:dyDescent="0.2">
      <c r="A1185" s="1" t="s">
        <v>5801</v>
      </c>
      <c r="B1185" s="1" t="s">
        <v>5826</v>
      </c>
      <c r="C1185" s="1" t="s">
        <v>5777</v>
      </c>
      <c r="D1185" s="48">
        <v>7</v>
      </c>
      <c r="E1185" s="1">
        <v>4</v>
      </c>
      <c r="F1185" s="1" t="s">
        <v>7746</v>
      </c>
      <c r="G1185" s="1" t="s">
        <v>5782</v>
      </c>
      <c r="I1185" s="1" t="s">
        <v>104</v>
      </c>
      <c r="K1185" s="1" t="s">
        <v>1592</v>
      </c>
      <c r="O1185" s="55">
        <v>4</v>
      </c>
      <c r="T1185" s="60">
        <v>6</v>
      </c>
      <c r="V1185" s="4" t="s">
        <v>5783</v>
      </c>
      <c r="W1185" s="4" t="s">
        <v>5784</v>
      </c>
      <c r="AL1185" s="60" t="s">
        <v>30</v>
      </c>
    </row>
    <row r="1186" spans="1:48" ht="36" x14ac:dyDescent="0.2">
      <c r="A1186" s="1" t="s">
        <v>5801</v>
      </c>
      <c r="B1186" s="1" t="s">
        <v>5827</v>
      </c>
      <c r="C1186" s="1" t="s">
        <v>5777</v>
      </c>
      <c r="D1186" s="48">
        <v>8</v>
      </c>
      <c r="E1186" s="1">
        <v>3</v>
      </c>
      <c r="F1186" s="1" t="s">
        <v>7746</v>
      </c>
      <c r="G1186" s="1" t="s">
        <v>5785</v>
      </c>
      <c r="I1186" s="1" t="s">
        <v>82</v>
      </c>
      <c r="V1186" s="4" t="s">
        <v>5833</v>
      </c>
      <c r="W1186" s="4" t="s">
        <v>5834</v>
      </c>
      <c r="AL1186" s="60" t="s">
        <v>30</v>
      </c>
    </row>
    <row r="1187" spans="1:48" ht="24" x14ac:dyDescent="0.2">
      <c r="A1187" s="1" t="s">
        <v>5801</v>
      </c>
      <c r="B1187" s="1" t="s">
        <v>5828</v>
      </c>
      <c r="C1187" s="1" t="s">
        <v>5777</v>
      </c>
      <c r="D1187" s="48">
        <v>9</v>
      </c>
      <c r="E1187" s="1">
        <v>3</v>
      </c>
      <c r="F1187" s="1" t="s">
        <v>7746</v>
      </c>
      <c r="G1187" s="1" t="s">
        <v>5787</v>
      </c>
      <c r="I1187" s="1" t="s">
        <v>82</v>
      </c>
      <c r="L1187" s="2" t="s">
        <v>5774</v>
      </c>
      <c r="V1187" s="4" t="s">
        <v>5789</v>
      </c>
      <c r="W1187" s="4" t="s">
        <v>5791</v>
      </c>
      <c r="AL1187" s="60" t="s">
        <v>30</v>
      </c>
    </row>
    <row r="1188" spans="1:48" ht="96" x14ac:dyDescent="0.2">
      <c r="A1188" s="119" t="s">
        <v>10413</v>
      </c>
      <c r="B1188" s="119" t="s">
        <v>10415</v>
      </c>
      <c r="C1188" s="119" t="s">
        <v>5738</v>
      </c>
      <c r="D1188" s="119">
        <v>1</v>
      </c>
      <c r="E1188" s="119">
        <v>1</v>
      </c>
      <c r="F1188" s="119" t="s">
        <v>10500</v>
      </c>
      <c r="G1188" s="119" t="s">
        <v>4958</v>
      </c>
      <c r="I1188" s="1" t="s">
        <v>768</v>
      </c>
      <c r="K1188" s="4"/>
      <c r="L1188" s="4"/>
      <c r="N1188" s="54" t="s">
        <v>9529</v>
      </c>
      <c r="V1188" s="4" t="s">
        <v>769</v>
      </c>
      <c r="X1188" s="1" t="s">
        <v>279</v>
      </c>
      <c r="Y1188" s="1" t="s">
        <v>4958</v>
      </c>
      <c r="AA1188" s="1" t="s">
        <v>768</v>
      </c>
      <c r="AF1188" s="54" t="s">
        <v>9530</v>
      </c>
      <c r="AN1188" s="4" t="s">
        <v>10501</v>
      </c>
      <c r="AP1188" s="1"/>
    </row>
    <row r="1189" spans="1:48" ht="48" x14ac:dyDescent="0.2">
      <c r="A1189" s="1" t="s">
        <v>10413</v>
      </c>
      <c r="B1189" s="1" t="s">
        <v>10416</v>
      </c>
      <c r="C1189" s="1" t="s">
        <v>5738</v>
      </c>
      <c r="D1189" s="1">
        <v>2</v>
      </c>
      <c r="E1189" s="1">
        <v>3</v>
      </c>
      <c r="F1189" s="1" t="s">
        <v>10500</v>
      </c>
      <c r="G1189" s="1" t="s">
        <v>10417</v>
      </c>
      <c r="I1189" s="1" t="s">
        <v>94</v>
      </c>
      <c r="K1189" s="4" t="s">
        <v>10418</v>
      </c>
      <c r="L1189" s="4" t="s">
        <v>3261</v>
      </c>
      <c r="N1189" s="54">
        <v>20</v>
      </c>
      <c r="O1189" s="55">
        <v>2</v>
      </c>
      <c r="Q1189" s="57">
        <v>3</v>
      </c>
      <c r="R1189" s="58">
        <v>2</v>
      </c>
      <c r="S1189" s="59">
        <v>4</v>
      </c>
      <c r="V1189" s="4" t="s">
        <v>10419</v>
      </c>
      <c r="AP1189" s="1"/>
    </row>
    <row r="1190" spans="1:48" ht="24" x14ac:dyDescent="0.2">
      <c r="A1190" s="1" t="s">
        <v>10413</v>
      </c>
      <c r="B1190" s="1" t="s">
        <v>10420</v>
      </c>
      <c r="C1190" s="1" t="s">
        <v>5738</v>
      </c>
      <c r="D1190" s="1">
        <v>3</v>
      </c>
      <c r="E1190" s="1">
        <v>4</v>
      </c>
      <c r="F1190" s="1" t="s">
        <v>10500</v>
      </c>
      <c r="G1190" s="1" t="s">
        <v>10421</v>
      </c>
      <c r="I1190" s="1" t="s">
        <v>94</v>
      </c>
      <c r="K1190" s="4" t="s">
        <v>944</v>
      </c>
      <c r="L1190" s="4"/>
      <c r="N1190" s="54">
        <v>28</v>
      </c>
      <c r="O1190" s="55">
        <v>2</v>
      </c>
      <c r="Q1190" s="57">
        <v>3</v>
      </c>
      <c r="R1190" s="58">
        <v>3</v>
      </c>
      <c r="S1190" s="59">
        <v>6</v>
      </c>
      <c r="V1190" s="4" t="s">
        <v>10422</v>
      </c>
      <c r="W1190" s="4" t="s">
        <v>10423</v>
      </c>
      <c r="AP1190" s="1"/>
    </row>
    <row r="1191" spans="1:48" ht="60" x14ac:dyDescent="0.2">
      <c r="A1191" s="1" t="s">
        <v>10413</v>
      </c>
      <c r="B1191" s="1" t="s">
        <v>10424</v>
      </c>
      <c r="C1191" s="1" t="s">
        <v>5738</v>
      </c>
      <c r="D1191" s="1">
        <v>4</v>
      </c>
      <c r="E1191" s="1">
        <v>3</v>
      </c>
      <c r="F1191" s="1" t="s">
        <v>10500</v>
      </c>
      <c r="G1191" s="1" t="s">
        <v>10425</v>
      </c>
      <c r="I1191" s="1" t="s">
        <v>94</v>
      </c>
      <c r="K1191" s="4" t="s">
        <v>10426</v>
      </c>
      <c r="L1191" s="4"/>
      <c r="N1191" s="54">
        <v>42</v>
      </c>
      <c r="O1191" s="55">
        <v>4</v>
      </c>
      <c r="Q1191" s="57">
        <v>6</v>
      </c>
      <c r="R1191" s="58">
        <v>4</v>
      </c>
      <c r="S1191" s="59">
        <v>10</v>
      </c>
      <c r="U1191" s="1">
        <v>1</v>
      </c>
      <c r="V1191" s="4" t="s">
        <v>10427</v>
      </c>
      <c r="AP1191" s="1"/>
    </row>
    <row r="1192" spans="1:48" ht="48" x14ac:dyDescent="0.2">
      <c r="A1192" s="1" t="s">
        <v>10413</v>
      </c>
      <c r="B1192" s="1" t="s">
        <v>10428</v>
      </c>
      <c r="C1192" s="1" t="s">
        <v>5738</v>
      </c>
      <c r="D1192" s="1">
        <v>5</v>
      </c>
      <c r="E1192" s="1">
        <v>3</v>
      </c>
      <c r="F1192" s="1" t="s">
        <v>10500</v>
      </c>
      <c r="G1192" s="1" t="s">
        <v>10429</v>
      </c>
      <c r="I1192" s="1" t="s">
        <v>104</v>
      </c>
      <c r="K1192" s="4" t="s">
        <v>4970</v>
      </c>
      <c r="L1192" s="4"/>
      <c r="O1192" s="55" t="s">
        <v>113</v>
      </c>
      <c r="T1192" s="60">
        <v>6</v>
      </c>
      <c r="V1192" s="4" t="s">
        <v>10430</v>
      </c>
      <c r="W1192" s="4" t="s">
        <v>10502</v>
      </c>
      <c r="AP1192" s="1"/>
    </row>
    <row r="1193" spans="1:48" ht="24" x14ac:dyDescent="0.2">
      <c r="A1193" s="1" t="s">
        <v>10413</v>
      </c>
      <c r="B1193" s="1" t="s">
        <v>10431</v>
      </c>
      <c r="C1193" s="1" t="s">
        <v>5738</v>
      </c>
      <c r="D1193" s="1">
        <v>6</v>
      </c>
      <c r="E1193" s="1">
        <v>3</v>
      </c>
      <c r="F1193" s="1" t="s">
        <v>10500</v>
      </c>
      <c r="G1193" s="1" t="s">
        <v>10432</v>
      </c>
      <c r="I1193" s="1" t="s">
        <v>104</v>
      </c>
      <c r="K1193" s="4" t="s">
        <v>10433</v>
      </c>
      <c r="L1193" s="4"/>
      <c r="O1193" s="55">
        <v>3</v>
      </c>
      <c r="T1193" s="60">
        <v>3</v>
      </c>
      <c r="V1193" s="4" t="s">
        <v>10434</v>
      </c>
      <c r="W1193" s="4" t="s">
        <v>10502</v>
      </c>
      <c r="AP1193" s="1"/>
    </row>
    <row r="1194" spans="1:48" ht="84" x14ac:dyDescent="0.2">
      <c r="A1194" s="1" t="s">
        <v>10413</v>
      </c>
      <c r="B1194" s="1" t="s">
        <v>10435</v>
      </c>
      <c r="C1194" s="1" t="s">
        <v>5738</v>
      </c>
      <c r="D1194" s="1">
        <v>7</v>
      </c>
      <c r="E1194" s="1">
        <v>2</v>
      </c>
      <c r="F1194" s="1" t="s">
        <v>10500</v>
      </c>
      <c r="G1194" s="1" t="s">
        <v>10436</v>
      </c>
      <c r="I1194" s="1" t="s">
        <v>82</v>
      </c>
      <c r="K1194" s="4" t="s">
        <v>4986</v>
      </c>
      <c r="L1194" s="4"/>
      <c r="V1194" s="4" t="s">
        <v>10509</v>
      </c>
      <c r="AP1194" s="1"/>
    </row>
    <row r="1195" spans="1:48" ht="48" x14ac:dyDescent="0.2">
      <c r="A1195" s="1" t="s">
        <v>10413</v>
      </c>
      <c r="B1195" s="1" t="s">
        <v>10437</v>
      </c>
      <c r="C1195" s="1" t="s">
        <v>5738</v>
      </c>
      <c r="D1195" s="1">
        <v>8</v>
      </c>
      <c r="E1195" s="1">
        <v>2</v>
      </c>
      <c r="F1195" s="1" t="s">
        <v>10500</v>
      </c>
      <c r="G1195" s="1" t="s">
        <v>10438</v>
      </c>
      <c r="I1195" s="1" t="s">
        <v>82</v>
      </c>
      <c r="K1195" s="4"/>
      <c r="L1195" s="4"/>
      <c r="V1195" s="4" t="s">
        <v>10439</v>
      </c>
      <c r="AP1195" s="1"/>
      <c r="AU1195" s="1" t="s">
        <v>6241</v>
      </c>
    </row>
    <row r="1196" spans="1:48" ht="60" x14ac:dyDescent="0.2">
      <c r="A1196" s="111" t="s">
        <v>10413</v>
      </c>
      <c r="B1196" s="111" t="s">
        <v>10440</v>
      </c>
      <c r="C1196" s="111" t="s">
        <v>5743</v>
      </c>
      <c r="D1196" s="111">
        <v>1</v>
      </c>
      <c r="E1196" s="111">
        <v>1</v>
      </c>
      <c r="F1196" s="111" t="s">
        <v>10441</v>
      </c>
      <c r="G1196" s="111" t="s">
        <v>2997</v>
      </c>
      <c r="I1196" s="1" t="s">
        <v>768</v>
      </c>
      <c r="K1196" s="4"/>
      <c r="L1196" s="4"/>
      <c r="N1196" s="54" t="s">
        <v>9529</v>
      </c>
      <c r="V1196" s="4" t="s">
        <v>769</v>
      </c>
      <c r="X1196" s="1" t="s">
        <v>1681</v>
      </c>
      <c r="Y1196" s="1" t="s">
        <v>2997</v>
      </c>
      <c r="AA1196" s="1" t="s">
        <v>768</v>
      </c>
      <c r="AF1196" s="54" t="s">
        <v>9530</v>
      </c>
      <c r="AN1196" s="4" t="s">
        <v>10503</v>
      </c>
      <c r="AP1196" s="1"/>
    </row>
    <row r="1197" spans="1:48" ht="96" x14ac:dyDescent="0.2">
      <c r="A1197" s="1" t="s">
        <v>10413</v>
      </c>
      <c r="B1197" s="1" t="s">
        <v>10442</v>
      </c>
      <c r="C1197" s="1" t="s">
        <v>5743</v>
      </c>
      <c r="D1197" s="1">
        <v>2</v>
      </c>
      <c r="E1197" s="1">
        <v>1</v>
      </c>
      <c r="F1197" s="1" t="s">
        <v>10441</v>
      </c>
      <c r="G1197" s="1" t="s">
        <v>10443</v>
      </c>
      <c r="I1197" s="1" t="s">
        <v>125</v>
      </c>
      <c r="K1197" s="4"/>
      <c r="L1197" s="4"/>
      <c r="M1197" s="18">
        <v>2</v>
      </c>
      <c r="N1197" s="54" t="s">
        <v>9529</v>
      </c>
      <c r="V1197" s="4" t="s">
        <v>10444</v>
      </c>
      <c r="Y1197" s="1" t="s">
        <v>10443</v>
      </c>
      <c r="AA1197" s="1" t="s">
        <v>125</v>
      </c>
      <c r="AE1197" s="1">
        <v>2</v>
      </c>
      <c r="AF1197" s="54" t="s">
        <v>9530</v>
      </c>
      <c r="AL1197" s="60">
        <v>12</v>
      </c>
      <c r="AN1197" s="4" t="s">
        <v>10504</v>
      </c>
      <c r="AP1197" s="1"/>
      <c r="AU1197" s="1" t="s">
        <v>6242</v>
      </c>
      <c r="AV1197" s="1" t="s">
        <v>6243</v>
      </c>
    </row>
    <row r="1198" spans="1:48" ht="24" x14ac:dyDescent="0.2">
      <c r="A1198" s="1" t="s">
        <v>10413</v>
      </c>
      <c r="B1198" s="1" t="s">
        <v>10445</v>
      </c>
      <c r="C1198" s="1" t="s">
        <v>5743</v>
      </c>
      <c r="D1198" s="1">
        <v>3</v>
      </c>
      <c r="E1198" s="1">
        <v>3</v>
      </c>
      <c r="F1198" s="1" t="s">
        <v>10441</v>
      </c>
      <c r="G1198" s="1" t="s">
        <v>10446</v>
      </c>
      <c r="I1198" s="1" t="s">
        <v>94</v>
      </c>
      <c r="K1198" s="4" t="s">
        <v>2690</v>
      </c>
      <c r="L1198" s="4" t="s">
        <v>3025</v>
      </c>
      <c r="N1198" s="54">
        <v>5</v>
      </c>
      <c r="O1198" s="55">
        <v>3</v>
      </c>
      <c r="Q1198" s="57">
        <v>5</v>
      </c>
      <c r="R1198" s="58">
        <v>3</v>
      </c>
      <c r="S1198" s="59">
        <v>5</v>
      </c>
      <c r="V1198" s="4" t="s">
        <v>10447</v>
      </c>
      <c r="W1198" s="4" t="s">
        <v>10448</v>
      </c>
      <c r="AP1198" s="1"/>
    </row>
    <row r="1199" spans="1:48" ht="24" x14ac:dyDescent="0.2">
      <c r="A1199" s="1" t="s">
        <v>10413</v>
      </c>
      <c r="B1199" s="1" t="s">
        <v>10449</v>
      </c>
      <c r="C1199" s="1" t="s">
        <v>5743</v>
      </c>
      <c r="D1199" s="1">
        <v>4</v>
      </c>
      <c r="E1199" s="1">
        <v>3</v>
      </c>
      <c r="F1199" s="1" t="s">
        <v>10441</v>
      </c>
      <c r="G1199" s="1" t="s">
        <v>10450</v>
      </c>
      <c r="I1199" s="1" t="s">
        <v>94</v>
      </c>
      <c r="K1199" s="4" t="s">
        <v>604</v>
      </c>
      <c r="L1199" s="4" t="s">
        <v>3025</v>
      </c>
      <c r="N1199" s="54">
        <v>30</v>
      </c>
      <c r="O1199" s="55">
        <v>3</v>
      </c>
      <c r="Q1199" s="57">
        <v>3</v>
      </c>
      <c r="R1199" s="58">
        <v>2</v>
      </c>
      <c r="S1199" s="59">
        <v>3</v>
      </c>
      <c r="V1199" s="4" t="s">
        <v>10451</v>
      </c>
      <c r="W1199" s="4" t="s">
        <v>10452</v>
      </c>
      <c r="AP1199" s="1"/>
    </row>
    <row r="1200" spans="1:48" ht="48" x14ac:dyDescent="0.2">
      <c r="A1200" s="1" t="s">
        <v>10413</v>
      </c>
      <c r="B1200" s="1" t="s">
        <v>10453</v>
      </c>
      <c r="C1200" s="1" t="s">
        <v>5743</v>
      </c>
      <c r="D1200" s="1">
        <v>5</v>
      </c>
      <c r="E1200" s="1">
        <v>2</v>
      </c>
      <c r="F1200" s="1" t="s">
        <v>10441</v>
      </c>
      <c r="G1200" s="1" t="s">
        <v>10454</v>
      </c>
      <c r="I1200" s="1" t="s">
        <v>94</v>
      </c>
      <c r="K1200" s="4" t="s">
        <v>10455</v>
      </c>
      <c r="L1200" s="4" t="s">
        <v>3025</v>
      </c>
      <c r="N1200" s="54">
        <v>34</v>
      </c>
      <c r="O1200" s="55">
        <v>2</v>
      </c>
      <c r="Q1200" s="57">
        <v>5</v>
      </c>
      <c r="R1200" s="58">
        <v>1</v>
      </c>
      <c r="S1200" s="59">
        <v>7</v>
      </c>
      <c r="V1200" s="4" t="s">
        <v>10456</v>
      </c>
      <c r="AP1200" s="1"/>
    </row>
    <row r="1201" spans="1:48" ht="36" x14ac:dyDescent="0.2">
      <c r="A1201" s="1" t="s">
        <v>10413</v>
      </c>
      <c r="B1201" s="1" t="s">
        <v>10457</v>
      </c>
      <c r="C1201" s="1" t="s">
        <v>5743</v>
      </c>
      <c r="D1201" s="1">
        <v>6</v>
      </c>
      <c r="E1201" s="1">
        <v>2</v>
      </c>
      <c r="F1201" s="1" t="s">
        <v>10441</v>
      </c>
      <c r="G1201" s="1" t="s">
        <v>10458</v>
      </c>
      <c r="I1201" s="1" t="s">
        <v>94</v>
      </c>
      <c r="K1201" s="4" t="s">
        <v>604</v>
      </c>
      <c r="L1201" s="4" t="s">
        <v>155</v>
      </c>
      <c r="N1201" s="54">
        <v>16</v>
      </c>
      <c r="O1201" s="55">
        <v>1</v>
      </c>
      <c r="Q1201" s="57">
        <v>3</v>
      </c>
      <c r="R1201" s="58">
        <v>2</v>
      </c>
      <c r="S1201" s="59">
        <v>5</v>
      </c>
      <c r="V1201" s="4" t="s">
        <v>10459</v>
      </c>
      <c r="AP1201" s="1"/>
    </row>
    <row r="1202" spans="1:48" ht="24" x14ac:dyDescent="0.2">
      <c r="A1202" s="1" t="s">
        <v>10413</v>
      </c>
      <c r="B1202" s="1" t="s">
        <v>10460</v>
      </c>
      <c r="C1202" s="1" t="s">
        <v>5743</v>
      </c>
      <c r="D1202" s="1">
        <v>7</v>
      </c>
      <c r="E1202" s="1">
        <v>3</v>
      </c>
      <c r="F1202" s="1" t="s">
        <v>10441</v>
      </c>
      <c r="G1202" s="1" t="s">
        <v>10461</v>
      </c>
      <c r="I1202" s="1" t="s">
        <v>104</v>
      </c>
      <c r="K1202" s="4" t="s">
        <v>1217</v>
      </c>
      <c r="L1202" s="4"/>
      <c r="O1202" s="55">
        <v>1</v>
      </c>
      <c r="T1202" s="60">
        <v>7</v>
      </c>
      <c r="V1202" s="4" t="s">
        <v>10462</v>
      </c>
      <c r="W1202" s="4" t="s">
        <v>10463</v>
      </c>
      <c r="AP1202" s="1"/>
      <c r="AU1202" s="1" t="s">
        <v>6244</v>
      </c>
    </row>
    <row r="1203" spans="1:48" ht="36" x14ac:dyDescent="0.2">
      <c r="A1203" s="1" t="s">
        <v>10413</v>
      </c>
      <c r="B1203" s="1" t="s">
        <v>10464</v>
      </c>
      <c r="C1203" s="1" t="s">
        <v>5743</v>
      </c>
      <c r="D1203" s="1">
        <v>8</v>
      </c>
      <c r="E1203" s="1">
        <v>3</v>
      </c>
      <c r="F1203" s="1" t="s">
        <v>10441</v>
      </c>
      <c r="G1203" s="1" t="s">
        <v>10465</v>
      </c>
      <c r="I1203" s="1" t="s">
        <v>104</v>
      </c>
      <c r="K1203" s="4" t="s">
        <v>105</v>
      </c>
      <c r="L1203" s="4"/>
      <c r="O1203" s="55">
        <v>4</v>
      </c>
      <c r="T1203" s="60">
        <v>4</v>
      </c>
      <c r="V1203" s="4" t="s">
        <v>10466</v>
      </c>
      <c r="W1203" s="4" t="s">
        <v>10467</v>
      </c>
      <c r="AP1203" s="1"/>
      <c r="AU1203" s="1" t="s">
        <v>6245</v>
      </c>
    </row>
    <row r="1204" spans="1:48" ht="60" x14ac:dyDescent="0.2">
      <c r="A1204" s="1" t="s">
        <v>10413</v>
      </c>
      <c r="B1204" s="1" t="s">
        <v>10468</v>
      </c>
      <c r="C1204" s="1" t="s">
        <v>5743</v>
      </c>
      <c r="D1204" s="1">
        <v>9</v>
      </c>
      <c r="E1204" s="1">
        <v>2</v>
      </c>
      <c r="F1204" s="1" t="s">
        <v>10441</v>
      </c>
      <c r="G1204" s="1" t="s">
        <v>10469</v>
      </c>
      <c r="I1204" s="1" t="s">
        <v>82</v>
      </c>
      <c r="K1204" s="4"/>
      <c r="L1204" s="4"/>
      <c r="V1204" s="4" t="s">
        <v>10470</v>
      </c>
      <c r="AP1204" s="1"/>
    </row>
    <row r="1205" spans="1:48" ht="108" x14ac:dyDescent="0.2">
      <c r="A1205" s="111" t="s">
        <v>10413</v>
      </c>
      <c r="B1205" s="111" t="s">
        <v>10471</v>
      </c>
      <c r="C1205" s="111" t="s">
        <v>5744</v>
      </c>
      <c r="D1205" s="111">
        <v>1</v>
      </c>
      <c r="E1205" s="111">
        <v>1</v>
      </c>
      <c r="F1205" s="111" t="s">
        <v>10472</v>
      </c>
      <c r="G1205" s="111" t="s">
        <v>5248</v>
      </c>
      <c r="I1205" s="1" t="s">
        <v>768</v>
      </c>
      <c r="K1205" s="4"/>
      <c r="L1205" s="4"/>
      <c r="N1205" s="54" t="s">
        <v>9529</v>
      </c>
      <c r="V1205" s="4" t="s">
        <v>10608</v>
      </c>
      <c r="X1205" s="1" t="s">
        <v>1672</v>
      </c>
      <c r="Y1205" s="1" t="s">
        <v>5248</v>
      </c>
      <c r="AA1205" s="1" t="s">
        <v>768</v>
      </c>
      <c r="AF1205" s="54" t="s">
        <v>9530</v>
      </c>
      <c r="AN1205" s="4" t="s">
        <v>10473</v>
      </c>
      <c r="AP1205" s="1"/>
    </row>
    <row r="1206" spans="1:48" ht="60" x14ac:dyDescent="0.2">
      <c r="A1206" s="1" t="s">
        <v>10413</v>
      </c>
      <c r="B1206" s="1" t="s">
        <v>10474</v>
      </c>
      <c r="C1206" s="1" t="s">
        <v>5744</v>
      </c>
      <c r="D1206" s="1">
        <v>2</v>
      </c>
      <c r="E1206" s="1">
        <v>1</v>
      </c>
      <c r="F1206" s="1" t="s">
        <v>10472</v>
      </c>
      <c r="G1206" s="1" t="s">
        <v>5302</v>
      </c>
      <c r="H1206" s="1" t="s">
        <v>26</v>
      </c>
      <c r="I1206" s="1" t="s">
        <v>94</v>
      </c>
      <c r="K1206" s="4" t="s">
        <v>10475</v>
      </c>
      <c r="L1206" s="4"/>
      <c r="N1206" s="54">
        <v>50</v>
      </c>
      <c r="O1206" s="55">
        <v>4</v>
      </c>
      <c r="Q1206" s="57">
        <v>7</v>
      </c>
      <c r="R1206" s="58">
        <v>7</v>
      </c>
      <c r="S1206" s="59">
        <v>21</v>
      </c>
      <c r="U1206" s="1">
        <v>3</v>
      </c>
      <c r="V1206" s="4" t="s">
        <v>10476</v>
      </c>
      <c r="AP1206" s="1"/>
      <c r="AU1206" s="1" t="s">
        <v>6246</v>
      </c>
    </row>
    <row r="1207" spans="1:48" ht="60" x14ac:dyDescent="0.2">
      <c r="A1207" s="1" t="s">
        <v>10413</v>
      </c>
      <c r="B1207" s="1" t="s">
        <v>10477</v>
      </c>
      <c r="C1207" s="1" t="s">
        <v>5744</v>
      </c>
      <c r="D1207" s="1">
        <v>3</v>
      </c>
      <c r="E1207" s="1">
        <v>3</v>
      </c>
      <c r="F1207" s="1" t="s">
        <v>10472</v>
      </c>
      <c r="G1207" s="1" t="s">
        <v>10478</v>
      </c>
      <c r="I1207" s="1" t="s">
        <v>94</v>
      </c>
      <c r="K1207" s="4" t="s">
        <v>5257</v>
      </c>
      <c r="L1207" s="4"/>
      <c r="N1207" s="54">
        <v>46</v>
      </c>
      <c r="O1207" s="55">
        <v>4</v>
      </c>
      <c r="Q1207" s="57">
        <v>4</v>
      </c>
      <c r="R1207" s="58">
        <v>0</v>
      </c>
      <c r="S1207" s="59">
        <v>3</v>
      </c>
      <c r="V1207" s="4" t="s">
        <v>10479</v>
      </c>
      <c r="AP1207" s="1"/>
    </row>
    <row r="1208" spans="1:48" ht="60" x14ac:dyDescent="0.2">
      <c r="A1208" s="1" t="s">
        <v>10413</v>
      </c>
      <c r="B1208" s="1" t="s">
        <v>10480</v>
      </c>
      <c r="C1208" s="1" t="s">
        <v>5744</v>
      </c>
      <c r="D1208" s="1">
        <v>4</v>
      </c>
      <c r="E1208" s="1">
        <v>4</v>
      </c>
      <c r="F1208" s="1" t="s">
        <v>10472</v>
      </c>
      <c r="G1208" s="1" t="s">
        <v>10481</v>
      </c>
      <c r="I1208" s="1" t="s">
        <v>94</v>
      </c>
      <c r="K1208" s="4" t="s">
        <v>5257</v>
      </c>
      <c r="L1208" s="4"/>
      <c r="N1208" s="54">
        <v>10</v>
      </c>
      <c r="O1208" s="55">
        <v>2</v>
      </c>
      <c r="Q1208" s="57">
        <v>5</v>
      </c>
      <c r="R1208" s="58">
        <v>1</v>
      </c>
      <c r="S1208" s="59">
        <v>4</v>
      </c>
      <c r="V1208" s="4" t="s">
        <v>10482</v>
      </c>
      <c r="AP1208" s="1"/>
    </row>
    <row r="1209" spans="1:48" ht="24" x14ac:dyDescent="0.2">
      <c r="A1209" s="1" t="s">
        <v>10413</v>
      </c>
      <c r="B1209" s="1" t="s">
        <v>10483</v>
      </c>
      <c r="C1209" s="1" t="s">
        <v>5744</v>
      </c>
      <c r="D1209" s="1">
        <v>5</v>
      </c>
      <c r="E1209" s="1">
        <v>3</v>
      </c>
      <c r="F1209" s="1" t="s">
        <v>10472</v>
      </c>
      <c r="G1209" s="1" t="s">
        <v>10484</v>
      </c>
      <c r="I1209" s="1" t="s">
        <v>104</v>
      </c>
      <c r="K1209" s="4" t="s">
        <v>10485</v>
      </c>
      <c r="L1209" s="4"/>
      <c r="O1209" s="55">
        <v>3</v>
      </c>
      <c r="T1209" s="60">
        <v>3</v>
      </c>
      <c r="V1209" s="4" t="s">
        <v>10597</v>
      </c>
      <c r="W1209" s="4" t="s">
        <v>10486</v>
      </c>
      <c r="AP1209" s="1"/>
      <c r="AS1209" s="1" t="s">
        <v>6247</v>
      </c>
      <c r="AU1209" s="1" t="s">
        <v>6248</v>
      </c>
      <c r="AV1209" s="1" t="s">
        <v>6249</v>
      </c>
    </row>
    <row r="1210" spans="1:48" ht="60" x14ac:dyDescent="0.2">
      <c r="A1210" s="1" t="s">
        <v>10413</v>
      </c>
      <c r="B1210" s="1" t="s">
        <v>10487</v>
      </c>
      <c r="C1210" s="1" t="s">
        <v>5744</v>
      </c>
      <c r="D1210" s="1">
        <v>6</v>
      </c>
      <c r="E1210" s="1">
        <v>3</v>
      </c>
      <c r="F1210" s="1" t="s">
        <v>10472</v>
      </c>
      <c r="G1210" s="1" t="s">
        <v>10488</v>
      </c>
      <c r="I1210" s="1" t="s">
        <v>104</v>
      </c>
      <c r="K1210" s="4" t="s">
        <v>5271</v>
      </c>
      <c r="L1210" s="4"/>
      <c r="O1210" s="55">
        <v>3</v>
      </c>
      <c r="T1210" s="60">
        <v>5</v>
      </c>
      <c r="V1210" s="4" t="s">
        <v>10489</v>
      </c>
      <c r="AP1210" s="1"/>
    </row>
    <row r="1211" spans="1:48" ht="36" x14ac:dyDescent="0.2">
      <c r="A1211" s="1" t="s">
        <v>10413</v>
      </c>
      <c r="B1211" s="1" t="s">
        <v>10490</v>
      </c>
      <c r="C1211" s="1" t="s">
        <v>5744</v>
      </c>
      <c r="D1211" s="1">
        <v>7</v>
      </c>
      <c r="E1211" s="1">
        <v>2</v>
      </c>
      <c r="F1211" s="1" t="s">
        <v>10472</v>
      </c>
      <c r="G1211" s="1" t="s">
        <v>10491</v>
      </c>
      <c r="I1211" s="1" t="s">
        <v>82</v>
      </c>
      <c r="K1211" s="4"/>
      <c r="L1211" s="4"/>
      <c r="V1211" s="4" t="s">
        <v>10492</v>
      </c>
      <c r="W1211" s="4" t="s">
        <v>10493</v>
      </c>
      <c r="AP1211" s="1"/>
    </row>
    <row r="1212" spans="1:48" ht="36" x14ac:dyDescent="0.2">
      <c r="A1212" s="1" t="s">
        <v>10413</v>
      </c>
      <c r="B1212" s="1" t="s">
        <v>10494</v>
      </c>
      <c r="C1212" s="1" t="s">
        <v>5744</v>
      </c>
      <c r="D1212" s="1">
        <v>8</v>
      </c>
      <c r="E1212" s="1">
        <v>3</v>
      </c>
      <c r="F1212" s="1" t="s">
        <v>10472</v>
      </c>
      <c r="G1212" s="1" t="s">
        <v>10495</v>
      </c>
      <c r="I1212" s="1" t="s">
        <v>82</v>
      </c>
      <c r="K1212" s="4"/>
      <c r="L1212" s="4" t="s">
        <v>155</v>
      </c>
      <c r="V1212" s="4" t="s">
        <v>10496</v>
      </c>
      <c r="AP1212" s="1"/>
    </row>
    <row r="1213" spans="1:48" ht="60" x14ac:dyDescent="0.2">
      <c r="A1213" s="111" t="s">
        <v>10413</v>
      </c>
      <c r="B1213" s="111" t="s">
        <v>10654</v>
      </c>
      <c r="C1213" s="111" t="s">
        <v>10497</v>
      </c>
      <c r="D1213" s="111">
        <v>1</v>
      </c>
      <c r="E1213" s="111">
        <v>1</v>
      </c>
      <c r="F1213" s="111" t="s">
        <v>10584</v>
      </c>
      <c r="G1213" s="111" t="s">
        <v>4701</v>
      </c>
      <c r="I1213" s="1" t="s">
        <v>768</v>
      </c>
      <c r="K1213" s="4"/>
      <c r="L1213" s="4"/>
      <c r="N1213" s="54" t="s">
        <v>9529</v>
      </c>
      <c r="V1213" s="4" t="s">
        <v>10607</v>
      </c>
      <c r="X1213" s="1" t="s">
        <v>1681</v>
      </c>
      <c r="Y1213" s="1" t="s">
        <v>4701</v>
      </c>
      <c r="AA1213" s="1" t="s">
        <v>768</v>
      </c>
      <c r="AF1213" s="54" t="s">
        <v>9530</v>
      </c>
      <c r="AN1213" s="4" t="s">
        <v>10585</v>
      </c>
      <c r="AP1213" s="1"/>
    </row>
    <row r="1214" spans="1:48" ht="60" x14ac:dyDescent="0.2">
      <c r="A1214" s="1" t="s">
        <v>10413</v>
      </c>
      <c r="B1214" s="1" t="s">
        <v>10655</v>
      </c>
      <c r="C1214" s="1" t="s">
        <v>10497</v>
      </c>
      <c r="D1214" s="1">
        <v>2</v>
      </c>
      <c r="E1214" s="1">
        <v>4</v>
      </c>
      <c r="F1214" s="1" t="s">
        <v>10584</v>
      </c>
      <c r="G1214" s="1" t="s">
        <v>10586</v>
      </c>
      <c r="I1214" s="1" t="s">
        <v>94</v>
      </c>
      <c r="K1214" s="4" t="s">
        <v>604</v>
      </c>
      <c r="L1214" s="4"/>
      <c r="N1214" s="54">
        <v>28</v>
      </c>
      <c r="O1214" s="55">
        <v>3</v>
      </c>
      <c r="Q1214" s="57">
        <v>2</v>
      </c>
      <c r="R1214" s="58">
        <v>2</v>
      </c>
      <c r="S1214" s="59">
        <v>3</v>
      </c>
      <c r="U1214" s="1" t="s">
        <v>4702</v>
      </c>
      <c r="V1214" s="4" t="s">
        <v>10587</v>
      </c>
      <c r="AP1214" s="1"/>
    </row>
    <row r="1215" spans="1:48" ht="60" x14ac:dyDescent="0.2">
      <c r="A1215" s="1" t="s">
        <v>10413</v>
      </c>
      <c r="B1215" s="1" t="s">
        <v>10656</v>
      </c>
      <c r="C1215" s="1" t="s">
        <v>10497</v>
      </c>
      <c r="D1215" s="1">
        <v>3</v>
      </c>
      <c r="E1215" s="1">
        <v>3</v>
      </c>
      <c r="F1215" s="1" t="s">
        <v>10584</v>
      </c>
      <c r="G1215" s="1" t="s">
        <v>10588</v>
      </c>
      <c r="I1215" s="1" t="s">
        <v>94</v>
      </c>
      <c r="K1215" s="4" t="s">
        <v>10589</v>
      </c>
      <c r="L1215" s="4"/>
      <c r="N1215" s="54">
        <v>42</v>
      </c>
      <c r="O1215" s="55">
        <v>4</v>
      </c>
      <c r="Q1215" s="57">
        <v>5</v>
      </c>
      <c r="R1215" s="58">
        <v>3</v>
      </c>
      <c r="S1215" s="59">
        <v>6</v>
      </c>
      <c r="U1215" s="1" t="s">
        <v>4702</v>
      </c>
      <c r="V1215" s="4" t="s">
        <v>10590</v>
      </c>
      <c r="AP1215" s="1"/>
    </row>
    <row r="1216" spans="1:48" ht="24" x14ac:dyDescent="0.2">
      <c r="A1216" s="1" t="s">
        <v>10413</v>
      </c>
      <c r="B1216" s="1" t="s">
        <v>10657</v>
      </c>
      <c r="C1216" s="1" t="s">
        <v>10497</v>
      </c>
      <c r="D1216" s="1">
        <v>4</v>
      </c>
      <c r="E1216" s="1">
        <v>2</v>
      </c>
      <c r="F1216" s="1" t="s">
        <v>10584</v>
      </c>
      <c r="G1216" s="1" t="s">
        <v>10591</v>
      </c>
      <c r="I1216" s="1" t="s">
        <v>94</v>
      </c>
      <c r="K1216" s="4" t="s">
        <v>2266</v>
      </c>
      <c r="L1216" s="4"/>
      <c r="N1216" s="54">
        <v>12</v>
      </c>
      <c r="O1216" s="55">
        <v>2</v>
      </c>
      <c r="Q1216" s="57">
        <v>4</v>
      </c>
      <c r="R1216" s="58">
        <v>2</v>
      </c>
      <c r="S1216" s="59">
        <v>5</v>
      </c>
      <c r="V1216" s="4" t="s">
        <v>10592</v>
      </c>
      <c r="W1216" s="4" t="s">
        <v>10593</v>
      </c>
      <c r="AP1216" s="1"/>
    </row>
    <row r="1217" spans="1:47" ht="36" x14ac:dyDescent="0.2">
      <c r="A1217" s="1" t="s">
        <v>10413</v>
      </c>
      <c r="B1217" s="1" t="s">
        <v>10658</v>
      </c>
      <c r="C1217" s="1" t="s">
        <v>10497</v>
      </c>
      <c r="D1217" s="1">
        <v>5</v>
      </c>
      <c r="E1217" s="1">
        <v>2</v>
      </c>
      <c r="F1217" s="1" t="s">
        <v>10584</v>
      </c>
      <c r="G1217" s="1" t="s">
        <v>10594</v>
      </c>
      <c r="I1217" s="1" t="s">
        <v>104</v>
      </c>
      <c r="K1217" s="4" t="s">
        <v>1112</v>
      </c>
      <c r="L1217" s="4"/>
      <c r="O1217" s="55">
        <v>5</v>
      </c>
      <c r="T1217" s="60">
        <v>4</v>
      </c>
      <c r="V1217" s="4" t="s">
        <v>10595</v>
      </c>
      <c r="W1217" s="4" t="s">
        <v>10596</v>
      </c>
      <c r="AP1217" s="1"/>
    </row>
    <row r="1218" spans="1:47" ht="24" x14ac:dyDescent="0.2">
      <c r="A1218" s="1" t="s">
        <v>10413</v>
      </c>
      <c r="B1218" s="1" t="s">
        <v>10659</v>
      </c>
      <c r="C1218" s="1" t="s">
        <v>10497</v>
      </c>
      <c r="D1218" s="1">
        <v>6</v>
      </c>
      <c r="E1218" s="1">
        <v>3</v>
      </c>
      <c r="F1218" s="1" t="s">
        <v>10584</v>
      </c>
      <c r="G1218" s="1" t="s">
        <v>10598</v>
      </c>
      <c r="I1218" s="1" t="s">
        <v>104</v>
      </c>
      <c r="K1218" s="4" t="s">
        <v>1592</v>
      </c>
      <c r="L1218" s="4"/>
      <c r="O1218" s="55">
        <v>3</v>
      </c>
      <c r="T1218" s="60">
        <v>6</v>
      </c>
      <c r="V1218" s="4" t="s">
        <v>10599</v>
      </c>
      <c r="W1218" s="4" t="s">
        <v>10600</v>
      </c>
      <c r="AP1218" s="1"/>
    </row>
    <row r="1219" spans="1:47" ht="36" x14ac:dyDescent="0.2">
      <c r="A1219" s="1" t="s">
        <v>10413</v>
      </c>
      <c r="B1219" s="1" t="s">
        <v>10660</v>
      </c>
      <c r="C1219" s="1" t="s">
        <v>10497</v>
      </c>
      <c r="D1219" s="1">
        <v>7</v>
      </c>
      <c r="E1219" s="1">
        <v>3</v>
      </c>
      <c r="F1219" s="1" t="s">
        <v>10584</v>
      </c>
      <c r="G1219" s="1" t="s">
        <v>10601</v>
      </c>
      <c r="I1219" s="1" t="s">
        <v>82</v>
      </c>
      <c r="K1219" s="4"/>
      <c r="L1219" s="4"/>
      <c r="V1219" s="4" t="s">
        <v>10602</v>
      </c>
      <c r="W1219" s="4" t="s">
        <v>10603</v>
      </c>
      <c r="AP1219" s="1"/>
    </row>
    <row r="1220" spans="1:47" ht="36" x14ac:dyDescent="0.2">
      <c r="A1220" s="1" t="s">
        <v>10413</v>
      </c>
      <c r="B1220" s="1" t="s">
        <v>10661</v>
      </c>
      <c r="C1220" s="1" t="s">
        <v>10497</v>
      </c>
      <c r="D1220" s="1">
        <v>8</v>
      </c>
      <c r="E1220" s="1">
        <v>2</v>
      </c>
      <c r="F1220" s="1" t="s">
        <v>10584</v>
      </c>
      <c r="G1220" s="1" t="s">
        <v>10604</v>
      </c>
      <c r="I1220" s="1" t="s">
        <v>82</v>
      </c>
      <c r="K1220" s="4"/>
      <c r="L1220" s="4" t="s">
        <v>155</v>
      </c>
      <c r="V1220" s="4" t="s">
        <v>10605</v>
      </c>
      <c r="W1220" s="4" t="s">
        <v>10606</v>
      </c>
      <c r="AP1220" s="1"/>
    </row>
    <row r="1221" spans="1:47" ht="60" x14ac:dyDescent="0.2">
      <c r="A1221" s="111" t="s">
        <v>10413</v>
      </c>
      <c r="B1221" s="111" t="s">
        <v>10662</v>
      </c>
      <c r="C1221" s="111" t="s">
        <v>10498</v>
      </c>
      <c r="D1221" s="111">
        <v>1</v>
      </c>
      <c r="E1221" s="111">
        <v>1</v>
      </c>
      <c r="F1221" s="111" t="s">
        <v>10609</v>
      </c>
      <c r="G1221" s="111" t="s">
        <v>2309</v>
      </c>
      <c r="I1221" s="1" t="s">
        <v>768</v>
      </c>
      <c r="K1221" s="4"/>
      <c r="L1221" s="4"/>
      <c r="N1221" s="54" t="s">
        <v>9529</v>
      </c>
      <c r="V1221" s="4" t="s">
        <v>10607</v>
      </c>
      <c r="X1221" s="1" t="s">
        <v>1681</v>
      </c>
      <c r="Y1221" s="1" t="s">
        <v>2309</v>
      </c>
      <c r="AA1221" s="1" t="s">
        <v>768</v>
      </c>
      <c r="AF1221" s="54" t="s">
        <v>9530</v>
      </c>
      <c r="AN1221" s="4" t="s">
        <v>10610</v>
      </c>
      <c r="AP1221" s="1"/>
      <c r="AU1221" s="1" t="s">
        <v>6250</v>
      </c>
    </row>
    <row r="1222" spans="1:47" ht="48" x14ac:dyDescent="0.2">
      <c r="A1222" s="1" t="s">
        <v>10413</v>
      </c>
      <c r="B1222" s="50" t="s">
        <v>10663</v>
      </c>
      <c r="C1222" s="1" t="s">
        <v>10498</v>
      </c>
      <c r="D1222" s="1">
        <v>2</v>
      </c>
      <c r="E1222" s="1">
        <v>3</v>
      </c>
      <c r="F1222" s="1" t="s">
        <v>10609</v>
      </c>
      <c r="G1222" s="1" t="s">
        <v>10611</v>
      </c>
      <c r="I1222" s="1" t="s">
        <v>94</v>
      </c>
      <c r="K1222" s="4" t="s">
        <v>604</v>
      </c>
      <c r="L1222" s="4"/>
      <c r="N1222" s="54">
        <v>18</v>
      </c>
      <c r="O1222" s="55">
        <v>2</v>
      </c>
      <c r="Q1222" s="57">
        <v>2</v>
      </c>
      <c r="R1222" s="58">
        <v>2</v>
      </c>
      <c r="S1222" s="59">
        <v>5</v>
      </c>
      <c r="V1222" s="4" t="s">
        <v>10680</v>
      </c>
      <c r="AP1222" s="1"/>
    </row>
    <row r="1223" spans="1:47" ht="72" x14ac:dyDescent="0.2">
      <c r="A1223" s="1" t="s">
        <v>10413</v>
      </c>
      <c r="B1223" s="1" t="s">
        <v>10664</v>
      </c>
      <c r="C1223" s="1" t="s">
        <v>10498</v>
      </c>
      <c r="D1223" s="1">
        <v>3</v>
      </c>
      <c r="E1223" s="1">
        <v>2</v>
      </c>
      <c r="F1223" s="1" t="s">
        <v>10609</v>
      </c>
      <c r="G1223" s="1" t="s">
        <v>10612</v>
      </c>
      <c r="I1223" s="1" t="s">
        <v>94</v>
      </c>
      <c r="K1223" s="4" t="s">
        <v>582</v>
      </c>
      <c r="L1223" s="4"/>
      <c r="N1223" s="54">
        <v>28</v>
      </c>
      <c r="O1223" s="55">
        <v>3</v>
      </c>
      <c r="Q1223" s="57">
        <v>3</v>
      </c>
      <c r="R1223" s="58">
        <v>5</v>
      </c>
      <c r="S1223" s="59">
        <v>4</v>
      </c>
      <c r="V1223" s="4" t="s">
        <v>10613</v>
      </c>
      <c r="AP1223" s="1"/>
    </row>
    <row r="1224" spans="1:47" ht="60" x14ac:dyDescent="0.2">
      <c r="A1224" s="1" t="s">
        <v>10413</v>
      </c>
      <c r="B1224" s="1" t="s">
        <v>10665</v>
      </c>
      <c r="C1224" s="1" t="s">
        <v>10498</v>
      </c>
      <c r="D1224" s="1">
        <v>4</v>
      </c>
      <c r="E1224" s="1">
        <v>3</v>
      </c>
      <c r="F1224" s="1" t="s">
        <v>10609</v>
      </c>
      <c r="G1224" s="1" t="s">
        <v>10614</v>
      </c>
      <c r="I1224" s="1" t="s">
        <v>94</v>
      </c>
      <c r="K1224" s="4" t="s">
        <v>2338</v>
      </c>
      <c r="L1224" s="4"/>
      <c r="N1224" s="54">
        <v>15</v>
      </c>
      <c r="O1224" s="55">
        <v>5</v>
      </c>
      <c r="Q1224" s="57" t="s">
        <v>113</v>
      </c>
      <c r="R1224" s="58">
        <v>5</v>
      </c>
      <c r="S1224" s="59" t="s">
        <v>113</v>
      </c>
      <c r="V1224" s="4" t="s">
        <v>10615</v>
      </c>
      <c r="AP1224" s="1"/>
    </row>
    <row r="1225" spans="1:47" ht="72" x14ac:dyDescent="0.2">
      <c r="A1225" s="1" t="s">
        <v>10413</v>
      </c>
      <c r="B1225" s="1" t="s">
        <v>10666</v>
      </c>
      <c r="C1225" s="1" t="s">
        <v>10498</v>
      </c>
      <c r="D1225" s="1">
        <v>5</v>
      </c>
      <c r="E1225" s="1">
        <v>2</v>
      </c>
      <c r="F1225" s="1" t="s">
        <v>10609</v>
      </c>
      <c r="G1225" s="1" t="s">
        <v>10616</v>
      </c>
      <c r="I1225" s="1" t="s">
        <v>94</v>
      </c>
      <c r="K1225" s="4" t="s">
        <v>2338</v>
      </c>
      <c r="L1225" s="4"/>
      <c r="N1225" s="54">
        <v>45</v>
      </c>
      <c r="O1225" s="55">
        <v>6</v>
      </c>
      <c r="Q1225" s="57" t="s">
        <v>113</v>
      </c>
      <c r="R1225" s="58">
        <v>6</v>
      </c>
      <c r="S1225" s="59" t="s">
        <v>113</v>
      </c>
      <c r="V1225" s="4" t="s">
        <v>10617</v>
      </c>
      <c r="AP1225" s="1"/>
    </row>
    <row r="1226" spans="1:47" ht="96" x14ac:dyDescent="0.2">
      <c r="A1226" s="1" t="s">
        <v>10413</v>
      </c>
      <c r="B1226" s="1" t="s">
        <v>10667</v>
      </c>
      <c r="C1226" s="1" t="s">
        <v>10498</v>
      </c>
      <c r="D1226" s="1">
        <v>6</v>
      </c>
      <c r="E1226" s="1">
        <v>3</v>
      </c>
      <c r="F1226" s="1" t="s">
        <v>10609</v>
      </c>
      <c r="G1226" s="1" t="s">
        <v>10618</v>
      </c>
      <c r="I1226" s="1" t="s">
        <v>104</v>
      </c>
      <c r="K1226" s="4" t="s">
        <v>1592</v>
      </c>
      <c r="L1226" s="4"/>
      <c r="O1226" s="55">
        <v>4</v>
      </c>
      <c r="T1226" s="60">
        <v>4</v>
      </c>
      <c r="V1226" s="4" t="s">
        <v>10681</v>
      </c>
      <c r="AP1226" s="1"/>
    </row>
    <row r="1227" spans="1:47" ht="24" x14ac:dyDescent="0.2">
      <c r="A1227" s="1" t="s">
        <v>10413</v>
      </c>
      <c r="B1227" s="1" t="s">
        <v>10668</v>
      </c>
      <c r="C1227" s="1" t="s">
        <v>10498</v>
      </c>
      <c r="D1227" s="1">
        <v>7</v>
      </c>
      <c r="E1227" s="1">
        <v>3</v>
      </c>
      <c r="F1227" s="1" t="s">
        <v>10609</v>
      </c>
      <c r="G1227" s="1" t="s">
        <v>10619</v>
      </c>
      <c r="I1227" s="1" t="s">
        <v>104</v>
      </c>
      <c r="K1227" s="4" t="s">
        <v>10620</v>
      </c>
      <c r="L1227" s="4"/>
      <c r="O1227" s="55">
        <v>3</v>
      </c>
      <c r="T1227" s="60">
        <v>7</v>
      </c>
      <c r="V1227" s="4" t="s">
        <v>10650</v>
      </c>
      <c r="W1227" s="4" t="s">
        <v>10621</v>
      </c>
      <c r="AP1227" s="1"/>
    </row>
    <row r="1228" spans="1:47" ht="36" x14ac:dyDescent="0.2">
      <c r="A1228" s="1" t="s">
        <v>10413</v>
      </c>
      <c r="B1228" s="1" t="s">
        <v>10669</v>
      </c>
      <c r="C1228" s="1" t="s">
        <v>10498</v>
      </c>
      <c r="D1228" s="1">
        <v>8</v>
      </c>
      <c r="E1228" s="1">
        <v>3</v>
      </c>
      <c r="F1228" s="1" t="s">
        <v>10609</v>
      </c>
      <c r="G1228" s="1" t="s">
        <v>10622</v>
      </c>
      <c r="I1228" s="1" t="s">
        <v>82</v>
      </c>
      <c r="K1228" s="4"/>
      <c r="L1228" s="4"/>
      <c r="V1228" s="4" t="s">
        <v>10623</v>
      </c>
      <c r="W1228" s="4" t="s">
        <v>10649</v>
      </c>
      <c r="AP1228" s="1"/>
    </row>
    <row r="1229" spans="1:47" ht="132" x14ac:dyDescent="0.2">
      <c r="A1229" s="111" t="s">
        <v>10413</v>
      </c>
      <c r="B1229" s="111" t="s">
        <v>10670</v>
      </c>
      <c r="C1229" s="111" t="s">
        <v>10499</v>
      </c>
      <c r="D1229" s="111">
        <v>1</v>
      </c>
      <c r="E1229" s="111">
        <v>1</v>
      </c>
      <c r="F1229" s="111" t="s">
        <v>10624</v>
      </c>
      <c r="G1229" s="111" t="s">
        <v>3077</v>
      </c>
      <c r="I1229" s="1" t="s">
        <v>768</v>
      </c>
      <c r="K1229" s="4"/>
      <c r="L1229" s="4"/>
      <c r="N1229" s="54" t="s">
        <v>9529</v>
      </c>
      <c r="V1229" s="4" t="s">
        <v>10607</v>
      </c>
      <c r="X1229" s="1" t="s">
        <v>3129</v>
      </c>
      <c r="Y1229" s="1" t="s">
        <v>3077</v>
      </c>
      <c r="AA1229" s="1" t="s">
        <v>768</v>
      </c>
      <c r="AF1229" s="54" t="s">
        <v>9530</v>
      </c>
      <c r="AN1229" s="4" t="s">
        <v>10625</v>
      </c>
      <c r="AP1229" s="1"/>
      <c r="AU1229" s="1" t="s">
        <v>6251</v>
      </c>
    </row>
    <row r="1230" spans="1:47" ht="60" x14ac:dyDescent="0.2">
      <c r="A1230" s="1" t="s">
        <v>10413</v>
      </c>
      <c r="B1230" s="1" t="s">
        <v>10671</v>
      </c>
      <c r="C1230" s="1" t="s">
        <v>10499</v>
      </c>
      <c r="D1230" s="1">
        <v>2</v>
      </c>
      <c r="E1230" s="1">
        <v>2</v>
      </c>
      <c r="F1230" s="1" t="s">
        <v>10624</v>
      </c>
      <c r="G1230" s="1" t="s">
        <v>10626</v>
      </c>
      <c r="I1230" s="1" t="s">
        <v>82</v>
      </c>
      <c r="K1230" s="4" t="s">
        <v>10627</v>
      </c>
      <c r="L1230" s="4"/>
      <c r="W1230" s="4" t="s">
        <v>10628</v>
      </c>
      <c r="AP1230" s="1"/>
    </row>
    <row r="1231" spans="1:47" ht="24" x14ac:dyDescent="0.2">
      <c r="A1231" s="1" t="s">
        <v>10413</v>
      </c>
      <c r="B1231" s="1" t="s">
        <v>10672</v>
      </c>
      <c r="C1231" s="1" t="s">
        <v>10499</v>
      </c>
      <c r="D1231" s="1">
        <v>3</v>
      </c>
      <c r="E1231" s="1">
        <v>2</v>
      </c>
      <c r="F1231" s="1" t="s">
        <v>10624</v>
      </c>
      <c r="G1231" s="1" t="s">
        <v>10629</v>
      </c>
      <c r="I1231" s="1" t="s">
        <v>82</v>
      </c>
      <c r="K1231" s="4" t="s">
        <v>10627</v>
      </c>
      <c r="L1231" s="4"/>
      <c r="W1231" s="4" t="s">
        <v>10630</v>
      </c>
      <c r="AP1231" s="1"/>
    </row>
    <row r="1232" spans="1:47" ht="24" x14ac:dyDescent="0.2">
      <c r="A1232" s="1" t="s">
        <v>10413</v>
      </c>
      <c r="B1232" s="1" t="s">
        <v>10673</v>
      </c>
      <c r="C1232" s="1" t="s">
        <v>10499</v>
      </c>
      <c r="D1232" s="1">
        <v>4</v>
      </c>
      <c r="E1232" s="1">
        <v>2</v>
      </c>
      <c r="F1232" s="1" t="s">
        <v>10624</v>
      </c>
      <c r="G1232" s="1" t="s">
        <v>10631</v>
      </c>
      <c r="I1232" s="1" t="s">
        <v>82</v>
      </c>
      <c r="K1232" s="4" t="s">
        <v>10627</v>
      </c>
      <c r="L1232" s="4"/>
      <c r="W1232" s="4" t="s">
        <v>10632</v>
      </c>
      <c r="AP1232" s="1"/>
    </row>
    <row r="1233" spans="1:48" ht="36" x14ac:dyDescent="0.2">
      <c r="A1233" s="1" t="s">
        <v>10413</v>
      </c>
      <c r="B1233" s="1" t="s">
        <v>10674</v>
      </c>
      <c r="C1233" s="1" t="s">
        <v>10499</v>
      </c>
      <c r="D1233" s="1">
        <v>5</v>
      </c>
      <c r="E1233" s="1">
        <v>2</v>
      </c>
      <c r="F1233" s="1" t="s">
        <v>10624</v>
      </c>
      <c r="G1233" s="1" t="s">
        <v>10633</v>
      </c>
      <c r="I1233" s="1" t="s">
        <v>82</v>
      </c>
      <c r="K1233" s="4" t="s">
        <v>10627</v>
      </c>
      <c r="L1233" s="4"/>
      <c r="W1233" s="4" t="s">
        <v>10634</v>
      </c>
      <c r="AP1233" s="1"/>
      <c r="AU1233" s="1" t="s">
        <v>6252</v>
      </c>
      <c r="AV1233" s="1" t="s">
        <v>6253</v>
      </c>
    </row>
    <row r="1234" spans="1:48" ht="24" x14ac:dyDescent="0.2">
      <c r="A1234" s="1" t="s">
        <v>10413</v>
      </c>
      <c r="B1234" s="1" t="s">
        <v>10675</v>
      </c>
      <c r="C1234" s="1" t="s">
        <v>10499</v>
      </c>
      <c r="D1234" s="1">
        <v>6</v>
      </c>
      <c r="E1234" s="1">
        <v>2</v>
      </c>
      <c r="F1234" s="1" t="s">
        <v>10624</v>
      </c>
      <c r="G1234" s="1" t="s">
        <v>10682</v>
      </c>
      <c r="I1234" s="1" t="s">
        <v>82</v>
      </c>
      <c r="K1234" s="4" t="s">
        <v>10627</v>
      </c>
      <c r="L1234" s="4"/>
      <c r="W1234" s="4" t="s">
        <v>10635</v>
      </c>
      <c r="AP1234" s="1"/>
    </row>
    <row r="1235" spans="1:48" ht="36" x14ac:dyDescent="0.2">
      <c r="A1235" s="1" t="s">
        <v>10413</v>
      </c>
      <c r="B1235" s="1" t="s">
        <v>10676</v>
      </c>
      <c r="C1235" s="1" t="s">
        <v>10499</v>
      </c>
      <c r="D1235" s="1">
        <v>7</v>
      </c>
      <c r="E1235" s="1">
        <v>3</v>
      </c>
      <c r="F1235" s="1" t="s">
        <v>10624</v>
      </c>
      <c r="G1235" s="1" t="s">
        <v>10636</v>
      </c>
      <c r="I1235" s="1" t="s">
        <v>94</v>
      </c>
      <c r="K1235" s="4" t="s">
        <v>10637</v>
      </c>
      <c r="L1235" s="4"/>
      <c r="N1235" s="54">
        <v>12</v>
      </c>
      <c r="O1235" s="55">
        <v>3</v>
      </c>
      <c r="Q1235" s="57">
        <v>3</v>
      </c>
      <c r="R1235" s="58">
        <v>2</v>
      </c>
      <c r="S1235" s="59">
        <v>5</v>
      </c>
      <c r="V1235" s="4" t="s">
        <v>10638</v>
      </c>
      <c r="W1235" s="4" t="s">
        <v>10639</v>
      </c>
      <c r="AP1235" s="1"/>
    </row>
    <row r="1236" spans="1:48" ht="24" x14ac:dyDescent="0.2">
      <c r="A1236" s="1" t="s">
        <v>10413</v>
      </c>
      <c r="B1236" s="1" t="s">
        <v>10677</v>
      </c>
      <c r="C1236" s="1" t="s">
        <v>10499</v>
      </c>
      <c r="D1236" s="1">
        <v>8</v>
      </c>
      <c r="E1236" s="1">
        <v>2</v>
      </c>
      <c r="F1236" s="1" t="s">
        <v>10624</v>
      </c>
      <c r="G1236" s="1" t="s">
        <v>10640</v>
      </c>
      <c r="I1236" s="1" t="s">
        <v>94</v>
      </c>
      <c r="K1236" s="4" t="s">
        <v>10637</v>
      </c>
      <c r="L1236" s="4"/>
      <c r="N1236" s="54">
        <v>42</v>
      </c>
      <c r="O1236" s="55">
        <v>4</v>
      </c>
      <c r="Q1236" s="57">
        <v>4</v>
      </c>
      <c r="R1236" s="58">
        <v>3</v>
      </c>
      <c r="S1236" s="59">
        <v>7</v>
      </c>
      <c r="V1236" s="4" t="s">
        <v>10641</v>
      </c>
      <c r="W1236" s="4" t="s">
        <v>10642</v>
      </c>
      <c r="AP1236" s="1"/>
    </row>
    <row r="1237" spans="1:48" ht="24" x14ac:dyDescent="0.2">
      <c r="A1237" s="1" t="s">
        <v>10413</v>
      </c>
      <c r="B1237" s="1" t="s">
        <v>10678</v>
      </c>
      <c r="C1237" s="1" t="s">
        <v>10499</v>
      </c>
      <c r="D1237" s="1">
        <v>9</v>
      </c>
      <c r="E1237" s="1">
        <v>2</v>
      </c>
      <c r="F1237" s="1" t="s">
        <v>10624</v>
      </c>
      <c r="G1237" s="1" t="s">
        <v>10643</v>
      </c>
      <c r="I1237" s="1" t="s">
        <v>104</v>
      </c>
      <c r="K1237" s="4" t="s">
        <v>1112</v>
      </c>
      <c r="L1237" s="4" t="s">
        <v>10645</v>
      </c>
      <c r="O1237" s="55">
        <v>5</v>
      </c>
      <c r="T1237" s="60">
        <v>2</v>
      </c>
      <c r="V1237" s="4" t="s">
        <v>10644</v>
      </c>
      <c r="AP1237" s="1"/>
    </row>
    <row r="1238" spans="1:48" ht="24" x14ac:dyDescent="0.2">
      <c r="A1238" s="1" t="s">
        <v>10413</v>
      </c>
      <c r="B1238" s="1" t="s">
        <v>10679</v>
      </c>
      <c r="C1238" s="1" t="s">
        <v>10499</v>
      </c>
      <c r="D1238" s="1">
        <v>10</v>
      </c>
      <c r="E1238" s="1">
        <v>2</v>
      </c>
      <c r="F1238" s="1" t="s">
        <v>10624</v>
      </c>
      <c r="G1238" s="1" t="s">
        <v>10646</v>
      </c>
      <c r="I1238" s="1" t="s">
        <v>104</v>
      </c>
      <c r="K1238" s="4" t="s">
        <v>1112</v>
      </c>
      <c r="L1238" s="4"/>
      <c r="O1238" s="55">
        <v>2</v>
      </c>
      <c r="T1238" s="60">
        <v>7</v>
      </c>
      <c r="V1238" s="4" t="s">
        <v>10647</v>
      </c>
      <c r="W1238" s="4" t="s">
        <v>10648</v>
      </c>
      <c r="AP1238" s="1"/>
    </row>
    <row r="1239" spans="1:48" ht="36" x14ac:dyDescent="0.2">
      <c r="A1239" s="119" t="s">
        <v>4566</v>
      </c>
      <c r="B1239" s="119" t="s">
        <v>4576</v>
      </c>
      <c r="C1239" s="119" t="s">
        <v>10651</v>
      </c>
      <c r="D1239" s="120">
        <v>1</v>
      </c>
      <c r="E1239" s="119">
        <v>1</v>
      </c>
      <c r="F1239" s="119" t="s">
        <v>4570</v>
      </c>
      <c r="G1239" s="119" t="s">
        <v>4298</v>
      </c>
      <c r="I1239" s="1" t="s">
        <v>768</v>
      </c>
      <c r="N1239" s="54" t="s">
        <v>9529</v>
      </c>
      <c r="V1239" s="4" t="s">
        <v>769</v>
      </c>
      <c r="X1239" s="1" t="s">
        <v>4334</v>
      </c>
      <c r="Y1239" s="1" t="s">
        <v>4298</v>
      </c>
      <c r="AA1239" s="1" t="s">
        <v>768</v>
      </c>
      <c r="AF1239" s="54" t="s">
        <v>9530</v>
      </c>
      <c r="AL1239" s="60" t="s">
        <v>30</v>
      </c>
      <c r="AN1239" s="4" t="s">
        <v>5568</v>
      </c>
    </row>
    <row r="1240" spans="1:48" ht="60" x14ac:dyDescent="0.2">
      <c r="A1240" s="1" t="s">
        <v>4566</v>
      </c>
      <c r="B1240" s="1" t="s">
        <v>4584</v>
      </c>
      <c r="C1240" s="1" t="s">
        <v>10651</v>
      </c>
      <c r="D1240" s="48">
        <v>2</v>
      </c>
      <c r="E1240" s="1">
        <v>3</v>
      </c>
      <c r="F1240" s="1" t="s">
        <v>4570</v>
      </c>
      <c r="G1240" s="1" t="s">
        <v>4585</v>
      </c>
      <c r="I1240" s="1" t="s">
        <v>94</v>
      </c>
      <c r="K1240" s="1" t="s">
        <v>95</v>
      </c>
      <c r="N1240" s="54">
        <v>50</v>
      </c>
      <c r="O1240" s="55">
        <v>4</v>
      </c>
      <c r="Q1240" s="57">
        <v>4</v>
      </c>
      <c r="R1240" s="58">
        <v>1</v>
      </c>
      <c r="S1240" s="59">
        <v>3</v>
      </c>
      <c r="V1240" s="4" t="s">
        <v>5573</v>
      </c>
      <c r="AL1240" s="60" t="s">
        <v>30</v>
      </c>
    </row>
    <row r="1241" spans="1:48" ht="36" x14ac:dyDescent="0.2">
      <c r="A1241" s="1" t="s">
        <v>4566</v>
      </c>
      <c r="B1241" s="1" t="s">
        <v>4567</v>
      </c>
      <c r="C1241" s="1" t="s">
        <v>10651</v>
      </c>
      <c r="D1241" s="48">
        <v>3</v>
      </c>
      <c r="E1241" s="1">
        <v>3</v>
      </c>
      <c r="F1241" s="1" t="s">
        <v>4570</v>
      </c>
      <c r="G1241" s="1" t="s">
        <v>4568</v>
      </c>
      <c r="I1241" s="1" t="s">
        <v>104</v>
      </c>
      <c r="K1241" s="1" t="s">
        <v>4569</v>
      </c>
      <c r="O1241" s="55">
        <v>2</v>
      </c>
      <c r="T1241" s="60">
        <v>5</v>
      </c>
      <c r="V1241" s="4" t="s">
        <v>5564</v>
      </c>
      <c r="AL1241" s="60" t="s">
        <v>30</v>
      </c>
    </row>
    <row r="1242" spans="1:48" ht="36" x14ac:dyDescent="0.2">
      <c r="A1242" s="1" t="s">
        <v>4566</v>
      </c>
      <c r="B1242" s="1" t="s">
        <v>4606</v>
      </c>
      <c r="C1242" s="1" t="s">
        <v>10651</v>
      </c>
      <c r="D1242" s="48">
        <v>4</v>
      </c>
      <c r="E1242" s="1">
        <v>3</v>
      </c>
      <c r="F1242" s="1" t="s">
        <v>4570</v>
      </c>
      <c r="G1242" s="1" t="s">
        <v>4607</v>
      </c>
      <c r="I1242" s="1" t="s">
        <v>104</v>
      </c>
      <c r="K1242" s="1" t="s">
        <v>4608</v>
      </c>
      <c r="O1242" s="55">
        <v>3</v>
      </c>
      <c r="T1242" s="60">
        <v>5</v>
      </c>
      <c r="V1242" s="4" t="s">
        <v>5588</v>
      </c>
      <c r="W1242" s="4" t="s">
        <v>5589</v>
      </c>
      <c r="AL1242" s="60" t="s">
        <v>30</v>
      </c>
    </row>
    <row r="1243" spans="1:48" ht="72" x14ac:dyDescent="0.2">
      <c r="A1243" s="1" t="s">
        <v>4566</v>
      </c>
      <c r="B1243" s="1" t="s">
        <v>4609</v>
      </c>
      <c r="C1243" s="1" t="s">
        <v>10651</v>
      </c>
      <c r="D1243" s="48">
        <v>5</v>
      </c>
      <c r="E1243" s="1">
        <v>3</v>
      </c>
      <c r="F1243" s="1" t="s">
        <v>4570</v>
      </c>
      <c r="G1243" s="1" t="s">
        <v>4610</v>
      </c>
      <c r="I1243" s="1" t="s">
        <v>104</v>
      </c>
      <c r="K1243" s="1" t="s">
        <v>4611</v>
      </c>
      <c r="O1243" s="55">
        <v>5</v>
      </c>
      <c r="T1243" s="60" t="s">
        <v>799</v>
      </c>
      <c r="V1243" s="4" t="s">
        <v>5590</v>
      </c>
      <c r="AL1243" s="60" t="s">
        <v>30</v>
      </c>
    </row>
    <row r="1244" spans="1:48" ht="24" x14ac:dyDescent="0.2">
      <c r="A1244" s="1" t="s">
        <v>4566</v>
      </c>
      <c r="B1244" s="1" t="s">
        <v>4599</v>
      </c>
      <c r="C1244" s="1" t="s">
        <v>10651</v>
      </c>
      <c r="D1244" s="48">
        <v>6</v>
      </c>
      <c r="E1244" s="1">
        <v>3</v>
      </c>
      <c r="F1244" s="1" t="s">
        <v>4570</v>
      </c>
      <c r="G1244" s="1" t="s">
        <v>4600</v>
      </c>
      <c r="I1244" s="1" t="s">
        <v>82</v>
      </c>
      <c r="V1244" s="4" t="s">
        <v>5583</v>
      </c>
      <c r="W1244" s="4" t="s">
        <v>5584</v>
      </c>
      <c r="AL1244" s="60" t="s">
        <v>30</v>
      </c>
    </row>
    <row r="1245" spans="1:48" ht="72" x14ac:dyDescent="0.2">
      <c r="A1245" s="1" t="s">
        <v>4566</v>
      </c>
      <c r="B1245" s="1" t="s">
        <v>4577</v>
      </c>
      <c r="C1245" s="1" t="s">
        <v>10651</v>
      </c>
      <c r="D1245" s="48">
        <v>7</v>
      </c>
      <c r="E1245" s="1">
        <v>2</v>
      </c>
      <c r="F1245" s="1" t="s">
        <v>4570</v>
      </c>
      <c r="G1245" s="1" t="s">
        <v>4578</v>
      </c>
      <c r="I1245" s="1" t="s">
        <v>82</v>
      </c>
      <c r="V1245" s="4" t="s">
        <v>5569</v>
      </c>
      <c r="AL1245" s="60" t="s">
        <v>30</v>
      </c>
    </row>
    <row r="1246" spans="1:48" ht="36" x14ac:dyDescent="0.2">
      <c r="A1246" s="1" t="s">
        <v>4566</v>
      </c>
      <c r="B1246" s="1" t="s">
        <v>4588</v>
      </c>
      <c r="C1246" s="1" t="s">
        <v>10651</v>
      </c>
      <c r="D1246" s="48">
        <v>8</v>
      </c>
      <c r="E1246" s="1">
        <v>2</v>
      </c>
      <c r="F1246" s="1" t="s">
        <v>4570</v>
      </c>
      <c r="G1246" s="1" t="s">
        <v>4589</v>
      </c>
      <c r="I1246" s="1" t="s">
        <v>82</v>
      </c>
      <c r="V1246" s="4" t="s">
        <v>5575</v>
      </c>
      <c r="AL1246" s="60" t="s">
        <v>30</v>
      </c>
    </row>
    <row r="1247" spans="1:48" ht="60" x14ac:dyDescent="0.2">
      <c r="A1247" s="111" t="s">
        <v>4566</v>
      </c>
      <c r="B1247" s="111" t="s">
        <v>4605</v>
      </c>
      <c r="C1247" s="111" t="s">
        <v>10652</v>
      </c>
      <c r="D1247" s="112">
        <v>1</v>
      </c>
      <c r="E1247" s="111">
        <v>1</v>
      </c>
      <c r="F1247" s="111" t="s">
        <v>4581</v>
      </c>
      <c r="G1247" s="111" t="s">
        <v>4310</v>
      </c>
      <c r="I1247" s="1" t="s">
        <v>768</v>
      </c>
      <c r="N1247" s="54" t="s">
        <v>9529</v>
      </c>
      <c r="V1247" s="4" t="s">
        <v>769</v>
      </c>
      <c r="X1247" s="1" t="s">
        <v>1629</v>
      </c>
      <c r="Y1247" s="1" t="s">
        <v>4310</v>
      </c>
      <c r="AA1247" s="1" t="s">
        <v>768</v>
      </c>
      <c r="AF1247" s="54" t="s">
        <v>9530</v>
      </c>
      <c r="AL1247" s="60" t="s">
        <v>30</v>
      </c>
      <c r="AN1247" s="4" t="s">
        <v>5587</v>
      </c>
    </row>
    <row r="1248" spans="1:48" ht="24" x14ac:dyDescent="0.2">
      <c r="A1248" s="1" t="s">
        <v>4566</v>
      </c>
      <c r="B1248" s="1" t="s">
        <v>4579</v>
      </c>
      <c r="C1248" s="1" t="s">
        <v>10652</v>
      </c>
      <c r="D1248" s="48">
        <v>2</v>
      </c>
      <c r="E1248" s="1">
        <v>3</v>
      </c>
      <c r="F1248" s="1" t="s">
        <v>4581</v>
      </c>
      <c r="G1248" s="1" t="s">
        <v>4580</v>
      </c>
      <c r="I1248" s="1" t="s">
        <v>104</v>
      </c>
      <c r="K1248" s="1" t="s">
        <v>1178</v>
      </c>
      <c r="O1248" s="55">
        <v>4</v>
      </c>
      <c r="T1248" s="60">
        <v>3</v>
      </c>
      <c r="V1248" s="4" t="s">
        <v>5570</v>
      </c>
      <c r="W1248" s="4" t="s">
        <v>5571</v>
      </c>
      <c r="AL1248" s="60" t="s">
        <v>30</v>
      </c>
    </row>
    <row r="1249" spans="1:48" ht="60" x14ac:dyDescent="0.2">
      <c r="A1249" s="1" t="s">
        <v>4566</v>
      </c>
      <c r="B1249" s="1" t="s">
        <v>4592</v>
      </c>
      <c r="C1249" s="1" t="s">
        <v>10652</v>
      </c>
      <c r="D1249" s="48">
        <v>3</v>
      </c>
      <c r="E1249" s="1">
        <v>4</v>
      </c>
      <c r="F1249" s="1" t="s">
        <v>4581</v>
      </c>
      <c r="G1249" s="1" t="s">
        <v>4593</v>
      </c>
      <c r="I1249" s="1" t="s">
        <v>104</v>
      </c>
      <c r="K1249" s="1" t="s">
        <v>1178</v>
      </c>
      <c r="O1249" s="55">
        <v>3</v>
      </c>
      <c r="T1249" s="60">
        <v>10</v>
      </c>
      <c r="V1249" s="4" t="s">
        <v>5578</v>
      </c>
      <c r="AL1249" s="60" t="s">
        <v>30</v>
      </c>
    </row>
    <row r="1250" spans="1:48" ht="48" x14ac:dyDescent="0.2">
      <c r="A1250" s="1" t="s">
        <v>4566</v>
      </c>
      <c r="B1250" s="1" t="s">
        <v>4582</v>
      </c>
      <c r="C1250" s="1" t="s">
        <v>10652</v>
      </c>
      <c r="D1250" s="48">
        <v>4</v>
      </c>
      <c r="E1250" s="1">
        <v>2</v>
      </c>
      <c r="F1250" s="1" t="s">
        <v>4581</v>
      </c>
      <c r="G1250" s="1" t="s">
        <v>4583</v>
      </c>
      <c r="I1250" s="1" t="s">
        <v>82</v>
      </c>
      <c r="V1250" s="4" t="s">
        <v>5572</v>
      </c>
      <c r="AL1250" s="60" t="s">
        <v>30</v>
      </c>
    </row>
    <row r="1251" spans="1:48" ht="60" x14ac:dyDescent="0.2">
      <c r="A1251" s="1" t="s">
        <v>4566</v>
      </c>
      <c r="B1251" s="1" t="s">
        <v>4574</v>
      </c>
      <c r="C1251" s="1" t="s">
        <v>10652</v>
      </c>
      <c r="D1251" s="48">
        <v>5</v>
      </c>
      <c r="E1251" s="1">
        <v>1</v>
      </c>
      <c r="F1251" s="1" t="s">
        <v>4575</v>
      </c>
      <c r="G1251" s="1" t="s">
        <v>4361</v>
      </c>
      <c r="H1251" s="1" t="s">
        <v>26</v>
      </c>
      <c r="I1251" s="1" t="s">
        <v>94</v>
      </c>
      <c r="K1251" s="1" t="s">
        <v>604</v>
      </c>
      <c r="N1251" s="54">
        <v>15</v>
      </c>
      <c r="O1251" s="55">
        <v>5</v>
      </c>
      <c r="Q1251" s="57">
        <v>6</v>
      </c>
      <c r="R1251" s="58">
        <v>4</v>
      </c>
      <c r="S1251" s="59">
        <v>11</v>
      </c>
      <c r="U1251" s="1">
        <v>3</v>
      </c>
      <c r="V1251" s="4" t="s">
        <v>5567</v>
      </c>
      <c r="AL1251" s="60" t="s">
        <v>30</v>
      </c>
    </row>
    <row r="1252" spans="1:48" ht="60" x14ac:dyDescent="0.2">
      <c r="A1252" s="1" t="s">
        <v>4566</v>
      </c>
      <c r="B1252" s="1" t="s">
        <v>4603</v>
      </c>
      <c r="C1252" s="1" t="s">
        <v>10652</v>
      </c>
      <c r="D1252" s="48">
        <v>6</v>
      </c>
      <c r="E1252" s="1">
        <v>4</v>
      </c>
      <c r="F1252" s="1" t="s">
        <v>4575</v>
      </c>
      <c r="G1252" s="1" t="s">
        <v>4604</v>
      </c>
      <c r="I1252" s="1" t="s">
        <v>94</v>
      </c>
      <c r="K1252" s="1" t="s">
        <v>604</v>
      </c>
      <c r="N1252" s="54">
        <v>45</v>
      </c>
      <c r="O1252" s="55">
        <v>4</v>
      </c>
      <c r="Q1252" s="57">
        <v>4</v>
      </c>
      <c r="R1252" s="58">
        <v>3</v>
      </c>
      <c r="S1252" s="59">
        <v>3</v>
      </c>
      <c r="V1252" s="4" t="s">
        <v>5586</v>
      </c>
      <c r="AL1252" s="60" t="s">
        <v>30</v>
      </c>
    </row>
    <row r="1253" spans="1:48" ht="72" x14ac:dyDescent="0.2">
      <c r="A1253" s="1" t="s">
        <v>4566</v>
      </c>
      <c r="B1253" s="1" t="s">
        <v>4614</v>
      </c>
      <c r="C1253" s="1" t="s">
        <v>10652</v>
      </c>
      <c r="D1253" s="48">
        <v>7</v>
      </c>
      <c r="E1253" s="1">
        <v>3</v>
      </c>
      <c r="F1253" s="1" t="s">
        <v>4575</v>
      </c>
      <c r="G1253" s="1" t="s">
        <v>4615</v>
      </c>
      <c r="I1253" s="1" t="s">
        <v>104</v>
      </c>
      <c r="K1253" s="1" t="s">
        <v>1762</v>
      </c>
      <c r="O1253" s="55">
        <v>4</v>
      </c>
      <c r="T1253" s="60">
        <v>3</v>
      </c>
      <c r="V1253" s="4" t="s">
        <v>5592</v>
      </c>
      <c r="AL1253" s="60" t="s">
        <v>30</v>
      </c>
    </row>
    <row r="1254" spans="1:48" ht="36" x14ac:dyDescent="0.2">
      <c r="A1254" s="1" t="s">
        <v>4566</v>
      </c>
      <c r="B1254" s="1" t="s">
        <v>4590</v>
      </c>
      <c r="C1254" s="1" t="s">
        <v>10652</v>
      </c>
      <c r="D1254" s="48">
        <v>8</v>
      </c>
      <c r="F1254" s="1" t="s">
        <v>4575</v>
      </c>
      <c r="G1254" s="1" t="s">
        <v>4591</v>
      </c>
      <c r="I1254" s="1" t="s">
        <v>82</v>
      </c>
      <c r="V1254" s="4" t="s">
        <v>5576</v>
      </c>
      <c r="W1254" s="4" t="s">
        <v>5577</v>
      </c>
      <c r="AL1254" s="60" t="s">
        <v>30</v>
      </c>
    </row>
    <row r="1255" spans="1:48" ht="96" x14ac:dyDescent="0.2">
      <c r="A1255" s="135" t="s">
        <v>4566</v>
      </c>
      <c r="B1255" s="135" t="s">
        <v>4596</v>
      </c>
      <c r="C1255" s="135" t="s">
        <v>10653</v>
      </c>
      <c r="D1255" s="136">
        <v>1</v>
      </c>
      <c r="E1255" s="135">
        <v>1</v>
      </c>
      <c r="F1255" s="135" t="s">
        <v>4573</v>
      </c>
      <c r="G1255" s="135" t="s">
        <v>4346</v>
      </c>
      <c r="I1255" s="1" t="s">
        <v>768</v>
      </c>
      <c r="N1255" s="54" t="s">
        <v>9529</v>
      </c>
      <c r="V1255" s="4" t="s">
        <v>769</v>
      </c>
      <c r="X1255" s="1" t="s">
        <v>2151</v>
      </c>
      <c r="Y1255" s="1" t="s">
        <v>4346</v>
      </c>
      <c r="AA1255" s="1" t="s">
        <v>768</v>
      </c>
      <c r="AF1255" s="54" t="s">
        <v>9530</v>
      </c>
      <c r="AL1255" s="60" t="s">
        <v>30</v>
      </c>
      <c r="AN1255" s="4" t="s">
        <v>5580</v>
      </c>
    </row>
    <row r="1256" spans="1:48" ht="72" x14ac:dyDescent="0.2">
      <c r="A1256" s="1" t="s">
        <v>4566</v>
      </c>
      <c r="B1256" s="1" t="s">
        <v>4594</v>
      </c>
      <c r="C1256" s="1" t="s">
        <v>10653</v>
      </c>
      <c r="D1256" s="48">
        <v>2</v>
      </c>
      <c r="E1256" s="1">
        <v>1</v>
      </c>
      <c r="F1256" s="1" t="s">
        <v>4573</v>
      </c>
      <c r="G1256" s="1" t="s">
        <v>4595</v>
      </c>
      <c r="H1256" s="1" t="s">
        <v>26</v>
      </c>
      <c r="I1256" s="1" t="s">
        <v>104</v>
      </c>
      <c r="K1256" s="1" t="s">
        <v>1178</v>
      </c>
      <c r="O1256" s="55">
        <v>4</v>
      </c>
      <c r="T1256" s="60">
        <v>8</v>
      </c>
      <c r="V1256" s="4" t="s">
        <v>5579</v>
      </c>
      <c r="AL1256" s="60" t="s">
        <v>30</v>
      </c>
    </row>
    <row r="1257" spans="1:48" ht="24" x14ac:dyDescent="0.2">
      <c r="A1257" s="1" t="s">
        <v>4566</v>
      </c>
      <c r="B1257" s="1" t="s">
        <v>4601</v>
      </c>
      <c r="C1257" s="125" t="s">
        <v>10653</v>
      </c>
      <c r="D1257" s="48">
        <v>3</v>
      </c>
      <c r="E1257" s="1">
        <v>3</v>
      </c>
      <c r="F1257" s="1" t="s">
        <v>4573</v>
      </c>
      <c r="G1257" s="1" t="s">
        <v>4602</v>
      </c>
      <c r="I1257" s="1" t="s">
        <v>94</v>
      </c>
      <c r="K1257" s="1" t="s">
        <v>95</v>
      </c>
      <c r="N1257" s="54">
        <v>33</v>
      </c>
      <c r="O1257" s="55">
        <v>4</v>
      </c>
      <c r="Q1257" s="57">
        <v>4</v>
      </c>
      <c r="R1257" s="58">
        <v>3</v>
      </c>
      <c r="S1257" s="59">
        <v>5</v>
      </c>
      <c r="V1257" s="4" t="s">
        <v>5585</v>
      </c>
      <c r="W1257" s="4" t="s">
        <v>3491</v>
      </c>
      <c r="AL1257" s="60" t="s">
        <v>30</v>
      </c>
    </row>
    <row r="1258" spans="1:48" ht="24" x14ac:dyDescent="0.2">
      <c r="A1258" s="1" t="s">
        <v>4566</v>
      </c>
      <c r="B1258" s="1" t="s">
        <v>4571</v>
      </c>
      <c r="C1258" s="1" t="s">
        <v>10653</v>
      </c>
      <c r="D1258" s="48">
        <v>3</v>
      </c>
      <c r="E1258" s="1">
        <v>3</v>
      </c>
      <c r="F1258" s="1" t="s">
        <v>4573</v>
      </c>
      <c r="G1258" s="1" t="s">
        <v>4572</v>
      </c>
      <c r="I1258" s="1" t="s">
        <v>104</v>
      </c>
      <c r="K1258" s="1" t="s">
        <v>105</v>
      </c>
      <c r="O1258" s="55">
        <v>3</v>
      </c>
      <c r="T1258" s="60">
        <v>6</v>
      </c>
      <c r="V1258" s="4" t="s">
        <v>5565</v>
      </c>
      <c r="W1258" s="4" t="s">
        <v>5566</v>
      </c>
      <c r="AL1258" s="60" t="s">
        <v>30</v>
      </c>
    </row>
    <row r="1259" spans="1:48" ht="24" x14ac:dyDescent="0.2">
      <c r="A1259" s="1" t="s">
        <v>4566</v>
      </c>
      <c r="B1259" s="1" t="s">
        <v>4597</v>
      </c>
      <c r="C1259" s="125" t="s">
        <v>10653</v>
      </c>
      <c r="D1259" s="48">
        <v>4</v>
      </c>
      <c r="E1259" s="1">
        <v>3</v>
      </c>
      <c r="F1259" s="1" t="s">
        <v>4573</v>
      </c>
      <c r="G1259" s="1" t="s">
        <v>4598</v>
      </c>
      <c r="I1259" s="1" t="s">
        <v>94</v>
      </c>
      <c r="K1259" s="1" t="s">
        <v>604</v>
      </c>
      <c r="N1259" s="54">
        <v>15</v>
      </c>
      <c r="O1259" s="55">
        <v>2</v>
      </c>
      <c r="Q1259" s="57">
        <v>3</v>
      </c>
      <c r="R1259" s="58">
        <v>4</v>
      </c>
      <c r="S1259" s="59">
        <v>5</v>
      </c>
      <c r="V1259" s="4" t="s">
        <v>5581</v>
      </c>
      <c r="W1259" s="4" t="s">
        <v>5582</v>
      </c>
      <c r="AL1259" s="60" t="s">
        <v>30</v>
      </c>
      <c r="AU1259" s="1" t="s">
        <v>6254</v>
      </c>
      <c r="AV1259" s="1" t="s">
        <v>6255</v>
      </c>
    </row>
    <row r="1260" spans="1:48" ht="84" x14ac:dyDescent="0.2">
      <c r="A1260" s="1" t="s">
        <v>4566</v>
      </c>
      <c r="B1260" s="1" t="s">
        <v>4586</v>
      </c>
      <c r="C1260" s="1" t="s">
        <v>10653</v>
      </c>
      <c r="D1260" s="48">
        <v>6</v>
      </c>
      <c r="E1260" s="1">
        <v>3</v>
      </c>
      <c r="F1260" s="1" t="s">
        <v>4573</v>
      </c>
      <c r="G1260" s="1" t="s">
        <v>4587</v>
      </c>
      <c r="I1260" s="1" t="s">
        <v>104</v>
      </c>
      <c r="K1260" s="1" t="s">
        <v>1178</v>
      </c>
      <c r="O1260" s="55">
        <v>4</v>
      </c>
      <c r="T1260" s="60">
        <v>3</v>
      </c>
      <c r="V1260" s="4" t="s">
        <v>5574</v>
      </c>
      <c r="AL1260" s="60" t="s">
        <v>30</v>
      </c>
      <c r="AU1260" s="1" t="s">
        <v>6256</v>
      </c>
    </row>
    <row r="1261" spans="1:48" ht="72" x14ac:dyDescent="0.2">
      <c r="A1261" s="1" t="s">
        <v>4566</v>
      </c>
      <c r="B1261" s="1" t="s">
        <v>4612</v>
      </c>
      <c r="C1261" s="125" t="s">
        <v>10653</v>
      </c>
      <c r="D1261" s="48">
        <v>7</v>
      </c>
      <c r="E1261" s="1">
        <v>3</v>
      </c>
      <c r="F1261" s="1" t="s">
        <v>4573</v>
      </c>
      <c r="G1261" s="1" t="s">
        <v>4613</v>
      </c>
      <c r="I1261" s="1" t="s">
        <v>82</v>
      </c>
      <c r="V1261" s="4" t="s">
        <v>5591</v>
      </c>
      <c r="AL1261" s="60" t="s">
        <v>30</v>
      </c>
    </row>
    <row r="1262" spans="1:48" ht="84" x14ac:dyDescent="0.2">
      <c r="A1262" s="1" t="s">
        <v>4566</v>
      </c>
      <c r="B1262" s="1" t="s">
        <v>4616</v>
      </c>
      <c r="C1262" s="1" t="s">
        <v>10653</v>
      </c>
      <c r="D1262" s="48">
        <v>8</v>
      </c>
      <c r="E1262" s="1">
        <v>3</v>
      </c>
      <c r="F1262" s="1" t="s">
        <v>4573</v>
      </c>
      <c r="G1262" s="1" t="s">
        <v>4617</v>
      </c>
      <c r="I1262" s="1" t="s">
        <v>82</v>
      </c>
      <c r="V1262" s="4" t="s">
        <v>5593</v>
      </c>
      <c r="AL1262" s="60" t="s">
        <v>30</v>
      </c>
    </row>
    <row r="1263" spans="1:48" ht="36" x14ac:dyDescent="0.2">
      <c r="A1263" s="119" t="s">
        <v>11042</v>
      </c>
      <c r="B1263" s="119" t="s">
        <v>11020</v>
      </c>
      <c r="C1263" s="119" t="s">
        <v>11014</v>
      </c>
      <c r="D1263" s="120">
        <v>1</v>
      </c>
      <c r="E1263" s="119">
        <v>1</v>
      </c>
      <c r="F1263" s="119" t="s">
        <v>11015</v>
      </c>
      <c r="G1263" s="119" t="s">
        <v>4059</v>
      </c>
      <c r="I1263" s="1" t="s">
        <v>768</v>
      </c>
      <c r="N1263" s="54" t="s">
        <v>9529</v>
      </c>
      <c r="V1263" s="4" t="s">
        <v>769</v>
      </c>
      <c r="X1263" s="137" t="s">
        <v>3526</v>
      </c>
      <c r="Y1263" s="1" t="s">
        <v>4059</v>
      </c>
      <c r="AA1263" s="1" t="s">
        <v>768</v>
      </c>
      <c r="AF1263" s="54" t="s">
        <v>9530</v>
      </c>
      <c r="AN1263" s="4" t="s">
        <v>11089</v>
      </c>
    </row>
    <row r="1264" spans="1:48" ht="36" x14ac:dyDescent="0.2">
      <c r="A1264" s="1" t="s">
        <v>11042</v>
      </c>
      <c r="B1264" s="1" t="s">
        <v>11021</v>
      </c>
      <c r="C1264" s="1" t="s">
        <v>11014</v>
      </c>
      <c r="D1264" s="48">
        <v>2</v>
      </c>
      <c r="E1264" s="1">
        <v>3</v>
      </c>
      <c r="F1264" s="1" t="s">
        <v>11015</v>
      </c>
      <c r="G1264" s="1" t="s">
        <v>11043</v>
      </c>
      <c r="I1264" s="1" t="s">
        <v>94</v>
      </c>
      <c r="K1264" s="1" t="s">
        <v>576</v>
      </c>
      <c r="L1264" s="2" t="s">
        <v>4085</v>
      </c>
      <c r="N1264" s="54">
        <v>35</v>
      </c>
      <c r="O1264" s="55">
        <v>4</v>
      </c>
      <c r="Q1264" s="57">
        <v>6</v>
      </c>
      <c r="R1264" s="58">
        <v>3</v>
      </c>
      <c r="S1264" s="59">
        <v>6</v>
      </c>
      <c r="V1264" s="4" t="s">
        <v>11044</v>
      </c>
      <c r="AU1264" s="1" t="s">
        <v>6257</v>
      </c>
      <c r="AV1264" s="1" t="s">
        <v>6258</v>
      </c>
    </row>
    <row r="1265" spans="1:40" ht="24" x14ac:dyDescent="0.2">
      <c r="A1265" s="4" t="s">
        <v>11042</v>
      </c>
      <c r="B1265" s="1" t="s">
        <v>11022</v>
      </c>
      <c r="C1265" s="1" t="s">
        <v>11014</v>
      </c>
      <c r="D1265" s="48">
        <v>3</v>
      </c>
      <c r="E1265" s="1">
        <v>5</v>
      </c>
      <c r="F1265" s="1" t="s">
        <v>11015</v>
      </c>
      <c r="G1265" s="1" t="s">
        <v>11045</v>
      </c>
      <c r="I1265" s="1" t="s">
        <v>94</v>
      </c>
      <c r="K1265" s="1" t="s">
        <v>576</v>
      </c>
      <c r="L1265" s="2" t="s">
        <v>4085</v>
      </c>
      <c r="N1265" s="54">
        <v>25</v>
      </c>
      <c r="O1265" s="55">
        <v>3</v>
      </c>
      <c r="Q1265" s="57">
        <v>4</v>
      </c>
      <c r="R1265" s="58">
        <v>2</v>
      </c>
      <c r="S1265" s="59">
        <v>5</v>
      </c>
      <c r="V1265" s="4" t="s">
        <v>11046</v>
      </c>
      <c r="W1265" s="4" t="s">
        <v>11047</v>
      </c>
    </row>
    <row r="1266" spans="1:40" ht="24" x14ac:dyDescent="0.2">
      <c r="A1266" s="1" t="s">
        <v>11042</v>
      </c>
      <c r="B1266" s="1" t="s">
        <v>11023</v>
      </c>
      <c r="C1266" s="1" t="s">
        <v>11014</v>
      </c>
      <c r="D1266" s="48">
        <v>4</v>
      </c>
      <c r="E1266" s="1">
        <v>2</v>
      </c>
      <c r="F1266" s="1" t="s">
        <v>11015</v>
      </c>
      <c r="G1266" s="1" t="s">
        <v>11048</v>
      </c>
      <c r="I1266" s="1" t="s">
        <v>104</v>
      </c>
      <c r="K1266" s="1" t="s">
        <v>105</v>
      </c>
      <c r="L1266" s="2" t="s">
        <v>11049</v>
      </c>
      <c r="O1266" s="55">
        <v>4</v>
      </c>
      <c r="T1266" s="60">
        <v>4</v>
      </c>
      <c r="V1266" s="4" t="s">
        <v>11050</v>
      </c>
    </row>
    <row r="1267" spans="1:40" ht="24" x14ac:dyDescent="0.2">
      <c r="A1267" s="1" t="s">
        <v>11042</v>
      </c>
      <c r="B1267" s="1" t="s">
        <v>11024</v>
      </c>
      <c r="C1267" s="1" t="s">
        <v>11014</v>
      </c>
      <c r="D1267" s="48">
        <v>5</v>
      </c>
      <c r="E1267" s="1">
        <v>2</v>
      </c>
      <c r="F1267" s="1" t="s">
        <v>11015</v>
      </c>
      <c r="G1267" s="1" t="s">
        <v>11051</v>
      </c>
      <c r="I1267" s="1" t="s">
        <v>104</v>
      </c>
      <c r="K1267" s="1" t="s">
        <v>105</v>
      </c>
      <c r="L1267" s="2" t="s">
        <v>11052</v>
      </c>
      <c r="O1267" s="55" t="s">
        <v>113</v>
      </c>
      <c r="T1267" s="60">
        <v>3</v>
      </c>
      <c r="V1267" s="4" t="s">
        <v>11053</v>
      </c>
      <c r="W1267" s="4" t="s">
        <v>11054</v>
      </c>
    </row>
    <row r="1268" spans="1:40" ht="24" x14ac:dyDescent="0.2">
      <c r="A1268" s="1" t="s">
        <v>11042</v>
      </c>
      <c r="B1268" s="1" t="s">
        <v>11025</v>
      </c>
      <c r="C1268" s="1" t="s">
        <v>11014</v>
      </c>
      <c r="D1268" s="48">
        <v>6</v>
      </c>
      <c r="E1268" s="1">
        <v>3</v>
      </c>
      <c r="F1268" s="1" t="s">
        <v>11015</v>
      </c>
      <c r="G1268" s="1" t="s">
        <v>11055</v>
      </c>
      <c r="I1268" s="1" t="s">
        <v>104</v>
      </c>
      <c r="K1268" s="1" t="s">
        <v>105</v>
      </c>
      <c r="O1268" s="55">
        <v>3</v>
      </c>
      <c r="T1268" s="60">
        <v>5</v>
      </c>
      <c r="V1268" s="4" t="s">
        <v>11056</v>
      </c>
      <c r="W1268" s="4" t="s">
        <v>11057</v>
      </c>
    </row>
    <row r="1269" spans="1:40" ht="24" x14ac:dyDescent="0.2">
      <c r="A1269" s="1" t="s">
        <v>11042</v>
      </c>
      <c r="B1269" s="1" t="s">
        <v>11026</v>
      </c>
      <c r="C1269" s="1" t="s">
        <v>11014</v>
      </c>
      <c r="D1269" s="48">
        <v>7</v>
      </c>
      <c r="E1269" s="1">
        <v>2</v>
      </c>
      <c r="F1269" s="1" t="s">
        <v>11015</v>
      </c>
      <c r="G1269" s="1" t="s">
        <v>11058</v>
      </c>
      <c r="I1269" s="1" t="s">
        <v>82</v>
      </c>
      <c r="V1269" s="4" t="s">
        <v>11059</v>
      </c>
      <c r="W1269" s="4" t="s">
        <v>11060</v>
      </c>
    </row>
    <row r="1270" spans="1:40" ht="48" x14ac:dyDescent="0.2">
      <c r="A1270" s="1" t="s">
        <v>11042</v>
      </c>
      <c r="B1270" s="1" t="s">
        <v>11027</v>
      </c>
      <c r="C1270" s="1" t="s">
        <v>11014</v>
      </c>
      <c r="D1270" s="48">
        <v>8</v>
      </c>
      <c r="E1270" s="1">
        <v>2</v>
      </c>
      <c r="F1270" s="1" t="s">
        <v>11015</v>
      </c>
      <c r="G1270" s="1" t="s">
        <v>11062</v>
      </c>
      <c r="I1270" s="1" t="s">
        <v>82</v>
      </c>
      <c r="L1270" s="2" t="s">
        <v>155</v>
      </c>
      <c r="V1270" s="4" t="s">
        <v>11063</v>
      </c>
    </row>
    <row r="1271" spans="1:40" ht="72" x14ac:dyDescent="0.2">
      <c r="A1271" s="119" t="s">
        <v>11042</v>
      </c>
      <c r="B1271" s="119" t="s">
        <v>11028</v>
      </c>
      <c r="C1271" s="119" t="s">
        <v>11018</v>
      </c>
      <c r="D1271" s="120">
        <v>1</v>
      </c>
      <c r="E1271" s="119">
        <v>1</v>
      </c>
      <c r="F1271" s="119" t="s">
        <v>11016</v>
      </c>
      <c r="G1271" s="119" t="s">
        <v>4036</v>
      </c>
      <c r="I1271" s="1" t="s">
        <v>768</v>
      </c>
      <c r="N1271" s="54" t="s">
        <v>9529</v>
      </c>
      <c r="V1271" s="4" t="s">
        <v>769</v>
      </c>
      <c r="X1271" s="137" t="s">
        <v>3774</v>
      </c>
      <c r="Y1271" s="1" t="s">
        <v>4036</v>
      </c>
      <c r="AA1271" s="1" t="s">
        <v>768</v>
      </c>
      <c r="AF1271" s="54" t="s">
        <v>9530</v>
      </c>
      <c r="AN1271" s="4" t="s">
        <v>11090</v>
      </c>
    </row>
    <row r="1272" spans="1:40" ht="72" x14ac:dyDescent="0.2">
      <c r="A1272" s="1" t="s">
        <v>11042</v>
      </c>
      <c r="B1272" s="1" t="s">
        <v>11029</v>
      </c>
      <c r="C1272" s="1" t="s">
        <v>11018</v>
      </c>
      <c r="D1272" s="48">
        <v>2</v>
      </c>
      <c r="E1272" s="1">
        <v>4</v>
      </c>
      <c r="F1272" s="1" t="s">
        <v>11016</v>
      </c>
      <c r="G1272" s="1" t="s">
        <v>11079</v>
      </c>
      <c r="I1272" s="1" t="s">
        <v>94</v>
      </c>
      <c r="K1272" s="1" t="s">
        <v>95</v>
      </c>
      <c r="N1272" s="54">
        <v>15</v>
      </c>
      <c r="O1272" s="55">
        <v>3</v>
      </c>
      <c r="Q1272" s="57">
        <v>3</v>
      </c>
      <c r="R1272" s="58">
        <v>2</v>
      </c>
      <c r="S1272" s="59">
        <v>5</v>
      </c>
      <c r="V1272" s="4" t="s">
        <v>11092</v>
      </c>
    </row>
    <row r="1273" spans="1:40" ht="60" x14ac:dyDescent="0.2">
      <c r="A1273" s="1" t="s">
        <v>11042</v>
      </c>
      <c r="B1273" s="1" t="s">
        <v>11030</v>
      </c>
      <c r="C1273" s="1" t="s">
        <v>11018</v>
      </c>
      <c r="D1273" s="48">
        <v>3</v>
      </c>
      <c r="E1273" s="1">
        <v>3</v>
      </c>
      <c r="F1273" s="1" t="s">
        <v>11016</v>
      </c>
      <c r="G1273" s="1" t="s">
        <v>11080</v>
      </c>
      <c r="I1273" s="1" t="s">
        <v>104</v>
      </c>
      <c r="K1273" s="1" t="s">
        <v>1112</v>
      </c>
      <c r="O1273" s="55">
        <v>2</v>
      </c>
      <c r="T1273" s="60">
        <v>6</v>
      </c>
      <c r="V1273" s="4" t="s">
        <v>11081</v>
      </c>
    </row>
    <row r="1274" spans="1:40" ht="24" x14ac:dyDescent="0.2">
      <c r="A1274" s="1" t="s">
        <v>11042</v>
      </c>
      <c r="B1274" s="1" t="s">
        <v>11031</v>
      </c>
      <c r="C1274" s="1" t="s">
        <v>11018</v>
      </c>
      <c r="D1274" s="48">
        <v>4</v>
      </c>
      <c r="E1274" s="1">
        <v>3</v>
      </c>
      <c r="F1274" s="1" t="s">
        <v>11016</v>
      </c>
      <c r="G1274" s="1" t="s">
        <v>11082</v>
      </c>
      <c r="I1274" s="1" t="s">
        <v>104</v>
      </c>
      <c r="K1274" s="1" t="s">
        <v>1178</v>
      </c>
      <c r="O1274" s="55">
        <v>3</v>
      </c>
      <c r="T1274" s="60">
        <v>5</v>
      </c>
      <c r="V1274" s="4" t="s">
        <v>11083</v>
      </c>
      <c r="W1274" s="4" t="s">
        <v>11084</v>
      </c>
    </row>
    <row r="1275" spans="1:40" ht="60" x14ac:dyDescent="0.2">
      <c r="A1275" s="1" t="s">
        <v>11042</v>
      </c>
      <c r="B1275" s="1" t="s">
        <v>11032</v>
      </c>
      <c r="C1275" s="1" t="s">
        <v>11018</v>
      </c>
      <c r="D1275" s="48">
        <v>5</v>
      </c>
      <c r="E1275" s="1">
        <v>2</v>
      </c>
      <c r="F1275" s="1" t="s">
        <v>11016</v>
      </c>
      <c r="G1275" s="1" t="s">
        <v>4065</v>
      </c>
      <c r="I1275" s="1" t="s">
        <v>104</v>
      </c>
      <c r="K1275" s="1" t="s">
        <v>1178</v>
      </c>
      <c r="O1275" s="55">
        <v>5</v>
      </c>
      <c r="T1275" s="60">
        <v>2</v>
      </c>
      <c r="V1275" s="4" t="s">
        <v>11085</v>
      </c>
    </row>
    <row r="1276" spans="1:40" ht="48" x14ac:dyDescent="0.2">
      <c r="A1276" s="1" t="s">
        <v>11042</v>
      </c>
      <c r="B1276" s="1" t="s">
        <v>11033</v>
      </c>
      <c r="C1276" s="1" t="s">
        <v>11018</v>
      </c>
      <c r="D1276" s="48">
        <v>6</v>
      </c>
      <c r="E1276" s="1">
        <v>4</v>
      </c>
      <c r="F1276" s="1" t="s">
        <v>11016</v>
      </c>
      <c r="G1276" s="1" t="s">
        <v>11086</v>
      </c>
      <c r="I1276" s="1" t="s">
        <v>82</v>
      </c>
      <c r="L1276" s="2" t="s">
        <v>685</v>
      </c>
      <c r="V1276" s="4" t="s">
        <v>11087</v>
      </c>
    </row>
    <row r="1277" spans="1:40" ht="72" x14ac:dyDescent="0.2">
      <c r="A1277" s="1" t="s">
        <v>11042</v>
      </c>
      <c r="B1277" s="1" t="s">
        <v>11034</v>
      </c>
      <c r="C1277" s="1" t="s">
        <v>11018</v>
      </c>
      <c r="D1277" s="48">
        <v>7</v>
      </c>
      <c r="E1277" s="1">
        <v>3</v>
      </c>
      <c r="F1277" s="1" t="s">
        <v>11016</v>
      </c>
      <c r="G1277" s="1" t="s">
        <v>11088</v>
      </c>
      <c r="I1277" s="1" t="s">
        <v>82</v>
      </c>
      <c r="L1277" s="2" t="s">
        <v>685</v>
      </c>
      <c r="V1277" s="4" t="s">
        <v>11093</v>
      </c>
    </row>
    <row r="1278" spans="1:40" ht="144" x14ac:dyDescent="0.2">
      <c r="A1278" s="119" t="s">
        <v>11042</v>
      </c>
      <c r="B1278" s="119" t="s">
        <v>11035</v>
      </c>
      <c r="C1278" s="119" t="s">
        <v>11019</v>
      </c>
      <c r="D1278" s="120">
        <v>1</v>
      </c>
      <c r="E1278" s="119">
        <v>1</v>
      </c>
      <c r="F1278" s="119" t="s">
        <v>11017</v>
      </c>
      <c r="G1278" s="119" t="s">
        <v>4042</v>
      </c>
      <c r="I1278" s="1" t="s">
        <v>768</v>
      </c>
      <c r="N1278" s="54" t="s">
        <v>9529</v>
      </c>
      <c r="V1278" s="4" t="s">
        <v>769</v>
      </c>
      <c r="X1278" s="137" t="s">
        <v>1629</v>
      </c>
      <c r="Y1278" s="1" t="s">
        <v>4042</v>
      </c>
      <c r="AA1278" s="1" t="s">
        <v>768</v>
      </c>
      <c r="AF1278" s="54" t="s">
        <v>9530</v>
      </c>
      <c r="AN1278" s="4" t="s">
        <v>11091</v>
      </c>
    </row>
    <row r="1279" spans="1:40" ht="24" x14ac:dyDescent="0.2">
      <c r="A1279" s="1" t="s">
        <v>11042</v>
      </c>
      <c r="B1279" s="1" t="s">
        <v>11036</v>
      </c>
      <c r="C1279" s="1" t="s">
        <v>11019</v>
      </c>
      <c r="D1279" s="48">
        <v>2</v>
      </c>
      <c r="E1279" s="1">
        <v>3</v>
      </c>
      <c r="F1279" s="1" t="s">
        <v>11017</v>
      </c>
      <c r="G1279" s="1" t="s">
        <v>11064</v>
      </c>
      <c r="I1279" s="1" t="s">
        <v>94</v>
      </c>
      <c r="K1279" s="1" t="s">
        <v>95</v>
      </c>
      <c r="N1279" s="54">
        <v>25</v>
      </c>
      <c r="O1279" s="55">
        <v>4</v>
      </c>
      <c r="Q1279" s="57">
        <v>5</v>
      </c>
      <c r="R1279" s="58">
        <v>3</v>
      </c>
      <c r="S1279" s="59">
        <v>5</v>
      </c>
      <c r="V1279" s="4" t="s">
        <v>11065</v>
      </c>
      <c r="W1279" s="4" t="s">
        <v>11066</v>
      </c>
    </row>
    <row r="1280" spans="1:40" ht="24" x14ac:dyDescent="0.2">
      <c r="A1280" s="1" t="s">
        <v>11042</v>
      </c>
      <c r="B1280" s="1" t="s">
        <v>11037</v>
      </c>
      <c r="C1280" s="1" t="s">
        <v>11019</v>
      </c>
      <c r="D1280" s="48">
        <v>3</v>
      </c>
      <c r="E1280" s="1">
        <v>4</v>
      </c>
      <c r="F1280" s="1" t="s">
        <v>11017</v>
      </c>
      <c r="G1280" s="1" t="s">
        <v>11067</v>
      </c>
      <c r="I1280" s="1" t="s">
        <v>94</v>
      </c>
      <c r="K1280" s="1" t="s">
        <v>604</v>
      </c>
      <c r="N1280" s="54">
        <v>15</v>
      </c>
      <c r="O1280" s="55">
        <v>3</v>
      </c>
      <c r="Q1280" s="57">
        <v>3</v>
      </c>
      <c r="R1280" s="58">
        <v>2</v>
      </c>
      <c r="S1280" s="59">
        <v>4</v>
      </c>
      <c r="V1280" s="4" t="s">
        <v>11068</v>
      </c>
      <c r="W1280" s="4" t="s">
        <v>11069</v>
      </c>
    </row>
    <row r="1281" spans="1:47" ht="36" x14ac:dyDescent="0.2">
      <c r="A1281" s="1" t="s">
        <v>11042</v>
      </c>
      <c r="B1281" s="1" t="s">
        <v>11038</v>
      </c>
      <c r="C1281" s="1" t="s">
        <v>11019</v>
      </c>
      <c r="D1281" s="48">
        <v>4</v>
      </c>
      <c r="E1281" s="1">
        <v>4</v>
      </c>
      <c r="F1281" s="1" t="s">
        <v>11017</v>
      </c>
      <c r="G1281" s="1" t="s">
        <v>11070</v>
      </c>
      <c r="I1281" s="1" t="s">
        <v>94</v>
      </c>
      <c r="K1281" s="1" t="s">
        <v>604</v>
      </c>
      <c r="L1281" s="2" t="s">
        <v>3246</v>
      </c>
      <c r="N1281" s="54">
        <v>40</v>
      </c>
      <c r="O1281" s="55">
        <v>2</v>
      </c>
      <c r="Q1281" s="57">
        <v>5</v>
      </c>
      <c r="R1281" s="58">
        <v>3</v>
      </c>
      <c r="S1281" s="59">
        <v>5</v>
      </c>
      <c r="V1281" s="4" t="s">
        <v>11071</v>
      </c>
    </row>
    <row r="1282" spans="1:47" ht="60" x14ac:dyDescent="0.2">
      <c r="A1282" s="1" t="s">
        <v>11042</v>
      </c>
      <c r="B1282" s="1" t="s">
        <v>11039</v>
      </c>
      <c r="C1282" s="1" t="s">
        <v>11019</v>
      </c>
      <c r="D1282" s="48">
        <v>5</v>
      </c>
      <c r="E1282" s="1">
        <v>2</v>
      </c>
      <c r="F1282" s="1" t="s">
        <v>11017</v>
      </c>
      <c r="G1282" s="1" t="s">
        <v>11072</v>
      </c>
      <c r="I1282" s="1" t="s">
        <v>104</v>
      </c>
      <c r="K1282" s="1" t="s">
        <v>4953</v>
      </c>
      <c r="O1282" s="55">
        <v>5</v>
      </c>
      <c r="T1282" s="60">
        <v>5</v>
      </c>
      <c r="V1282" s="4" t="s">
        <v>11073</v>
      </c>
    </row>
    <row r="1283" spans="1:47" ht="24" x14ac:dyDescent="0.2">
      <c r="A1283" s="1" t="s">
        <v>11042</v>
      </c>
      <c r="B1283" s="1" t="s">
        <v>11040</v>
      </c>
      <c r="C1283" s="1" t="s">
        <v>11019</v>
      </c>
      <c r="D1283" s="48">
        <v>6</v>
      </c>
      <c r="E1283" s="1">
        <v>3</v>
      </c>
      <c r="F1283" s="1" t="s">
        <v>11017</v>
      </c>
      <c r="G1283" s="1" t="s">
        <v>11074</v>
      </c>
      <c r="I1283" s="1" t="s">
        <v>104</v>
      </c>
      <c r="K1283" s="1" t="s">
        <v>1178</v>
      </c>
      <c r="O1283" s="55">
        <v>3</v>
      </c>
      <c r="T1283" s="60">
        <v>6</v>
      </c>
      <c r="V1283" s="4" t="s">
        <v>11075</v>
      </c>
      <c r="W1283" s="4" t="s">
        <v>11076</v>
      </c>
    </row>
    <row r="1284" spans="1:47" ht="36" x14ac:dyDescent="0.2">
      <c r="A1284" s="1" t="s">
        <v>11042</v>
      </c>
      <c r="B1284" s="1" t="s">
        <v>11041</v>
      </c>
      <c r="C1284" s="1" t="s">
        <v>11019</v>
      </c>
      <c r="D1284" s="48">
        <v>7</v>
      </c>
      <c r="E1284" s="1">
        <v>3</v>
      </c>
      <c r="F1284" s="1" t="s">
        <v>11017</v>
      </c>
      <c r="G1284" s="1" t="s">
        <v>11077</v>
      </c>
      <c r="I1284" s="1" t="s">
        <v>82</v>
      </c>
      <c r="V1284" s="4" t="s">
        <v>11078</v>
      </c>
      <c r="W1284" s="4" t="s">
        <v>3364</v>
      </c>
    </row>
    <row r="1285" spans="1:47" ht="48" x14ac:dyDescent="0.2">
      <c r="A1285" s="121" t="s">
        <v>4293</v>
      </c>
      <c r="B1285" s="121" t="s">
        <v>4341</v>
      </c>
      <c r="C1285" s="121" t="s">
        <v>5719</v>
      </c>
      <c r="D1285" s="122">
        <v>1</v>
      </c>
      <c r="E1285" s="121">
        <v>1</v>
      </c>
      <c r="F1285" s="121"/>
      <c r="G1285" s="121" t="s">
        <v>4112</v>
      </c>
      <c r="H1285" s="1" t="s">
        <v>26</v>
      </c>
      <c r="I1285" s="1" t="s">
        <v>27</v>
      </c>
      <c r="J1285" s="1" t="s">
        <v>4113</v>
      </c>
      <c r="K1285" s="1" t="s">
        <v>242</v>
      </c>
      <c r="M1285" s="18">
        <v>0</v>
      </c>
      <c r="P1285" s="56">
        <v>1</v>
      </c>
      <c r="Q1285" s="57">
        <v>1</v>
      </c>
      <c r="R1285" s="58">
        <v>1</v>
      </c>
      <c r="S1285" s="59">
        <v>3</v>
      </c>
      <c r="V1285" s="4" t="s">
        <v>4342</v>
      </c>
      <c r="AL1285" s="60" t="s">
        <v>30</v>
      </c>
    </row>
    <row r="1286" spans="1:47" ht="36" x14ac:dyDescent="0.2">
      <c r="A1286" s="1" t="s">
        <v>4293</v>
      </c>
      <c r="B1286" s="1" t="s">
        <v>4532</v>
      </c>
      <c r="C1286" s="1" t="s">
        <v>5719</v>
      </c>
      <c r="D1286" s="48">
        <v>2</v>
      </c>
      <c r="E1286" s="1">
        <v>1</v>
      </c>
      <c r="G1286" s="1" t="s">
        <v>4533</v>
      </c>
      <c r="H1286" s="1" t="s">
        <v>26</v>
      </c>
      <c r="I1286" s="1" t="s">
        <v>27</v>
      </c>
      <c r="J1286" s="1" t="s">
        <v>28</v>
      </c>
      <c r="K1286" s="1" t="s">
        <v>350</v>
      </c>
      <c r="M1286" s="18">
        <v>12</v>
      </c>
      <c r="P1286" s="56">
        <v>3</v>
      </c>
      <c r="Q1286" s="57">
        <v>3</v>
      </c>
      <c r="R1286" s="58">
        <v>1</v>
      </c>
      <c r="S1286" s="59">
        <v>5</v>
      </c>
      <c r="V1286" s="4" t="s">
        <v>4534</v>
      </c>
      <c r="AL1286" s="60" t="s">
        <v>30</v>
      </c>
    </row>
    <row r="1287" spans="1:47" ht="24" x14ac:dyDescent="0.2">
      <c r="A1287" s="1" t="s">
        <v>4293</v>
      </c>
      <c r="B1287" s="1" t="s">
        <v>4479</v>
      </c>
      <c r="C1287" s="1" t="s">
        <v>5719</v>
      </c>
      <c r="D1287" s="48">
        <v>3</v>
      </c>
      <c r="E1287" s="1">
        <v>1</v>
      </c>
      <c r="G1287" s="1" t="s">
        <v>4480</v>
      </c>
      <c r="H1287" s="1" t="s">
        <v>26</v>
      </c>
      <c r="I1287" s="1" t="s">
        <v>27</v>
      </c>
      <c r="J1287" s="1" t="s">
        <v>57</v>
      </c>
      <c r="K1287" s="1" t="s">
        <v>283</v>
      </c>
      <c r="M1287" s="18">
        <v>9</v>
      </c>
      <c r="P1287" s="56">
        <v>2</v>
      </c>
      <c r="Q1287" s="57">
        <v>1</v>
      </c>
      <c r="R1287" s="58">
        <v>2</v>
      </c>
      <c r="S1287" s="59">
        <v>4</v>
      </c>
      <c r="V1287" s="4" t="s">
        <v>4481</v>
      </c>
      <c r="AL1287" s="60" t="s">
        <v>30</v>
      </c>
      <c r="AU1287" s="1" t="s">
        <v>6259</v>
      </c>
    </row>
    <row r="1288" spans="1:47" ht="24" x14ac:dyDescent="0.2">
      <c r="A1288" s="1" t="s">
        <v>4293</v>
      </c>
      <c r="B1288" s="1" t="s">
        <v>4488</v>
      </c>
      <c r="C1288" s="1" t="s">
        <v>5719</v>
      </c>
      <c r="D1288" s="48">
        <v>4</v>
      </c>
      <c r="E1288" s="1">
        <v>1</v>
      </c>
      <c r="G1288" s="1" t="s">
        <v>4489</v>
      </c>
      <c r="H1288" s="1" t="s">
        <v>26</v>
      </c>
      <c r="I1288" s="1" t="s">
        <v>27</v>
      </c>
      <c r="J1288" s="1" t="s">
        <v>39</v>
      </c>
      <c r="K1288" s="1" t="s">
        <v>283</v>
      </c>
      <c r="M1288" s="18">
        <v>8</v>
      </c>
      <c r="P1288" s="56">
        <v>2</v>
      </c>
      <c r="Q1288" s="57">
        <v>2</v>
      </c>
      <c r="R1288" s="58">
        <v>1</v>
      </c>
      <c r="S1288" s="59">
        <v>3</v>
      </c>
      <c r="V1288" s="4" t="s">
        <v>4490</v>
      </c>
      <c r="AL1288" s="60" t="s">
        <v>30</v>
      </c>
    </row>
    <row r="1289" spans="1:47" ht="36" x14ac:dyDescent="0.2">
      <c r="A1289" s="1" t="s">
        <v>4293</v>
      </c>
      <c r="B1289" s="1" t="s">
        <v>4335</v>
      </c>
      <c r="C1289" s="1" t="s">
        <v>5719</v>
      </c>
      <c r="D1289" s="48">
        <v>5</v>
      </c>
      <c r="E1289" s="1">
        <v>1</v>
      </c>
      <c r="G1289" s="1" t="s">
        <v>438</v>
      </c>
      <c r="H1289" s="1" t="s">
        <v>26</v>
      </c>
      <c r="I1289" s="1" t="s">
        <v>27</v>
      </c>
      <c r="J1289" s="1" t="s">
        <v>50</v>
      </c>
      <c r="K1289" s="1" t="s">
        <v>439</v>
      </c>
      <c r="L1289" s="2" t="s">
        <v>4336</v>
      </c>
      <c r="M1289" s="18">
        <v>12</v>
      </c>
      <c r="P1289" s="56">
        <v>0</v>
      </c>
      <c r="Q1289" s="57">
        <v>5</v>
      </c>
      <c r="R1289" s="58">
        <v>1</v>
      </c>
      <c r="S1289" s="59">
        <v>10</v>
      </c>
      <c r="V1289" s="4" t="s">
        <v>4337</v>
      </c>
      <c r="AL1289" s="60" t="s">
        <v>30</v>
      </c>
    </row>
    <row r="1290" spans="1:47" ht="36" x14ac:dyDescent="0.2">
      <c r="A1290" s="1" t="s">
        <v>4293</v>
      </c>
      <c r="B1290" s="1" t="s">
        <v>4382</v>
      </c>
      <c r="C1290" s="1" t="s">
        <v>5719</v>
      </c>
      <c r="D1290" s="48">
        <v>6</v>
      </c>
      <c r="E1290" s="1">
        <v>3</v>
      </c>
      <c r="G1290" s="1" t="s">
        <v>4383</v>
      </c>
      <c r="H1290" s="1" t="s">
        <v>26</v>
      </c>
      <c r="I1290" s="1" t="s">
        <v>38</v>
      </c>
      <c r="J1290" s="1" t="s">
        <v>28</v>
      </c>
      <c r="K1290" s="1" t="s">
        <v>283</v>
      </c>
      <c r="M1290" s="18">
        <v>3</v>
      </c>
      <c r="P1290" s="56">
        <v>1</v>
      </c>
      <c r="Q1290" s="57">
        <v>1</v>
      </c>
      <c r="R1290" s="58">
        <v>1</v>
      </c>
      <c r="S1290" s="59">
        <v>2</v>
      </c>
      <c r="V1290" s="4" t="s">
        <v>4384</v>
      </c>
      <c r="AL1290" s="60" t="s">
        <v>30</v>
      </c>
    </row>
    <row r="1291" spans="1:47" ht="36" x14ac:dyDescent="0.2">
      <c r="A1291" s="1" t="s">
        <v>4293</v>
      </c>
      <c r="B1291" s="1" t="s">
        <v>4454</v>
      </c>
      <c r="C1291" s="1" t="s">
        <v>5719</v>
      </c>
      <c r="D1291" s="48">
        <v>7</v>
      </c>
      <c r="E1291" s="1">
        <v>3</v>
      </c>
      <c r="G1291" s="1" t="s">
        <v>4455</v>
      </c>
      <c r="H1291" s="1" t="s">
        <v>26</v>
      </c>
      <c r="I1291" s="1" t="s">
        <v>38</v>
      </c>
      <c r="J1291" s="1" t="s">
        <v>57</v>
      </c>
      <c r="K1291" s="1" t="s">
        <v>283</v>
      </c>
      <c r="M1291" s="18">
        <v>3</v>
      </c>
      <c r="P1291" s="56">
        <v>1</v>
      </c>
      <c r="Q1291" s="57">
        <v>1</v>
      </c>
      <c r="R1291" s="58">
        <v>1</v>
      </c>
      <c r="S1291" s="59">
        <v>2</v>
      </c>
      <c r="V1291" s="4" t="s">
        <v>4456</v>
      </c>
      <c r="AL1291" s="60" t="s">
        <v>30</v>
      </c>
    </row>
    <row r="1292" spans="1:47" ht="36" x14ac:dyDescent="0.2">
      <c r="A1292" s="1" t="s">
        <v>4293</v>
      </c>
      <c r="B1292" s="1" t="s">
        <v>4347</v>
      </c>
      <c r="C1292" s="1" t="s">
        <v>5719</v>
      </c>
      <c r="D1292" s="48">
        <v>8</v>
      </c>
      <c r="E1292" s="1">
        <v>3</v>
      </c>
      <c r="G1292" s="1" t="s">
        <v>4348</v>
      </c>
      <c r="H1292" s="1" t="s">
        <v>26</v>
      </c>
      <c r="I1292" s="1" t="s">
        <v>38</v>
      </c>
      <c r="J1292" s="1" t="s">
        <v>50</v>
      </c>
      <c r="K1292" s="1" t="s">
        <v>283</v>
      </c>
      <c r="M1292" s="18">
        <v>3</v>
      </c>
      <c r="P1292" s="56">
        <v>2</v>
      </c>
      <c r="Q1292" s="57">
        <v>2</v>
      </c>
      <c r="R1292" s="58">
        <v>0</v>
      </c>
      <c r="S1292" s="59">
        <v>3</v>
      </c>
      <c r="V1292" s="4" t="s">
        <v>4349</v>
      </c>
      <c r="AL1292" s="60" t="s">
        <v>30</v>
      </c>
    </row>
    <row r="1293" spans="1:47" ht="24" x14ac:dyDescent="0.2">
      <c r="A1293" s="1" t="s">
        <v>4293</v>
      </c>
      <c r="B1293" s="1" t="s">
        <v>4370</v>
      </c>
      <c r="C1293" s="1" t="s">
        <v>5719</v>
      </c>
      <c r="D1293" s="48">
        <v>9</v>
      </c>
      <c r="E1293" s="1">
        <v>3</v>
      </c>
      <c r="G1293" s="1" t="s">
        <v>4371</v>
      </c>
      <c r="H1293" s="1" t="s">
        <v>26</v>
      </c>
      <c r="I1293" s="1" t="s">
        <v>38</v>
      </c>
      <c r="J1293" s="1" t="s">
        <v>39</v>
      </c>
      <c r="K1293" s="1" t="s">
        <v>283</v>
      </c>
      <c r="M1293" s="18">
        <v>3</v>
      </c>
      <c r="P1293" s="56">
        <v>1</v>
      </c>
      <c r="Q1293" s="57">
        <v>2</v>
      </c>
      <c r="R1293" s="58">
        <v>1</v>
      </c>
      <c r="S1293" s="59">
        <v>3</v>
      </c>
      <c r="V1293" s="4" t="s">
        <v>4372</v>
      </c>
      <c r="AL1293" s="60" t="s">
        <v>30</v>
      </c>
    </row>
    <row r="1294" spans="1:47" ht="48" x14ac:dyDescent="0.2">
      <c r="A1294" s="1" t="s">
        <v>4293</v>
      </c>
      <c r="B1294" s="1" t="s">
        <v>4395</v>
      </c>
      <c r="C1294" s="1" t="s">
        <v>5719</v>
      </c>
      <c r="D1294" s="48">
        <v>10</v>
      </c>
      <c r="E1294" s="1">
        <v>3</v>
      </c>
      <c r="G1294" s="1" t="s">
        <v>571</v>
      </c>
      <c r="H1294" s="1" t="s">
        <v>26</v>
      </c>
      <c r="I1294" s="1" t="s">
        <v>38</v>
      </c>
      <c r="J1294" s="1" t="s">
        <v>44</v>
      </c>
      <c r="K1294" s="1" t="s">
        <v>45</v>
      </c>
      <c r="M1294" s="18">
        <v>5</v>
      </c>
      <c r="P1294" s="56">
        <v>4</v>
      </c>
      <c r="Q1294" s="57">
        <v>4</v>
      </c>
      <c r="R1294" s="58">
        <v>4</v>
      </c>
      <c r="S1294" s="59">
        <v>4</v>
      </c>
      <c r="V1294" s="4" t="s">
        <v>4396</v>
      </c>
      <c r="AL1294" s="60" t="s">
        <v>30</v>
      </c>
    </row>
    <row r="1295" spans="1:47" x14ac:dyDescent="0.2">
      <c r="A1295" s="1" t="s">
        <v>4293</v>
      </c>
      <c r="B1295" s="1" t="s">
        <v>4365</v>
      </c>
      <c r="C1295" s="1" t="s">
        <v>5719</v>
      </c>
      <c r="D1295" s="48">
        <v>11</v>
      </c>
      <c r="E1295" s="1">
        <v>3</v>
      </c>
      <c r="G1295" s="1" t="s">
        <v>4366</v>
      </c>
      <c r="I1295" s="1" t="s">
        <v>56</v>
      </c>
      <c r="J1295" s="1" t="s">
        <v>28</v>
      </c>
      <c r="K1295" s="1" t="s">
        <v>89</v>
      </c>
      <c r="L1295" s="2" t="s">
        <v>71</v>
      </c>
      <c r="M1295" s="18">
        <v>0</v>
      </c>
      <c r="V1295" s="4" t="s">
        <v>4367</v>
      </c>
      <c r="AL1295" s="60" t="s">
        <v>30</v>
      </c>
    </row>
    <row r="1296" spans="1:47" ht="36" x14ac:dyDescent="0.2">
      <c r="A1296" s="1" t="s">
        <v>4293</v>
      </c>
      <c r="B1296" s="1" t="s">
        <v>4507</v>
      </c>
      <c r="C1296" s="1" t="s">
        <v>5719</v>
      </c>
      <c r="D1296" s="48">
        <v>12</v>
      </c>
      <c r="E1296" s="1">
        <v>3</v>
      </c>
      <c r="G1296" s="1" t="s">
        <v>4508</v>
      </c>
      <c r="I1296" s="1" t="s">
        <v>56</v>
      </c>
      <c r="J1296" s="1" t="s">
        <v>57</v>
      </c>
      <c r="K1296" s="1" t="s">
        <v>89</v>
      </c>
      <c r="L1296" s="2" t="s">
        <v>299</v>
      </c>
      <c r="M1296" s="18">
        <v>0</v>
      </c>
      <c r="V1296" s="4" t="s">
        <v>4509</v>
      </c>
      <c r="AL1296" s="60" t="s">
        <v>30</v>
      </c>
    </row>
    <row r="1297" spans="1:40" ht="36" x14ac:dyDescent="0.2">
      <c r="A1297" s="1" t="s">
        <v>4293</v>
      </c>
      <c r="B1297" s="1" t="s">
        <v>4535</v>
      </c>
      <c r="C1297" s="1" t="s">
        <v>5719</v>
      </c>
      <c r="D1297" s="48">
        <v>13</v>
      </c>
      <c r="E1297" s="1">
        <v>3</v>
      </c>
      <c r="G1297" s="1" t="s">
        <v>10580</v>
      </c>
      <c r="H1297" s="1" t="s">
        <v>26</v>
      </c>
      <c r="I1297" s="1" t="s">
        <v>56</v>
      </c>
      <c r="J1297" s="1" t="s">
        <v>39</v>
      </c>
      <c r="K1297" s="1" t="s">
        <v>150</v>
      </c>
      <c r="L1297" s="2" t="s">
        <v>71</v>
      </c>
      <c r="M1297" s="18">
        <v>1</v>
      </c>
      <c r="V1297" s="4" t="s">
        <v>10581</v>
      </c>
      <c r="AL1297" s="60" t="s">
        <v>30</v>
      </c>
    </row>
    <row r="1298" spans="1:40" ht="48" x14ac:dyDescent="0.2">
      <c r="A1298" s="1" t="s">
        <v>4293</v>
      </c>
      <c r="B1298" s="1" t="s">
        <v>4326</v>
      </c>
      <c r="C1298" s="1" t="s">
        <v>5719</v>
      </c>
      <c r="D1298" s="48">
        <v>14</v>
      </c>
      <c r="E1298" s="1">
        <v>3</v>
      </c>
      <c r="G1298" s="1" t="s">
        <v>4327</v>
      </c>
      <c r="I1298" s="1" t="s">
        <v>63</v>
      </c>
      <c r="J1298" s="1" t="s">
        <v>28</v>
      </c>
      <c r="M1298" s="18">
        <v>0</v>
      </c>
      <c r="V1298" s="4" t="s">
        <v>4328</v>
      </c>
      <c r="AL1298" s="60" t="s">
        <v>30</v>
      </c>
    </row>
    <row r="1299" spans="1:40" ht="24" x14ac:dyDescent="0.2">
      <c r="A1299" s="1" t="s">
        <v>4293</v>
      </c>
      <c r="B1299" s="1" t="s">
        <v>4385</v>
      </c>
      <c r="C1299" s="1" t="s">
        <v>5719</v>
      </c>
      <c r="D1299" s="48">
        <v>15</v>
      </c>
      <c r="E1299" s="1">
        <v>3</v>
      </c>
      <c r="G1299" s="1" t="s">
        <v>4386</v>
      </c>
      <c r="I1299" s="1" t="s">
        <v>63</v>
      </c>
      <c r="J1299" s="1" t="s">
        <v>50</v>
      </c>
      <c r="M1299" s="18">
        <v>0</v>
      </c>
      <c r="V1299" s="4" t="s">
        <v>4387</v>
      </c>
      <c r="AL1299" s="60" t="s">
        <v>30</v>
      </c>
    </row>
    <row r="1300" spans="1:40" ht="36" x14ac:dyDescent="0.2">
      <c r="A1300" s="1" t="s">
        <v>4293</v>
      </c>
      <c r="B1300" s="1" t="s">
        <v>4420</v>
      </c>
      <c r="C1300" s="1" t="s">
        <v>5719</v>
      </c>
      <c r="D1300" s="48">
        <v>16</v>
      </c>
      <c r="E1300" s="1">
        <v>3</v>
      </c>
      <c r="G1300" s="1" t="s">
        <v>4421</v>
      </c>
      <c r="I1300" s="1" t="s">
        <v>63</v>
      </c>
      <c r="J1300" s="1" t="s">
        <v>50</v>
      </c>
      <c r="M1300" s="18">
        <v>0</v>
      </c>
      <c r="V1300" s="4" t="s">
        <v>4422</v>
      </c>
      <c r="AL1300" s="60" t="s">
        <v>30</v>
      </c>
    </row>
    <row r="1301" spans="1:40" ht="24" x14ac:dyDescent="0.2">
      <c r="A1301" s="1" t="s">
        <v>4293</v>
      </c>
      <c r="B1301" s="1" t="s">
        <v>4461</v>
      </c>
      <c r="C1301" s="1" t="s">
        <v>5719</v>
      </c>
      <c r="D1301" s="48">
        <v>17</v>
      </c>
      <c r="E1301" s="1">
        <v>3</v>
      </c>
      <c r="G1301" s="1" t="s">
        <v>4462</v>
      </c>
      <c r="I1301" s="1" t="s">
        <v>63</v>
      </c>
      <c r="J1301" s="1" t="s">
        <v>57</v>
      </c>
      <c r="M1301" s="18">
        <v>0</v>
      </c>
      <c r="V1301" s="4" t="s">
        <v>4463</v>
      </c>
      <c r="AL1301" s="60" t="s">
        <v>30</v>
      </c>
    </row>
    <row r="1302" spans="1:40" ht="48" x14ac:dyDescent="0.2">
      <c r="A1302" s="1" t="s">
        <v>4293</v>
      </c>
      <c r="B1302" s="1" t="s">
        <v>4379</v>
      </c>
      <c r="C1302" s="1" t="s">
        <v>5719</v>
      </c>
      <c r="D1302" s="48">
        <v>18</v>
      </c>
      <c r="E1302" s="1">
        <v>3</v>
      </c>
      <c r="G1302" s="1" t="s">
        <v>4380</v>
      </c>
      <c r="I1302" s="1" t="s">
        <v>63</v>
      </c>
      <c r="J1302" s="1" t="s">
        <v>39</v>
      </c>
      <c r="M1302" s="18">
        <v>1</v>
      </c>
      <c r="V1302" s="4" t="s">
        <v>4381</v>
      </c>
      <c r="AL1302" s="60" t="s">
        <v>30</v>
      </c>
    </row>
    <row r="1303" spans="1:40" ht="48" x14ac:dyDescent="0.2">
      <c r="A1303" s="1" t="s">
        <v>4293</v>
      </c>
      <c r="B1303" s="1" t="s">
        <v>4350</v>
      </c>
      <c r="C1303" s="1" t="s">
        <v>5719</v>
      </c>
      <c r="D1303" s="48">
        <v>19</v>
      </c>
      <c r="E1303" s="1">
        <v>3</v>
      </c>
      <c r="G1303" s="1" t="s">
        <v>4351</v>
      </c>
      <c r="I1303" s="1" t="s">
        <v>63</v>
      </c>
      <c r="J1303" s="1" t="s">
        <v>4113</v>
      </c>
      <c r="M1303" s="18">
        <v>1</v>
      </c>
      <c r="V1303" s="4" t="s">
        <v>4352</v>
      </c>
      <c r="AL1303" s="60" t="s">
        <v>30</v>
      </c>
    </row>
    <row r="1304" spans="1:40" ht="60" x14ac:dyDescent="0.2">
      <c r="A1304" s="1" t="s">
        <v>4293</v>
      </c>
      <c r="B1304" s="1" t="s">
        <v>4510</v>
      </c>
      <c r="C1304" s="1" t="s">
        <v>5719</v>
      </c>
      <c r="D1304" s="48">
        <v>20</v>
      </c>
      <c r="E1304" s="1">
        <v>1</v>
      </c>
      <c r="G1304" s="1" t="s">
        <v>4511</v>
      </c>
      <c r="H1304" s="1" t="s">
        <v>26</v>
      </c>
      <c r="I1304" s="1" t="s">
        <v>4050</v>
      </c>
      <c r="J1304" s="1" t="s">
        <v>44</v>
      </c>
      <c r="K1304" s="1" t="s">
        <v>3565</v>
      </c>
      <c r="L1304" s="2" t="s">
        <v>4512</v>
      </c>
      <c r="M1304" s="18">
        <v>0</v>
      </c>
      <c r="V1304" s="4" t="s">
        <v>4513</v>
      </c>
      <c r="AL1304" s="60" t="s">
        <v>30</v>
      </c>
    </row>
    <row r="1305" spans="1:40" ht="48" x14ac:dyDescent="0.2">
      <c r="A1305" s="1" t="s">
        <v>4293</v>
      </c>
      <c r="B1305" s="1" t="s">
        <v>4485</v>
      </c>
      <c r="C1305" s="1" t="s">
        <v>5719</v>
      </c>
      <c r="D1305" s="48">
        <v>21</v>
      </c>
      <c r="E1305" s="1">
        <v>1</v>
      </c>
      <c r="G1305" s="1" t="s">
        <v>4486</v>
      </c>
      <c r="H1305" s="1" t="s">
        <v>26</v>
      </c>
      <c r="I1305" s="1" t="s">
        <v>4050</v>
      </c>
      <c r="J1305" s="1" t="s">
        <v>44</v>
      </c>
      <c r="K1305" s="1" t="s">
        <v>3565</v>
      </c>
      <c r="L1305" s="2" t="s">
        <v>427</v>
      </c>
      <c r="M1305" s="18">
        <v>0</v>
      </c>
      <c r="V1305" s="4" t="s">
        <v>4487</v>
      </c>
      <c r="AL1305" s="60" t="s">
        <v>30</v>
      </c>
    </row>
    <row r="1306" spans="1:40" ht="48" x14ac:dyDescent="0.2">
      <c r="A1306" s="1" t="s">
        <v>4293</v>
      </c>
      <c r="B1306" s="1" t="s">
        <v>4397</v>
      </c>
      <c r="C1306" s="1" t="s">
        <v>5719</v>
      </c>
      <c r="D1306" s="48">
        <v>22</v>
      </c>
      <c r="E1306" s="1">
        <v>1</v>
      </c>
      <c r="G1306" s="1" t="s">
        <v>4398</v>
      </c>
      <c r="H1306" s="1" t="s">
        <v>26</v>
      </c>
      <c r="I1306" s="1" t="s">
        <v>4050</v>
      </c>
      <c r="J1306" s="1" t="s">
        <v>44</v>
      </c>
      <c r="K1306" s="1" t="s">
        <v>3565</v>
      </c>
      <c r="L1306" s="2" t="s">
        <v>4399</v>
      </c>
      <c r="M1306" s="18">
        <v>0</v>
      </c>
      <c r="V1306" s="4" t="s">
        <v>4400</v>
      </c>
      <c r="AL1306" s="60" t="s">
        <v>30</v>
      </c>
    </row>
    <row r="1307" spans="1:40" ht="60" x14ac:dyDescent="0.2">
      <c r="A1307" s="111" t="s">
        <v>4293</v>
      </c>
      <c r="B1307" s="111" t="s">
        <v>4332</v>
      </c>
      <c r="C1307" s="111" t="s">
        <v>5719</v>
      </c>
      <c r="D1307" s="112">
        <v>23</v>
      </c>
      <c r="E1307" s="111">
        <v>1</v>
      </c>
      <c r="F1307" s="111" t="s">
        <v>4298</v>
      </c>
      <c r="G1307" s="111" t="s">
        <v>9565</v>
      </c>
      <c r="I1307" s="1" t="s">
        <v>125</v>
      </c>
      <c r="M1307" s="18">
        <v>1</v>
      </c>
      <c r="N1307" s="54" t="s">
        <v>9529</v>
      </c>
      <c r="V1307" s="4" t="s">
        <v>4333</v>
      </c>
      <c r="X1307" s="1" t="s">
        <v>4334</v>
      </c>
      <c r="Y1307" s="1" t="s">
        <v>9565</v>
      </c>
      <c r="AA1307" s="1" t="s">
        <v>125</v>
      </c>
      <c r="AE1307" s="1">
        <v>1</v>
      </c>
      <c r="AF1307" s="54" t="s">
        <v>9530</v>
      </c>
      <c r="AL1307" s="60" t="s">
        <v>243</v>
      </c>
    </row>
    <row r="1308" spans="1:40" ht="72" x14ac:dyDescent="0.2">
      <c r="A1308" s="1" t="s">
        <v>4293</v>
      </c>
      <c r="B1308" s="1" t="s">
        <v>4504</v>
      </c>
      <c r="C1308" s="1" t="s">
        <v>5719</v>
      </c>
      <c r="D1308" s="48">
        <v>24</v>
      </c>
      <c r="E1308" s="1">
        <v>1</v>
      </c>
      <c r="F1308" s="1" t="s">
        <v>4298</v>
      </c>
      <c r="G1308" s="1" t="s">
        <v>9625</v>
      </c>
      <c r="I1308" s="1" t="s">
        <v>125</v>
      </c>
      <c r="M1308" s="18">
        <v>2</v>
      </c>
      <c r="N1308" s="54" t="s">
        <v>9529</v>
      </c>
      <c r="V1308" s="4" t="s">
        <v>4505</v>
      </c>
      <c r="Y1308" s="1" t="s">
        <v>9625</v>
      </c>
      <c r="AA1308" s="1" t="s">
        <v>125</v>
      </c>
      <c r="AE1308" s="1">
        <v>2</v>
      </c>
      <c r="AF1308" s="54" t="s">
        <v>9530</v>
      </c>
      <c r="AL1308" s="60" t="s">
        <v>36</v>
      </c>
      <c r="AN1308" s="4" t="s">
        <v>4506</v>
      </c>
    </row>
    <row r="1309" spans="1:40" ht="60" x14ac:dyDescent="0.2">
      <c r="A1309" s="1" t="s">
        <v>4293</v>
      </c>
      <c r="B1309" s="1" t="s">
        <v>4368</v>
      </c>
      <c r="C1309" s="1" t="s">
        <v>5719</v>
      </c>
      <c r="D1309" s="48">
        <v>25</v>
      </c>
      <c r="E1309" s="1">
        <v>1</v>
      </c>
      <c r="F1309" s="1" t="s">
        <v>4298</v>
      </c>
      <c r="G1309" s="1" t="s">
        <v>2934</v>
      </c>
      <c r="I1309" s="1" t="s">
        <v>125</v>
      </c>
      <c r="M1309" s="18">
        <v>3</v>
      </c>
      <c r="N1309" s="54" t="s">
        <v>9529</v>
      </c>
      <c r="Y1309" s="1" t="s">
        <v>2934</v>
      </c>
      <c r="AA1309" s="1" t="s">
        <v>125</v>
      </c>
      <c r="AE1309" s="1">
        <v>3</v>
      </c>
      <c r="AF1309" s="54" t="s">
        <v>9530</v>
      </c>
      <c r="AL1309" s="60" t="s">
        <v>67</v>
      </c>
      <c r="AN1309" s="4" t="s">
        <v>4369</v>
      </c>
    </row>
    <row r="1310" spans="1:40" ht="60" x14ac:dyDescent="0.2">
      <c r="A1310" s="1" t="s">
        <v>4293</v>
      </c>
      <c r="B1310" s="1" t="s">
        <v>4308</v>
      </c>
      <c r="C1310" s="1" t="s">
        <v>5719</v>
      </c>
      <c r="D1310" s="48">
        <v>26</v>
      </c>
      <c r="E1310" s="1">
        <v>1</v>
      </c>
      <c r="F1310" s="1" t="s">
        <v>4310</v>
      </c>
      <c r="G1310" s="1" t="s">
        <v>9566</v>
      </c>
      <c r="I1310" s="1" t="s">
        <v>125</v>
      </c>
      <c r="M1310" s="18">
        <v>1</v>
      </c>
      <c r="N1310" s="54" t="s">
        <v>9529</v>
      </c>
      <c r="V1310" s="4" t="s">
        <v>4309</v>
      </c>
      <c r="X1310" s="1" t="s">
        <v>1629</v>
      </c>
      <c r="Y1310" s="1" t="s">
        <v>9566</v>
      </c>
      <c r="AA1310" s="1" t="s">
        <v>125</v>
      </c>
      <c r="AE1310" s="1">
        <v>1</v>
      </c>
      <c r="AF1310" s="54" t="s">
        <v>9530</v>
      </c>
      <c r="AL1310" s="60" t="s">
        <v>67</v>
      </c>
      <c r="AN1310" s="4" t="s">
        <v>4311</v>
      </c>
    </row>
    <row r="1311" spans="1:40" ht="36" x14ac:dyDescent="0.2">
      <c r="A1311" s="1" t="s">
        <v>4293</v>
      </c>
      <c r="B1311" s="1" t="s">
        <v>4527</v>
      </c>
      <c r="C1311" s="1" t="s">
        <v>5719</v>
      </c>
      <c r="D1311" s="48">
        <v>27</v>
      </c>
      <c r="E1311" s="1">
        <v>1</v>
      </c>
      <c r="F1311" s="1" t="s">
        <v>4310</v>
      </c>
      <c r="G1311" s="1" t="s">
        <v>9576</v>
      </c>
      <c r="I1311" s="1" t="s">
        <v>125</v>
      </c>
      <c r="M1311" s="18">
        <v>2</v>
      </c>
      <c r="N1311" s="54" t="s">
        <v>9529</v>
      </c>
      <c r="Y1311" s="1" t="s">
        <v>9576</v>
      </c>
      <c r="AA1311" s="1" t="s">
        <v>125</v>
      </c>
      <c r="AE1311" s="1">
        <v>2</v>
      </c>
      <c r="AF1311" s="54" t="s">
        <v>9530</v>
      </c>
      <c r="AL1311" s="60" t="s">
        <v>1982</v>
      </c>
      <c r="AN1311" s="4" t="s">
        <v>4528</v>
      </c>
    </row>
    <row r="1312" spans="1:40" ht="96" x14ac:dyDescent="0.2">
      <c r="A1312" s="1" t="s">
        <v>4293</v>
      </c>
      <c r="B1312" s="1" t="s">
        <v>4373</v>
      </c>
      <c r="C1312" s="1" t="s">
        <v>5719</v>
      </c>
      <c r="D1312" s="48">
        <v>28</v>
      </c>
      <c r="E1312" s="1">
        <v>1</v>
      </c>
      <c r="F1312" s="1" t="s">
        <v>4361</v>
      </c>
      <c r="G1312" s="1" t="s">
        <v>9686</v>
      </c>
      <c r="I1312" s="1" t="s">
        <v>125</v>
      </c>
      <c r="M1312" s="18">
        <v>3</v>
      </c>
      <c r="N1312" s="54" t="s">
        <v>9529</v>
      </c>
      <c r="V1312" s="4" t="s">
        <v>4374</v>
      </c>
      <c r="Y1312" s="1" t="s">
        <v>9686</v>
      </c>
      <c r="AA1312" s="1" t="s">
        <v>125</v>
      </c>
      <c r="AE1312" s="1">
        <v>3</v>
      </c>
      <c r="AF1312" s="54" t="s">
        <v>9530</v>
      </c>
      <c r="AL1312" s="60" t="s">
        <v>122</v>
      </c>
      <c r="AN1312" s="4" t="s">
        <v>4375</v>
      </c>
    </row>
    <row r="1313" spans="1:40" ht="36" x14ac:dyDescent="0.2">
      <c r="A1313" s="1" t="s">
        <v>4293</v>
      </c>
      <c r="B1313" s="1" t="s">
        <v>4491</v>
      </c>
      <c r="C1313" s="1" t="s">
        <v>5719</v>
      </c>
      <c r="D1313" s="48">
        <v>29</v>
      </c>
      <c r="E1313" s="1">
        <v>1</v>
      </c>
      <c r="F1313" s="1" t="s">
        <v>4346</v>
      </c>
      <c r="G1313" s="1" t="s">
        <v>9567</v>
      </c>
      <c r="I1313" s="1" t="s">
        <v>125</v>
      </c>
      <c r="M1313" s="18">
        <v>1</v>
      </c>
      <c r="N1313" s="54" t="s">
        <v>9529</v>
      </c>
      <c r="V1313" s="4" t="s">
        <v>4492</v>
      </c>
      <c r="X1313" s="1" t="s">
        <v>2151</v>
      </c>
      <c r="Y1313" s="1" t="s">
        <v>9567</v>
      </c>
      <c r="AA1313" s="1" t="s">
        <v>125</v>
      </c>
      <c r="AE1313" s="1">
        <v>1</v>
      </c>
      <c r="AF1313" s="54" t="s">
        <v>9530</v>
      </c>
      <c r="AL1313" s="60" t="s">
        <v>5621</v>
      </c>
      <c r="AN1313" s="4" t="s">
        <v>4493</v>
      </c>
    </row>
    <row r="1314" spans="1:40" ht="84" x14ac:dyDescent="0.2">
      <c r="A1314" s="1" t="s">
        <v>4293</v>
      </c>
      <c r="B1314" s="1" t="s">
        <v>4497</v>
      </c>
      <c r="C1314" s="1" t="s">
        <v>5719</v>
      </c>
      <c r="D1314" s="48">
        <v>30</v>
      </c>
      <c r="E1314" s="1">
        <v>1</v>
      </c>
      <c r="F1314" s="1" t="s">
        <v>4346</v>
      </c>
      <c r="G1314" s="1" t="s">
        <v>9626</v>
      </c>
      <c r="I1314" s="1" t="s">
        <v>125</v>
      </c>
      <c r="M1314" s="18">
        <v>2</v>
      </c>
      <c r="N1314" s="54" t="s">
        <v>9529</v>
      </c>
      <c r="V1314" s="4" t="s">
        <v>4498</v>
      </c>
      <c r="Y1314" s="1" t="s">
        <v>9626</v>
      </c>
      <c r="AA1314" s="1" t="s">
        <v>125</v>
      </c>
      <c r="AE1314" s="1">
        <v>2</v>
      </c>
      <c r="AF1314" s="54" t="s">
        <v>9530</v>
      </c>
      <c r="AL1314" s="60" t="s">
        <v>346</v>
      </c>
      <c r="AN1314" s="4" t="s">
        <v>4499</v>
      </c>
    </row>
    <row r="1315" spans="1:40" ht="108" x14ac:dyDescent="0.2">
      <c r="A1315" s="1" t="s">
        <v>4293</v>
      </c>
      <c r="B1315" s="1" t="s">
        <v>4449</v>
      </c>
      <c r="C1315" s="1" t="s">
        <v>5719</v>
      </c>
      <c r="D1315" s="48">
        <v>31</v>
      </c>
      <c r="E1315" s="1">
        <v>1</v>
      </c>
      <c r="F1315" s="1" t="s">
        <v>4346</v>
      </c>
      <c r="G1315" s="1" t="s">
        <v>9687</v>
      </c>
      <c r="I1315" s="1" t="s">
        <v>125</v>
      </c>
      <c r="M1315" s="18">
        <v>3</v>
      </c>
      <c r="N1315" s="54" t="s">
        <v>9529</v>
      </c>
      <c r="Y1315" s="1" t="s">
        <v>9687</v>
      </c>
      <c r="AA1315" s="1" t="s">
        <v>125</v>
      </c>
      <c r="AE1315" s="1">
        <v>3</v>
      </c>
      <c r="AF1315" s="54" t="s">
        <v>9530</v>
      </c>
      <c r="AL1315" s="60" t="s">
        <v>1982</v>
      </c>
      <c r="AN1315" s="4" t="s">
        <v>4450</v>
      </c>
    </row>
    <row r="1316" spans="1:40" ht="84" x14ac:dyDescent="0.2">
      <c r="A1316" s="111" t="s">
        <v>4293</v>
      </c>
      <c r="B1316" s="111" t="s">
        <v>4559</v>
      </c>
      <c r="C1316" s="111" t="s">
        <v>5719</v>
      </c>
      <c r="D1316" s="112">
        <v>32</v>
      </c>
      <c r="E1316" s="111">
        <v>1</v>
      </c>
      <c r="F1316" s="111" t="s">
        <v>4298</v>
      </c>
      <c r="G1316" s="111" t="s">
        <v>4560</v>
      </c>
      <c r="H1316" s="1" t="s">
        <v>26</v>
      </c>
      <c r="I1316" s="1" t="s">
        <v>94</v>
      </c>
      <c r="K1316" s="1" t="s">
        <v>287</v>
      </c>
      <c r="N1316" s="54">
        <v>38</v>
      </c>
      <c r="O1316" s="55">
        <v>3</v>
      </c>
      <c r="Q1316" s="57">
        <v>5</v>
      </c>
      <c r="R1316" s="58">
        <v>2</v>
      </c>
      <c r="S1316" s="59">
        <v>12</v>
      </c>
      <c r="U1316" s="1">
        <v>5</v>
      </c>
      <c r="V1316" s="4" t="s">
        <v>4561</v>
      </c>
      <c r="AL1316" s="60" t="s">
        <v>30</v>
      </c>
    </row>
    <row r="1317" spans="1:40" ht="84" x14ac:dyDescent="0.2">
      <c r="A1317" s="1" t="s">
        <v>4293</v>
      </c>
      <c r="B1317" s="1" t="s">
        <v>4338</v>
      </c>
      <c r="C1317" s="1" t="s">
        <v>5719</v>
      </c>
      <c r="D1317" s="48">
        <v>33</v>
      </c>
      <c r="E1317" s="1">
        <v>1</v>
      </c>
      <c r="F1317" s="1" t="s">
        <v>4298</v>
      </c>
      <c r="G1317" s="1" t="s">
        <v>4339</v>
      </c>
      <c r="H1317" s="1" t="s">
        <v>26</v>
      </c>
      <c r="I1317" s="1" t="s">
        <v>94</v>
      </c>
      <c r="K1317" s="1" t="s">
        <v>287</v>
      </c>
      <c r="N1317" s="54">
        <v>23</v>
      </c>
      <c r="O1317" s="55">
        <v>3</v>
      </c>
      <c r="Q1317" s="57">
        <v>5</v>
      </c>
      <c r="R1317" s="58">
        <v>2</v>
      </c>
      <c r="S1317" s="59">
        <v>10</v>
      </c>
      <c r="U1317" s="1">
        <v>3</v>
      </c>
      <c r="V1317" s="4" t="s">
        <v>4340</v>
      </c>
      <c r="AL1317" s="60" t="s">
        <v>30</v>
      </c>
    </row>
    <row r="1318" spans="1:40" ht="84" x14ac:dyDescent="0.2">
      <c r="A1318" s="1" t="s">
        <v>4293</v>
      </c>
      <c r="B1318" s="1" t="s">
        <v>4536</v>
      </c>
      <c r="C1318" s="1" t="s">
        <v>5719</v>
      </c>
      <c r="D1318" s="48">
        <v>34</v>
      </c>
      <c r="E1318" s="1">
        <v>1</v>
      </c>
      <c r="F1318" s="1" t="s">
        <v>4298</v>
      </c>
      <c r="G1318" s="1" t="s">
        <v>4537</v>
      </c>
      <c r="H1318" s="1" t="s">
        <v>26</v>
      </c>
      <c r="I1318" s="1" t="s">
        <v>94</v>
      </c>
      <c r="K1318" s="1" t="s">
        <v>287</v>
      </c>
      <c r="N1318" s="54">
        <v>33</v>
      </c>
      <c r="O1318" s="55">
        <v>3</v>
      </c>
      <c r="Q1318" s="57">
        <v>5</v>
      </c>
      <c r="R1318" s="58">
        <v>2</v>
      </c>
      <c r="S1318" s="59">
        <v>11</v>
      </c>
      <c r="U1318" s="1">
        <v>4</v>
      </c>
      <c r="V1318" s="4" t="s">
        <v>4538</v>
      </c>
      <c r="AL1318" s="60" t="s">
        <v>30</v>
      </c>
    </row>
    <row r="1319" spans="1:40" ht="24" x14ac:dyDescent="0.2">
      <c r="A1319" s="1" t="s">
        <v>4293</v>
      </c>
      <c r="B1319" s="1" t="s">
        <v>4318</v>
      </c>
      <c r="C1319" s="1" t="s">
        <v>5719</v>
      </c>
      <c r="D1319" s="48">
        <v>35</v>
      </c>
      <c r="E1319" s="1">
        <v>3</v>
      </c>
      <c r="F1319" s="1" t="s">
        <v>4322</v>
      </c>
      <c r="G1319" s="1" t="s">
        <v>4319</v>
      </c>
      <c r="I1319" s="1" t="s">
        <v>94</v>
      </c>
      <c r="K1319" s="1" t="s">
        <v>95</v>
      </c>
      <c r="N1319" s="54">
        <v>25</v>
      </c>
      <c r="O1319" s="55">
        <v>1</v>
      </c>
      <c r="Q1319" s="57">
        <v>1</v>
      </c>
      <c r="R1319" s="58">
        <v>1</v>
      </c>
      <c r="S1319" s="59">
        <v>1</v>
      </c>
      <c r="V1319" s="4" t="s">
        <v>4320</v>
      </c>
      <c r="W1319" s="4" t="s">
        <v>4321</v>
      </c>
      <c r="AL1319" s="60" t="s">
        <v>30</v>
      </c>
    </row>
    <row r="1320" spans="1:40" ht="84" x14ac:dyDescent="0.2">
      <c r="A1320" s="1" t="s">
        <v>4293</v>
      </c>
      <c r="B1320" s="1" t="s">
        <v>4539</v>
      </c>
      <c r="C1320" s="1" t="s">
        <v>5719</v>
      </c>
      <c r="D1320" s="48">
        <v>36</v>
      </c>
      <c r="E1320" s="1">
        <v>3</v>
      </c>
      <c r="F1320" s="1" t="s">
        <v>4298</v>
      </c>
      <c r="G1320" s="1" t="s">
        <v>4540</v>
      </c>
      <c r="I1320" s="1" t="s">
        <v>104</v>
      </c>
      <c r="K1320" s="1" t="s">
        <v>4541</v>
      </c>
      <c r="O1320" s="55">
        <v>3</v>
      </c>
      <c r="T1320" s="60">
        <v>3</v>
      </c>
      <c r="V1320" s="4" t="s">
        <v>4542</v>
      </c>
      <c r="AL1320" s="60" t="s">
        <v>30</v>
      </c>
    </row>
    <row r="1321" spans="1:40" ht="36" x14ac:dyDescent="0.2">
      <c r="A1321" s="1" t="s">
        <v>4293</v>
      </c>
      <c r="B1321" s="1" t="s">
        <v>4543</v>
      </c>
      <c r="C1321" s="1" t="s">
        <v>5719</v>
      </c>
      <c r="D1321" s="48">
        <v>37</v>
      </c>
      <c r="E1321" s="1">
        <v>1</v>
      </c>
      <c r="F1321" s="1" t="s">
        <v>4298</v>
      </c>
      <c r="G1321" s="1" t="s">
        <v>4544</v>
      </c>
      <c r="I1321" s="1" t="s">
        <v>104</v>
      </c>
      <c r="K1321" s="1" t="s">
        <v>4545</v>
      </c>
      <c r="L1321" s="2" t="s">
        <v>331</v>
      </c>
      <c r="O1321" s="55">
        <v>2</v>
      </c>
      <c r="T1321" s="60">
        <v>4</v>
      </c>
      <c r="U1321" s="1">
        <v>2</v>
      </c>
      <c r="V1321" s="4" t="s">
        <v>4546</v>
      </c>
      <c r="AL1321" s="60" t="s">
        <v>30</v>
      </c>
    </row>
    <row r="1322" spans="1:40" ht="24" x14ac:dyDescent="0.2">
      <c r="A1322" s="1" t="s">
        <v>4293</v>
      </c>
      <c r="B1322" s="1" t="s">
        <v>4441</v>
      </c>
      <c r="C1322" s="1" t="s">
        <v>5719</v>
      </c>
      <c r="D1322" s="48">
        <v>38</v>
      </c>
      <c r="E1322" s="1">
        <v>2</v>
      </c>
      <c r="F1322" s="1" t="s">
        <v>4298</v>
      </c>
      <c r="G1322" s="1" t="s">
        <v>4442</v>
      </c>
      <c r="I1322" s="1" t="s">
        <v>104</v>
      </c>
      <c r="K1322" s="1" t="s">
        <v>4355</v>
      </c>
      <c r="O1322" s="55">
        <v>1</v>
      </c>
      <c r="T1322" s="60">
        <v>1</v>
      </c>
      <c r="V1322" s="4" t="s">
        <v>4443</v>
      </c>
      <c r="W1322" s="4" t="s">
        <v>4444</v>
      </c>
      <c r="AL1322" s="60" t="s">
        <v>30</v>
      </c>
    </row>
    <row r="1323" spans="1:40" ht="60" x14ac:dyDescent="0.2">
      <c r="A1323" s="1" t="s">
        <v>4293</v>
      </c>
      <c r="B1323" s="1" t="s">
        <v>4376</v>
      </c>
      <c r="C1323" s="1" t="s">
        <v>5719</v>
      </c>
      <c r="D1323" s="48">
        <v>39</v>
      </c>
      <c r="E1323" s="1">
        <v>2</v>
      </c>
      <c r="F1323" s="1" t="s">
        <v>4322</v>
      </c>
      <c r="G1323" s="1" t="s">
        <v>4377</v>
      </c>
      <c r="I1323" s="1" t="s">
        <v>104</v>
      </c>
      <c r="K1323" s="1" t="s">
        <v>4355</v>
      </c>
      <c r="O1323" s="55">
        <v>3</v>
      </c>
      <c r="T1323" s="60">
        <v>2</v>
      </c>
      <c r="V1323" s="4" t="s">
        <v>4378</v>
      </c>
      <c r="AL1323" s="60" t="s">
        <v>30</v>
      </c>
    </row>
    <row r="1324" spans="1:40" ht="72" x14ac:dyDescent="0.2">
      <c r="A1324" s="1" t="s">
        <v>4293</v>
      </c>
      <c r="B1324" s="1" t="s">
        <v>4464</v>
      </c>
      <c r="C1324" s="1" t="s">
        <v>5719</v>
      </c>
      <c r="D1324" s="48">
        <v>40</v>
      </c>
      <c r="E1324" s="1">
        <v>2</v>
      </c>
      <c r="F1324" s="1" t="s">
        <v>4322</v>
      </c>
      <c r="G1324" s="1" t="s">
        <v>4465</v>
      </c>
      <c r="I1324" s="1" t="s">
        <v>104</v>
      </c>
      <c r="K1324" s="1" t="s">
        <v>4355</v>
      </c>
      <c r="O1324" s="55">
        <v>2</v>
      </c>
      <c r="T1324" s="60">
        <v>3</v>
      </c>
      <c r="V1324" s="4" t="s">
        <v>4466</v>
      </c>
      <c r="AL1324" s="60" t="s">
        <v>30</v>
      </c>
    </row>
    <row r="1325" spans="1:40" ht="48" x14ac:dyDescent="0.2">
      <c r="A1325" s="1" t="s">
        <v>4293</v>
      </c>
      <c r="B1325" s="1" t="s">
        <v>4353</v>
      </c>
      <c r="C1325" s="1" t="s">
        <v>5719</v>
      </c>
      <c r="D1325" s="48">
        <v>41</v>
      </c>
      <c r="E1325" s="1">
        <v>2</v>
      </c>
      <c r="F1325" s="1" t="s">
        <v>4322</v>
      </c>
      <c r="G1325" s="1" t="s">
        <v>4354</v>
      </c>
      <c r="I1325" s="1" t="s">
        <v>104</v>
      </c>
      <c r="K1325" s="1" t="s">
        <v>4355</v>
      </c>
      <c r="O1325" s="55">
        <v>1</v>
      </c>
      <c r="T1325" s="60">
        <v>3</v>
      </c>
      <c r="V1325" s="4" t="s">
        <v>4356</v>
      </c>
      <c r="AL1325" s="60" t="s">
        <v>30</v>
      </c>
    </row>
    <row r="1326" spans="1:40" ht="84" x14ac:dyDescent="0.2">
      <c r="A1326" s="1" t="s">
        <v>4293</v>
      </c>
      <c r="B1326" s="1" t="s">
        <v>4550</v>
      </c>
      <c r="C1326" s="1" t="s">
        <v>5719</v>
      </c>
      <c r="D1326" s="48">
        <v>42</v>
      </c>
      <c r="E1326" s="1">
        <v>1</v>
      </c>
      <c r="F1326" s="1" t="s">
        <v>4298</v>
      </c>
      <c r="G1326" s="1" t="s">
        <v>4551</v>
      </c>
      <c r="H1326" s="1" t="s">
        <v>26</v>
      </c>
      <c r="I1326" s="1" t="s">
        <v>88</v>
      </c>
      <c r="K1326" s="1" t="s">
        <v>89</v>
      </c>
      <c r="V1326" s="4" t="s">
        <v>4552</v>
      </c>
      <c r="AL1326" s="60" t="s">
        <v>30</v>
      </c>
    </row>
    <row r="1327" spans="1:40" ht="84" x14ac:dyDescent="0.2">
      <c r="A1327" s="1" t="s">
        <v>4293</v>
      </c>
      <c r="B1327" s="1" t="s">
        <v>4547</v>
      </c>
      <c r="C1327" s="1" t="s">
        <v>5719</v>
      </c>
      <c r="D1327" s="48">
        <v>43</v>
      </c>
      <c r="E1327" s="1">
        <v>1</v>
      </c>
      <c r="F1327" s="1" t="s">
        <v>4298</v>
      </c>
      <c r="G1327" s="1" t="s">
        <v>4548</v>
      </c>
      <c r="H1327" s="1" t="s">
        <v>26</v>
      </c>
      <c r="I1327" s="1" t="s">
        <v>88</v>
      </c>
      <c r="K1327" s="1" t="s">
        <v>89</v>
      </c>
      <c r="V1327" s="4" t="s">
        <v>4549</v>
      </c>
      <c r="AL1327" s="60" t="s">
        <v>30</v>
      </c>
    </row>
    <row r="1328" spans="1:40" ht="72" x14ac:dyDescent="0.2">
      <c r="A1328" s="1" t="s">
        <v>4293</v>
      </c>
      <c r="B1328" s="1" t="s">
        <v>4312</v>
      </c>
      <c r="C1328" s="1" t="s">
        <v>5719</v>
      </c>
      <c r="D1328" s="48">
        <v>44</v>
      </c>
      <c r="E1328" s="1">
        <v>1</v>
      </c>
      <c r="F1328" s="1" t="s">
        <v>4298</v>
      </c>
      <c r="G1328" s="1" t="s">
        <v>4313</v>
      </c>
      <c r="I1328" s="1" t="s">
        <v>88</v>
      </c>
      <c r="J1328" s="1" t="s">
        <v>3422</v>
      </c>
      <c r="K1328" s="1" t="s">
        <v>4296</v>
      </c>
      <c r="V1328" s="4" t="s">
        <v>4314</v>
      </c>
      <c r="AL1328" s="60" t="s">
        <v>30</v>
      </c>
    </row>
    <row r="1329" spans="1:47" ht="72" x14ac:dyDescent="0.2">
      <c r="A1329" s="1" t="s">
        <v>4293</v>
      </c>
      <c r="B1329" s="1" t="s">
        <v>4315</v>
      </c>
      <c r="C1329" s="1" t="s">
        <v>5719</v>
      </c>
      <c r="D1329" s="48">
        <v>45</v>
      </c>
      <c r="E1329" s="1">
        <v>1</v>
      </c>
      <c r="F1329" s="1" t="s">
        <v>4298</v>
      </c>
      <c r="G1329" s="1" t="s">
        <v>4316</v>
      </c>
      <c r="I1329" s="1" t="s">
        <v>88</v>
      </c>
      <c r="J1329" s="1" t="s">
        <v>3422</v>
      </c>
      <c r="K1329" s="1" t="s">
        <v>4296</v>
      </c>
      <c r="V1329" s="4" t="s">
        <v>4317</v>
      </c>
      <c r="AL1329" s="60" t="s">
        <v>30</v>
      </c>
      <c r="AU1329" s="1" t="s">
        <v>6260</v>
      </c>
    </row>
    <row r="1330" spans="1:47" ht="72" x14ac:dyDescent="0.2">
      <c r="A1330" s="1" t="s">
        <v>4293</v>
      </c>
      <c r="B1330" s="1" t="s">
        <v>4323</v>
      </c>
      <c r="C1330" s="1" t="s">
        <v>5719</v>
      </c>
      <c r="D1330" s="48">
        <v>46</v>
      </c>
      <c r="E1330" s="1">
        <v>1</v>
      </c>
      <c r="F1330" s="1" t="s">
        <v>4298</v>
      </c>
      <c r="G1330" s="1" t="s">
        <v>4324</v>
      </c>
      <c r="I1330" s="1" t="s">
        <v>88</v>
      </c>
      <c r="J1330" s="1" t="s">
        <v>3422</v>
      </c>
      <c r="K1330" s="1" t="s">
        <v>4296</v>
      </c>
      <c r="V1330" s="4" t="s">
        <v>4325</v>
      </c>
      <c r="AL1330" s="60" t="s">
        <v>30</v>
      </c>
    </row>
    <row r="1331" spans="1:47" ht="72" x14ac:dyDescent="0.2">
      <c r="A1331" s="1" t="s">
        <v>4293</v>
      </c>
      <c r="B1331" s="1" t="s">
        <v>4302</v>
      </c>
      <c r="C1331" s="1" t="s">
        <v>5719</v>
      </c>
      <c r="D1331" s="48">
        <v>47</v>
      </c>
      <c r="E1331" s="1">
        <v>1</v>
      </c>
      <c r="F1331" s="1" t="s">
        <v>4298</v>
      </c>
      <c r="G1331" s="1" t="s">
        <v>4303</v>
      </c>
      <c r="I1331" s="1" t="s">
        <v>88</v>
      </c>
      <c r="J1331" s="1" t="s">
        <v>3422</v>
      </c>
      <c r="K1331" s="1" t="s">
        <v>4296</v>
      </c>
      <c r="V1331" s="4" t="s">
        <v>4304</v>
      </c>
      <c r="AL1331" s="60" t="s">
        <v>30</v>
      </c>
    </row>
    <row r="1332" spans="1:47" ht="72" x14ac:dyDescent="0.2">
      <c r="A1332" s="1" t="s">
        <v>4293</v>
      </c>
      <c r="B1332" s="1" t="s">
        <v>4294</v>
      </c>
      <c r="C1332" s="1" t="s">
        <v>5719</v>
      </c>
      <c r="D1332" s="48">
        <v>48</v>
      </c>
      <c r="E1332" s="1">
        <v>1</v>
      </c>
      <c r="F1332" s="1" t="s">
        <v>4298</v>
      </c>
      <c r="G1332" s="1" t="s">
        <v>4295</v>
      </c>
      <c r="I1332" s="1" t="s">
        <v>88</v>
      </c>
      <c r="J1332" s="1" t="s">
        <v>3422</v>
      </c>
      <c r="K1332" s="1" t="s">
        <v>4296</v>
      </c>
      <c r="V1332" s="4" t="s">
        <v>4297</v>
      </c>
      <c r="AL1332" s="60" t="s">
        <v>30</v>
      </c>
    </row>
    <row r="1333" spans="1:47" ht="72" x14ac:dyDescent="0.2">
      <c r="A1333" s="1" t="s">
        <v>4293</v>
      </c>
      <c r="B1333" s="1" t="s">
        <v>4299</v>
      </c>
      <c r="C1333" s="1" t="s">
        <v>5719</v>
      </c>
      <c r="D1333" s="48">
        <v>49</v>
      </c>
      <c r="E1333" s="1">
        <v>1</v>
      </c>
      <c r="F1333" s="1" t="s">
        <v>4298</v>
      </c>
      <c r="G1333" s="1" t="s">
        <v>4300</v>
      </c>
      <c r="I1333" s="1" t="s">
        <v>88</v>
      </c>
      <c r="J1333" s="1" t="s">
        <v>3422</v>
      </c>
      <c r="K1333" s="1" t="s">
        <v>4296</v>
      </c>
      <c r="V1333" s="4" t="s">
        <v>4301</v>
      </c>
      <c r="AL1333" s="60" t="s">
        <v>30</v>
      </c>
    </row>
    <row r="1334" spans="1:47" ht="72" x14ac:dyDescent="0.2">
      <c r="A1334" s="1" t="s">
        <v>4293</v>
      </c>
      <c r="B1334" s="1" t="s">
        <v>4329</v>
      </c>
      <c r="C1334" s="1" t="s">
        <v>5719</v>
      </c>
      <c r="D1334" s="48">
        <v>50</v>
      </c>
      <c r="E1334" s="1">
        <v>1</v>
      </c>
      <c r="F1334" s="1" t="s">
        <v>4298</v>
      </c>
      <c r="G1334" s="1" t="s">
        <v>4330</v>
      </c>
      <c r="I1334" s="1" t="s">
        <v>88</v>
      </c>
      <c r="J1334" s="1" t="s">
        <v>3422</v>
      </c>
      <c r="K1334" s="1" t="s">
        <v>4296</v>
      </c>
      <c r="V1334" s="4" t="s">
        <v>4331</v>
      </c>
      <c r="AL1334" s="60" t="s">
        <v>30</v>
      </c>
    </row>
    <row r="1335" spans="1:47" ht="36" x14ac:dyDescent="0.2">
      <c r="A1335" s="1" t="s">
        <v>4293</v>
      </c>
      <c r="B1335" s="1" t="s">
        <v>4467</v>
      </c>
      <c r="C1335" s="1" t="s">
        <v>5719</v>
      </c>
      <c r="D1335" s="48">
        <v>51</v>
      </c>
      <c r="E1335" s="1">
        <v>3</v>
      </c>
      <c r="F1335" s="1" t="s">
        <v>4298</v>
      </c>
      <c r="G1335" s="1" t="s">
        <v>4468</v>
      </c>
      <c r="I1335" s="1" t="s">
        <v>82</v>
      </c>
      <c r="V1335" s="4" t="s">
        <v>4469</v>
      </c>
      <c r="W1335" s="4" t="s">
        <v>4470</v>
      </c>
      <c r="AL1335" s="60" t="s">
        <v>30</v>
      </c>
    </row>
    <row r="1336" spans="1:47" ht="36" x14ac:dyDescent="0.2">
      <c r="A1336" s="1" t="s">
        <v>4293</v>
      </c>
      <c r="B1336" s="1" t="s">
        <v>4305</v>
      </c>
      <c r="C1336" s="1" t="s">
        <v>5719</v>
      </c>
      <c r="D1336" s="48">
        <v>52</v>
      </c>
      <c r="E1336" s="1">
        <v>2</v>
      </c>
      <c r="F1336" s="1" t="s">
        <v>4298</v>
      </c>
      <c r="G1336" s="1" t="s">
        <v>4306</v>
      </c>
      <c r="I1336" s="1" t="s">
        <v>82</v>
      </c>
      <c r="L1336" s="2" t="s">
        <v>685</v>
      </c>
      <c r="V1336" s="4" t="s">
        <v>4307</v>
      </c>
      <c r="W1336" s="4" t="s">
        <v>3519</v>
      </c>
      <c r="AL1336" s="60" t="s">
        <v>30</v>
      </c>
    </row>
    <row r="1337" spans="1:47" ht="24" x14ac:dyDescent="0.2">
      <c r="A1337" s="1" t="s">
        <v>4293</v>
      </c>
      <c r="B1337" s="1" t="s">
        <v>4500</v>
      </c>
      <c r="C1337" s="1" t="s">
        <v>5719</v>
      </c>
      <c r="D1337" s="48">
        <v>53</v>
      </c>
      <c r="E1337" s="1">
        <v>3</v>
      </c>
      <c r="F1337" s="1" t="s">
        <v>4298</v>
      </c>
      <c r="G1337" s="1" t="s">
        <v>4501</v>
      </c>
      <c r="I1337" s="1" t="s">
        <v>82</v>
      </c>
      <c r="V1337" s="4" t="s">
        <v>4502</v>
      </c>
      <c r="W1337" s="4" t="s">
        <v>4503</v>
      </c>
      <c r="AL1337" s="60" t="s">
        <v>30</v>
      </c>
    </row>
    <row r="1338" spans="1:47" ht="36" x14ac:dyDescent="0.2">
      <c r="A1338" s="1" t="s">
        <v>4293</v>
      </c>
      <c r="B1338" s="1" t="s">
        <v>4445</v>
      </c>
      <c r="C1338" s="1" t="s">
        <v>5719</v>
      </c>
      <c r="D1338" s="48">
        <v>54</v>
      </c>
      <c r="E1338" s="1">
        <v>3</v>
      </c>
      <c r="F1338" s="1" t="s">
        <v>4298</v>
      </c>
      <c r="G1338" s="1" t="s">
        <v>4446</v>
      </c>
      <c r="I1338" s="1" t="s">
        <v>82</v>
      </c>
      <c r="V1338" s="4" t="s">
        <v>4447</v>
      </c>
      <c r="W1338" s="4" t="s">
        <v>4448</v>
      </c>
      <c r="AL1338" s="60" t="s">
        <v>30</v>
      </c>
    </row>
    <row r="1339" spans="1:47" ht="36" x14ac:dyDescent="0.2">
      <c r="A1339" s="1" t="s">
        <v>4293</v>
      </c>
      <c r="B1339" s="1" t="s">
        <v>4475</v>
      </c>
      <c r="C1339" s="1" t="s">
        <v>5719</v>
      </c>
      <c r="D1339" s="48">
        <v>55</v>
      </c>
      <c r="E1339" s="1">
        <v>2</v>
      </c>
      <c r="F1339" s="1" t="s">
        <v>4322</v>
      </c>
      <c r="G1339" s="1" t="s">
        <v>4476</v>
      </c>
      <c r="I1339" s="1" t="s">
        <v>82</v>
      </c>
      <c r="L1339" s="2" t="s">
        <v>685</v>
      </c>
      <c r="V1339" s="4" t="s">
        <v>4477</v>
      </c>
      <c r="W1339" s="4" t="s">
        <v>4478</v>
      </c>
      <c r="AL1339" s="60" t="s">
        <v>30</v>
      </c>
    </row>
    <row r="1340" spans="1:47" ht="24" x14ac:dyDescent="0.2">
      <c r="A1340" s="1" t="s">
        <v>4293</v>
      </c>
      <c r="B1340" s="1" t="s">
        <v>4562</v>
      </c>
      <c r="C1340" s="1" t="s">
        <v>5719</v>
      </c>
      <c r="D1340" s="48">
        <v>56</v>
      </c>
      <c r="E1340" s="1">
        <v>2</v>
      </c>
      <c r="F1340" s="1" t="s">
        <v>4322</v>
      </c>
      <c r="G1340" s="1" t="s">
        <v>4563</v>
      </c>
      <c r="I1340" s="1" t="s">
        <v>82</v>
      </c>
      <c r="V1340" s="4" t="s">
        <v>4564</v>
      </c>
      <c r="W1340" s="4" t="s">
        <v>4565</v>
      </c>
      <c r="AL1340" s="60" t="s">
        <v>30</v>
      </c>
    </row>
    <row r="1341" spans="1:47" x14ac:dyDescent="0.2">
      <c r="A1341" s="1" t="s">
        <v>4293</v>
      </c>
      <c r="B1341" s="1" t="s">
        <v>4471</v>
      </c>
      <c r="C1341" s="1" t="s">
        <v>5719</v>
      </c>
      <c r="D1341" s="48">
        <v>57</v>
      </c>
      <c r="E1341" s="1">
        <v>1</v>
      </c>
      <c r="F1341" s="1" t="s">
        <v>4322</v>
      </c>
      <c r="G1341" s="1" t="s">
        <v>4472</v>
      </c>
      <c r="I1341" s="1" t="s">
        <v>82</v>
      </c>
      <c r="V1341" s="4" t="s">
        <v>4473</v>
      </c>
      <c r="W1341" s="4" t="s">
        <v>4474</v>
      </c>
      <c r="AL1341" s="60" t="s">
        <v>30</v>
      </c>
    </row>
    <row r="1342" spans="1:47" x14ac:dyDescent="0.2">
      <c r="A1342" s="111" t="s">
        <v>4293</v>
      </c>
      <c r="B1342" s="111" t="s">
        <v>4401</v>
      </c>
      <c r="C1342" s="111" t="s">
        <v>5719</v>
      </c>
      <c r="D1342" s="112">
        <v>58</v>
      </c>
      <c r="E1342" s="111">
        <v>3</v>
      </c>
      <c r="F1342" s="111" t="s">
        <v>713</v>
      </c>
      <c r="G1342" s="111" t="s">
        <v>4402</v>
      </c>
      <c r="I1342" s="1" t="s">
        <v>94</v>
      </c>
      <c r="K1342" s="1" t="s">
        <v>604</v>
      </c>
      <c r="N1342" s="54">
        <v>25</v>
      </c>
      <c r="O1342" s="55">
        <v>2</v>
      </c>
      <c r="Q1342" s="57">
        <v>1</v>
      </c>
      <c r="R1342" s="58">
        <v>2</v>
      </c>
      <c r="S1342" s="59">
        <v>2</v>
      </c>
      <c r="V1342" s="4" t="s">
        <v>4403</v>
      </c>
      <c r="W1342" s="4" t="s">
        <v>4404</v>
      </c>
      <c r="AL1342" s="60" t="s">
        <v>30</v>
      </c>
    </row>
    <row r="1343" spans="1:47" x14ac:dyDescent="0.2">
      <c r="A1343" s="1" t="s">
        <v>4293</v>
      </c>
      <c r="B1343" s="1" t="s">
        <v>4413</v>
      </c>
      <c r="C1343" s="1" t="s">
        <v>5719</v>
      </c>
      <c r="D1343" s="48">
        <v>59</v>
      </c>
      <c r="E1343" s="1">
        <v>3</v>
      </c>
      <c r="F1343" s="1" t="s">
        <v>713</v>
      </c>
      <c r="G1343" s="1" t="s">
        <v>4414</v>
      </c>
      <c r="I1343" s="1" t="s">
        <v>94</v>
      </c>
      <c r="K1343" s="1" t="s">
        <v>604</v>
      </c>
      <c r="N1343" s="54">
        <v>25</v>
      </c>
      <c r="O1343" s="55">
        <v>2</v>
      </c>
      <c r="Q1343" s="57">
        <v>2</v>
      </c>
      <c r="R1343" s="58">
        <v>0</v>
      </c>
      <c r="S1343" s="59">
        <v>2</v>
      </c>
      <c r="V1343" s="4" t="s">
        <v>4415</v>
      </c>
      <c r="W1343" s="4" t="s">
        <v>4416</v>
      </c>
      <c r="AL1343" s="60" t="s">
        <v>30</v>
      </c>
    </row>
    <row r="1344" spans="1:47" ht="36" x14ac:dyDescent="0.2">
      <c r="A1344" s="1" t="s">
        <v>4293</v>
      </c>
      <c r="B1344" s="1" t="s">
        <v>4417</v>
      </c>
      <c r="C1344" s="1" t="s">
        <v>5719</v>
      </c>
      <c r="D1344" s="48">
        <v>60</v>
      </c>
      <c r="E1344" s="1">
        <v>3</v>
      </c>
      <c r="F1344" s="1" t="s">
        <v>713</v>
      </c>
      <c r="G1344" s="1" t="s">
        <v>4418</v>
      </c>
      <c r="I1344" s="1" t="s">
        <v>94</v>
      </c>
      <c r="K1344" s="1" t="s">
        <v>604</v>
      </c>
      <c r="L1344" s="2" t="s">
        <v>155</v>
      </c>
      <c r="N1344" s="54">
        <v>20</v>
      </c>
      <c r="O1344" s="55">
        <v>1</v>
      </c>
      <c r="Q1344" s="57">
        <v>3</v>
      </c>
      <c r="R1344" s="58">
        <v>1</v>
      </c>
      <c r="S1344" s="59">
        <v>2</v>
      </c>
      <c r="W1344" s="4" t="s">
        <v>4419</v>
      </c>
      <c r="AL1344" s="60" t="s">
        <v>30</v>
      </c>
    </row>
    <row r="1345" spans="1:47" x14ac:dyDescent="0.2">
      <c r="A1345" s="1" t="s">
        <v>4293</v>
      </c>
      <c r="B1345" s="1" t="s">
        <v>4409</v>
      </c>
      <c r="C1345" s="1" t="s">
        <v>5719</v>
      </c>
      <c r="D1345" s="48">
        <v>61</v>
      </c>
      <c r="E1345" s="1">
        <v>3</v>
      </c>
      <c r="F1345" s="1" t="s">
        <v>713</v>
      </c>
      <c r="G1345" s="1" t="s">
        <v>4410</v>
      </c>
      <c r="I1345" s="1" t="s">
        <v>94</v>
      </c>
      <c r="K1345" s="1" t="s">
        <v>604</v>
      </c>
      <c r="N1345" s="54">
        <v>30</v>
      </c>
      <c r="O1345" s="55">
        <v>3</v>
      </c>
      <c r="Q1345" s="57">
        <v>2</v>
      </c>
      <c r="R1345" s="58">
        <v>2</v>
      </c>
      <c r="S1345" s="59">
        <v>3</v>
      </c>
      <c r="V1345" s="4" t="s">
        <v>4411</v>
      </c>
      <c r="W1345" s="4" t="s">
        <v>4412</v>
      </c>
      <c r="AL1345" s="60" t="s">
        <v>30</v>
      </c>
    </row>
    <row r="1346" spans="1:47" ht="24" x14ac:dyDescent="0.2">
      <c r="A1346" s="1" t="s">
        <v>4293</v>
      </c>
      <c r="B1346" s="1" t="s">
        <v>4405</v>
      </c>
      <c r="C1346" s="1" t="s">
        <v>5719</v>
      </c>
      <c r="D1346" s="48">
        <v>62</v>
      </c>
      <c r="E1346" s="1">
        <v>4</v>
      </c>
      <c r="F1346" s="1" t="s">
        <v>4361</v>
      </c>
      <c r="G1346" s="1" t="s">
        <v>4406</v>
      </c>
      <c r="I1346" s="1" t="s">
        <v>94</v>
      </c>
      <c r="K1346" s="1" t="s">
        <v>604</v>
      </c>
      <c r="N1346" s="54">
        <v>33</v>
      </c>
      <c r="O1346" s="55">
        <v>2</v>
      </c>
      <c r="Q1346" s="57">
        <v>3</v>
      </c>
      <c r="R1346" s="58">
        <v>2</v>
      </c>
      <c r="S1346" s="59">
        <v>3</v>
      </c>
      <c r="V1346" s="4" t="s">
        <v>4407</v>
      </c>
      <c r="W1346" s="4" t="s">
        <v>4408</v>
      </c>
      <c r="AL1346" s="60" t="s">
        <v>30</v>
      </c>
    </row>
    <row r="1347" spans="1:47" ht="36" x14ac:dyDescent="0.2">
      <c r="A1347" s="1" t="s">
        <v>4293</v>
      </c>
      <c r="B1347" s="1" t="s">
        <v>4522</v>
      </c>
      <c r="C1347" s="1" t="s">
        <v>5719</v>
      </c>
      <c r="D1347" s="48">
        <v>63</v>
      </c>
      <c r="E1347" s="1">
        <v>1</v>
      </c>
      <c r="F1347" s="1" t="s">
        <v>4361</v>
      </c>
      <c r="G1347" s="1" t="s">
        <v>4361</v>
      </c>
      <c r="H1347" s="1" t="s">
        <v>26</v>
      </c>
      <c r="I1347" s="1" t="s">
        <v>94</v>
      </c>
      <c r="K1347" s="1" t="s">
        <v>604</v>
      </c>
      <c r="N1347" s="54">
        <v>15</v>
      </c>
      <c r="O1347" s="55">
        <v>3</v>
      </c>
      <c r="Q1347" s="57">
        <v>5</v>
      </c>
      <c r="R1347" s="58">
        <v>2</v>
      </c>
      <c r="S1347" s="59">
        <v>8</v>
      </c>
      <c r="U1347" s="1">
        <v>3</v>
      </c>
      <c r="V1347" s="4" t="s">
        <v>4523</v>
      </c>
      <c r="AL1347" s="60" t="s">
        <v>30</v>
      </c>
    </row>
    <row r="1348" spans="1:47" ht="60" x14ac:dyDescent="0.2">
      <c r="A1348" s="1" t="s">
        <v>4293</v>
      </c>
      <c r="B1348" s="1" t="s">
        <v>4514</v>
      </c>
      <c r="C1348" s="1" t="s">
        <v>5719</v>
      </c>
      <c r="D1348" s="48">
        <v>64</v>
      </c>
      <c r="E1348" s="1">
        <v>3</v>
      </c>
      <c r="F1348" s="1" t="s">
        <v>4310</v>
      </c>
      <c r="G1348" s="1" t="s">
        <v>4515</v>
      </c>
      <c r="I1348" s="1" t="s">
        <v>94</v>
      </c>
      <c r="K1348" s="1" t="s">
        <v>4516</v>
      </c>
      <c r="N1348" s="54">
        <v>40</v>
      </c>
      <c r="O1348" s="55">
        <v>4</v>
      </c>
      <c r="Q1348" s="57">
        <v>6</v>
      </c>
      <c r="R1348" s="58">
        <v>3</v>
      </c>
      <c r="S1348" s="59">
        <v>9</v>
      </c>
      <c r="V1348" s="4" t="s">
        <v>4517</v>
      </c>
      <c r="AL1348" s="60" t="s">
        <v>30</v>
      </c>
      <c r="AU1348" s="1" t="s">
        <v>6261</v>
      </c>
    </row>
    <row r="1349" spans="1:47" ht="24" x14ac:dyDescent="0.2">
      <c r="A1349" s="1" t="s">
        <v>4293</v>
      </c>
      <c r="B1349" s="1" t="s">
        <v>4518</v>
      </c>
      <c r="C1349" s="1" t="s">
        <v>5719</v>
      </c>
      <c r="D1349" s="48">
        <v>65</v>
      </c>
      <c r="E1349" s="1">
        <v>3</v>
      </c>
      <c r="F1349" s="1" t="s">
        <v>713</v>
      </c>
      <c r="G1349" s="1" t="s">
        <v>4519</v>
      </c>
      <c r="I1349" s="1" t="s">
        <v>104</v>
      </c>
      <c r="K1349" s="1" t="s">
        <v>1762</v>
      </c>
      <c r="O1349" s="55">
        <v>3</v>
      </c>
      <c r="T1349" s="60">
        <v>3</v>
      </c>
      <c r="V1349" s="4" t="s">
        <v>4520</v>
      </c>
      <c r="W1349" s="4" t="s">
        <v>4521</v>
      </c>
      <c r="AL1349" s="60" t="s">
        <v>30</v>
      </c>
    </row>
    <row r="1350" spans="1:47" ht="60" x14ac:dyDescent="0.2">
      <c r="A1350" s="1" t="s">
        <v>4293</v>
      </c>
      <c r="B1350" s="1" t="s">
        <v>4388</v>
      </c>
      <c r="C1350" s="1" t="s">
        <v>5719</v>
      </c>
      <c r="D1350" s="48">
        <v>66</v>
      </c>
      <c r="E1350" s="1">
        <v>2</v>
      </c>
      <c r="F1350" s="1" t="s">
        <v>4361</v>
      </c>
      <c r="G1350" s="1" t="s">
        <v>4389</v>
      </c>
      <c r="I1350" s="1" t="s">
        <v>104</v>
      </c>
      <c r="K1350" s="1" t="s">
        <v>1762</v>
      </c>
      <c r="O1350" s="55">
        <v>4</v>
      </c>
      <c r="T1350" s="60">
        <v>4</v>
      </c>
      <c r="V1350" s="4" t="s">
        <v>4390</v>
      </c>
      <c r="AL1350" s="60" t="s">
        <v>30</v>
      </c>
    </row>
    <row r="1351" spans="1:47" ht="84" x14ac:dyDescent="0.2">
      <c r="A1351" s="1" t="s">
        <v>4293</v>
      </c>
      <c r="B1351" s="1" t="s">
        <v>4425</v>
      </c>
      <c r="C1351" s="1" t="s">
        <v>5719</v>
      </c>
      <c r="D1351" s="48">
        <v>67</v>
      </c>
      <c r="E1351" s="1">
        <v>3</v>
      </c>
      <c r="F1351" s="1" t="s">
        <v>4361</v>
      </c>
      <c r="G1351" s="1" t="s">
        <v>4426</v>
      </c>
      <c r="I1351" s="1" t="s">
        <v>104</v>
      </c>
      <c r="K1351" s="1" t="s">
        <v>1762</v>
      </c>
      <c r="O1351" s="55">
        <v>2</v>
      </c>
      <c r="T1351" s="60">
        <v>3</v>
      </c>
      <c r="V1351" s="4" t="s">
        <v>4427</v>
      </c>
      <c r="AL1351" s="60" t="s">
        <v>30</v>
      </c>
    </row>
    <row r="1352" spans="1:47" ht="36" x14ac:dyDescent="0.2">
      <c r="A1352" s="1" t="s">
        <v>4293</v>
      </c>
      <c r="B1352" s="1" t="s">
        <v>4494</v>
      </c>
      <c r="C1352" s="1" t="s">
        <v>5719</v>
      </c>
      <c r="D1352" s="48">
        <v>68</v>
      </c>
      <c r="E1352" s="1">
        <v>2</v>
      </c>
      <c r="F1352" s="1" t="s">
        <v>4310</v>
      </c>
      <c r="G1352" s="1" t="s">
        <v>4495</v>
      </c>
      <c r="I1352" s="1" t="s">
        <v>104</v>
      </c>
      <c r="K1352" s="1" t="s">
        <v>1178</v>
      </c>
      <c r="O1352" s="55">
        <v>2</v>
      </c>
      <c r="T1352" s="60">
        <v>3</v>
      </c>
      <c r="V1352" s="4" t="s">
        <v>4496</v>
      </c>
      <c r="AL1352" s="60" t="s">
        <v>30</v>
      </c>
    </row>
    <row r="1353" spans="1:47" ht="48" x14ac:dyDescent="0.2">
      <c r="A1353" s="1" t="s">
        <v>4293</v>
      </c>
      <c r="B1353" s="1" t="s">
        <v>4524</v>
      </c>
      <c r="C1353" s="1" t="s">
        <v>5719</v>
      </c>
      <c r="D1353" s="48">
        <v>69</v>
      </c>
      <c r="E1353" s="1">
        <v>1</v>
      </c>
      <c r="F1353" s="1" t="s">
        <v>4310</v>
      </c>
      <c r="G1353" s="1" t="s">
        <v>4525</v>
      </c>
      <c r="H1353" s="1" t="s">
        <v>26</v>
      </c>
      <c r="I1353" s="1" t="s">
        <v>104</v>
      </c>
      <c r="K1353" s="1" t="s">
        <v>1178</v>
      </c>
      <c r="O1353" s="55" t="s">
        <v>113</v>
      </c>
      <c r="T1353" s="60">
        <v>5</v>
      </c>
      <c r="V1353" s="4" t="s">
        <v>4526</v>
      </c>
      <c r="AL1353" s="60" t="s">
        <v>30</v>
      </c>
    </row>
    <row r="1354" spans="1:47" ht="36" x14ac:dyDescent="0.2">
      <c r="A1354" s="1" t="s">
        <v>4293</v>
      </c>
      <c r="B1354" s="1" t="s">
        <v>4431</v>
      </c>
      <c r="C1354" s="1" t="s">
        <v>5719</v>
      </c>
      <c r="D1354" s="48">
        <v>70</v>
      </c>
      <c r="E1354" s="1">
        <v>3</v>
      </c>
      <c r="F1354" s="1" t="s">
        <v>713</v>
      </c>
      <c r="G1354" s="1" t="s">
        <v>4432</v>
      </c>
      <c r="I1354" s="1" t="s">
        <v>82</v>
      </c>
      <c r="V1354" s="4" t="s">
        <v>4433</v>
      </c>
      <c r="W1354" s="4" t="s">
        <v>4434</v>
      </c>
      <c r="AL1354" s="60" t="s">
        <v>30</v>
      </c>
    </row>
    <row r="1355" spans="1:47" ht="24" x14ac:dyDescent="0.2">
      <c r="A1355" s="1" t="s">
        <v>4293</v>
      </c>
      <c r="B1355" s="1" t="s">
        <v>4357</v>
      </c>
      <c r="C1355" s="1" t="s">
        <v>5719</v>
      </c>
      <c r="D1355" s="48">
        <v>71</v>
      </c>
      <c r="E1355" s="1">
        <v>2</v>
      </c>
      <c r="F1355" s="1" t="s">
        <v>4361</v>
      </c>
      <c r="G1355" s="1" t="s">
        <v>4358</v>
      </c>
      <c r="I1355" s="1" t="s">
        <v>82</v>
      </c>
      <c r="V1355" s="4" t="s">
        <v>4359</v>
      </c>
      <c r="W1355" s="4" t="s">
        <v>4360</v>
      </c>
      <c r="AL1355" s="60" t="s">
        <v>30</v>
      </c>
    </row>
    <row r="1356" spans="1:47" ht="24" x14ac:dyDescent="0.2">
      <c r="A1356" s="1" t="s">
        <v>4293</v>
      </c>
      <c r="B1356" s="1" t="s">
        <v>4391</v>
      </c>
      <c r="C1356" s="1" t="s">
        <v>5719</v>
      </c>
      <c r="D1356" s="48">
        <v>72</v>
      </c>
      <c r="E1356" s="1">
        <v>4</v>
      </c>
      <c r="F1356" s="1" t="s">
        <v>4310</v>
      </c>
      <c r="G1356" s="1" t="s">
        <v>4392</v>
      </c>
      <c r="I1356" s="1" t="s">
        <v>82</v>
      </c>
      <c r="V1356" s="4" t="s">
        <v>4393</v>
      </c>
      <c r="W1356" s="4" t="s">
        <v>4394</v>
      </c>
      <c r="AL1356" s="60" t="s">
        <v>30</v>
      </c>
    </row>
    <row r="1357" spans="1:47" ht="60" x14ac:dyDescent="0.2">
      <c r="A1357" s="1" t="s">
        <v>4293</v>
      </c>
      <c r="B1357" s="1" t="s">
        <v>4435</v>
      </c>
      <c r="C1357" s="1" t="s">
        <v>5719</v>
      </c>
      <c r="D1357" s="48">
        <v>73</v>
      </c>
      <c r="E1357" s="1">
        <v>2</v>
      </c>
      <c r="F1357" s="1" t="s">
        <v>4310</v>
      </c>
      <c r="G1357" s="1" t="s">
        <v>4436</v>
      </c>
      <c r="I1357" s="1" t="s">
        <v>82</v>
      </c>
      <c r="V1357" s="4" t="s">
        <v>4437</v>
      </c>
      <c r="AL1357" s="60" t="s">
        <v>30</v>
      </c>
    </row>
    <row r="1358" spans="1:47" ht="36" x14ac:dyDescent="0.2">
      <c r="A1358" s="111" t="s">
        <v>4293</v>
      </c>
      <c r="B1358" s="111" t="s">
        <v>4423</v>
      </c>
      <c r="C1358" s="111" t="s">
        <v>5719</v>
      </c>
      <c r="D1358" s="112">
        <v>74</v>
      </c>
      <c r="E1358" s="111">
        <v>1</v>
      </c>
      <c r="F1358" s="111" t="s">
        <v>4346</v>
      </c>
      <c r="G1358" s="111" t="s">
        <v>2947</v>
      </c>
      <c r="H1358" s="1" t="s">
        <v>26</v>
      </c>
      <c r="I1358" s="1" t="s">
        <v>94</v>
      </c>
      <c r="K1358" s="1" t="s">
        <v>3842</v>
      </c>
      <c r="N1358" s="54">
        <v>50</v>
      </c>
      <c r="O1358" s="55">
        <v>0</v>
      </c>
      <c r="Q1358" s="57">
        <v>2</v>
      </c>
      <c r="R1358" s="58">
        <v>3</v>
      </c>
      <c r="S1358" s="59">
        <v>5</v>
      </c>
      <c r="V1358" s="4" t="s">
        <v>4424</v>
      </c>
      <c r="AL1358" s="60" t="s">
        <v>30</v>
      </c>
    </row>
    <row r="1359" spans="1:47" ht="84" x14ac:dyDescent="0.2">
      <c r="A1359" s="1" t="s">
        <v>4293</v>
      </c>
      <c r="B1359" s="1" t="s">
        <v>4428</v>
      </c>
      <c r="C1359" s="1" t="s">
        <v>5719</v>
      </c>
      <c r="D1359" s="48">
        <v>75</v>
      </c>
      <c r="E1359" s="1">
        <v>1</v>
      </c>
      <c r="F1359" s="1" t="s">
        <v>4346</v>
      </c>
      <c r="G1359" s="1" t="s">
        <v>4429</v>
      </c>
      <c r="I1359" s="1" t="s">
        <v>94</v>
      </c>
      <c r="K1359" s="1" t="s">
        <v>95</v>
      </c>
      <c r="N1359" s="54">
        <v>30</v>
      </c>
      <c r="O1359" s="55">
        <v>4</v>
      </c>
      <c r="Q1359" s="57">
        <v>5</v>
      </c>
      <c r="R1359" s="58">
        <v>2</v>
      </c>
      <c r="S1359" s="59">
        <v>5</v>
      </c>
      <c r="V1359" s="4" t="s">
        <v>4430</v>
      </c>
      <c r="AL1359" s="60" t="s">
        <v>30</v>
      </c>
    </row>
    <row r="1360" spans="1:47" ht="72" x14ac:dyDescent="0.2">
      <c r="A1360" s="1" t="s">
        <v>4293</v>
      </c>
      <c r="B1360" s="1" t="s">
        <v>4556</v>
      </c>
      <c r="C1360" s="1" t="s">
        <v>5719</v>
      </c>
      <c r="D1360" s="48">
        <v>76</v>
      </c>
      <c r="E1360" s="1">
        <v>4</v>
      </c>
      <c r="F1360" s="1" t="s">
        <v>4346</v>
      </c>
      <c r="G1360" s="1" t="s">
        <v>4557</v>
      </c>
      <c r="I1360" s="1" t="s">
        <v>94</v>
      </c>
      <c r="K1360" s="1" t="s">
        <v>95</v>
      </c>
      <c r="N1360" s="54">
        <v>25</v>
      </c>
      <c r="O1360" s="55">
        <v>3</v>
      </c>
      <c r="Q1360" s="57">
        <v>3</v>
      </c>
      <c r="R1360" s="58">
        <v>2</v>
      </c>
      <c r="S1360" s="59">
        <v>3</v>
      </c>
      <c r="V1360" s="4" t="s">
        <v>4558</v>
      </c>
      <c r="AL1360" s="60" t="s">
        <v>30</v>
      </c>
    </row>
    <row r="1361" spans="1:38" ht="72" x14ac:dyDescent="0.2">
      <c r="A1361" s="1" t="s">
        <v>4293</v>
      </c>
      <c r="B1361" s="1" t="s">
        <v>4529</v>
      </c>
      <c r="C1361" s="1" t="s">
        <v>5719</v>
      </c>
      <c r="D1361" s="48">
        <v>77</v>
      </c>
      <c r="E1361" s="1">
        <v>3</v>
      </c>
      <c r="F1361" s="1" t="s">
        <v>4346</v>
      </c>
      <c r="G1361" s="1" t="s">
        <v>4530</v>
      </c>
      <c r="I1361" s="1" t="s">
        <v>104</v>
      </c>
      <c r="K1361" s="1" t="s">
        <v>105</v>
      </c>
      <c r="O1361" s="55">
        <v>2</v>
      </c>
      <c r="T1361" s="60">
        <v>4</v>
      </c>
      <c r="V1361" s="4" t="s">
        <v>4531</v>
      </c>
      <c r="AL1361" s="60" t="s">
        <v>30</v>
      </c>
    </row>
    <row r="1362" spans="1:38" ht="72" x14ac:dyDescent="0.2">
      <c r="A1362" s="1" t="s">
        <v>4293</v>
      </c>
      <c r="B1362" s="1" t="s">
        <v>4457</v>
      </c>
      <c r="C1362" s="1" t="s">
        <v>5719</v>
      </c>
      <c r="D1362" s="48">
        <v>78</v>
      </c>
      <c r="E1362" s="1">
        <v>1</v>
      </c>
      <c r="F1362" s="1" t="s">
        <v>4346</v>
      </c>
      <c r="G1362" s="1" t="s">
        <v>4458</v>
      </c>
      <c r="H1362" s="1" t="s">
        <v>26</v>
      </c>
      <c r="I1362" s="1" t="s">
        <v>104</v>
      </c>
      <c r="K1362" s="1" t="s">
        <v>1762</v>
      </c>
      <c r="L1362" s="2" t="s">
        <v>4459</v>
      </c>
      <c r="O1362" s="55" t="s">
        <v>113</v>
      </c>
      <c r="T1362" s="60">
        <v>0</v>
      </c>
      <c r="V1362" s="4" t="s">
        <v>4460</v>
      </c>
      <c r="AL1362" s="60" t="s">
        <v>30</v>
      </c>
    </row>
    <row r="1363" spans="1:38" ht="60" x14ac:dyDescent="0.2">
      <c r="A1363" s="1" t="s">
        <v>4293</v>
      </c>
      <c r="B1363" s="1" t="s">
        <v>4343</v>
      </c>
      <c r="C1363" s="1" t="s">
        <v>5719</v>
      </c>
      <c r="D1363" s="48">
        <v>79</v>
      </c>
      <c r="E1363" s="1">
        <v>1</v>
      </c>
      <c r="F1363" s="1" t="s">
        <v>4346</v>
      </c>
      <c r="G1363" s="1" t="s">
        <v>4201</v>
      </c>
      <c r="H1363" s="1" t="s">
        <v>26</v>
      </c>
      <c r="I1363" s="1" t="s">
        <v>88</v>
      </c>
      <c r="K1363" s="1" t="s">
        <v>4344</v>
      </c>
      <c r="L1363" s="2" t="s">
        <v>4052</v>
      </c>
      <c r="V1363" s="4" t="s">
        <v>4345</v>
      </c>
      <c r="AL1363" s="60" t="s">
        <v>30</v>
      </c>
    </row>
    <row r="1364" spans="1:38" ht="96" x14ac:dyDescent="0.2">
      <c r="A1364" s="1" t="s">
        <v>4293</v>
      </c>
      <c r="B1364" s="1" t="s">
        <v>4362</v>
      </c>
      <c r="C1364" s="1" t="s">
        <v>5719</v>
      </c>
      <c r="D1364" s="48">
        <v>80</v>
      </c>
      <c r="E1364" s="1">
        <v>2</v>
      </c>
      <c r="F1364" s="1" t="s">
        <v>4346</v>
      </c>
      <c r="G1364" s="1" t="s">
        <v>4363</v>
      </c>
      <c r="I1364" s="1" t="s">
        <v>82</v>
      </c>
      <c r="V1364" s="4" t="s">
        <v>4364</v>
      </c>
      <c r="AL1364" s="60" t="s">
        <v>30</v>
      </c>
    </row>
    <row r="1365" spans="1:38" ht="96" x14ac:dyDescent="0.2">
      <c r="A1365" s="1" t="s">
        <v>4293</v>
      </c>
      <c r="B1365" s="1" t="s">
        <v>4451</v>
      </c>
      <c r="C1365" s="1" t="s">
        <v>5719</v>
      </c>
      <c r="D1365" s="48">
        <v>81</v>
      </c>
      <c r="E1365" s="1">
        <v>3</v>
      </c>
      <c r="F1365" s="1" t="s">
        <v>4346</v>
      </c>
      <c r="G1365" s="1" t="s">
        <v>4452</v>
      </c>
      <c r="I1365" s="1" t="s">
        <v>82</v>
      </c>
      <c r="V1365" s="4" t="s">
        <v>4453</v>
      </c>
      <c r="AL1365" s="60" t="s">
        <v>30</v>
      </c>
    </row>
    <row r="1366" spans="1:38" ht="72" x14ac:dyDescent="0.2">
      <c r="A1366" s="1" t="s">
        <v>4293</v>
      </c>
      <c r="B1366" s="1" t="s">
        <v>4438</v>
      </c>
      <c r="C1366" s="1" t="s">
        <v>5719</v>
      </c>
      <c r="D1366" s="48">
        <v>82</v>
      </c>
      <c r="E1366" s="1">
        <v>2</v>
      </c>
      <c r="F1366" s="1" t="s">
        <v>4346</v>
      </c>
      <c r="G1366" s="1" t="s">
        <v>4439</v>
      </c>
      <c r="I1366" s="1" t="s">
        <v>82</v>
      </c>
      <c r="V1366" s="4" t="s">
        <v>4440</v>
      </c>
      <c r="AL1366" s="60" t="s">
        <v>30</v>
      </c>
    </row>
    <row r="1367" spans="1:38" ht="72" x14ac:dyDescent="0.2">
      <c r="A1367" s="1" t="s">
        <v>4293</v>
      </c>
      <c r="B1367" s="1" t="s">
        <v>4553</v>
      </c>
      <c r="C1367" s="1" t="s">
        <v>5719</v>
      </c>
      <c r="D1367" s="48">
        <v>83</v>
      </c>
      <c r="E1367" s="1">
        <v>2</v>
      </c>
      <c r="F1367" s="1" t="s">
        <v>4346</v>
      </c>
      <c r="G1367" s="1" t="s">
        <v>4554</v>
      </c>
      <c r="I1367" s="1" t="s">
        <v>82</v>
      </c>
      <c r="V1367" s="4" t="s">
        <v>4555</v>
      </c>
      <c r="AL1367" s="60" t="s">
        <v>30</v>
      </c>
    </row>
    <row r="1368" spans="1:38" ht="48" x14ac:dyDescent="0.2">
      <c r="A1368" s="1" t="s">
        <v>4293</v>
      </c>
      <c r="B1368" s="1" t="s">
        <v>4482</v>
      </c>
      <c r="C1368" s="1" t="s">
        <v>5719</v>
      </c>
      <c r="D1368" s="48">
        <v>84</v>
      </c>
      <c r="E1368" s="1">
        <v>1</v>
      </c>
      <c r="F1368" s="1" t="s">
        <v>4346</v>
      </c>
      <c r="G1368" s="1" t="s">
        <v>4483</v>
      </c>
      <c r="I1368" s="1" t="s">
        <v>82</v>
      </c>
      <c r="V1368" s="4" t="s">
        <v>4484</v>
      </c>
      <c r="AL1368" s="60" t="s">
        <v>30</v>
      </c>
    </row>
    <row r="1369" spans="1:38" ht="72" x14ac:dyDescent="0.2">
      <c r="A1369" s="121" t="s">
        <v>4034</v>
      </c>
      <c r="B1369" s="121" t="s">
        <v>4111</v>
      </c>
      <c r="C1369" s="121" t="s">
        <v>5720</v>
      </c>
      <c r="D1369" s="122">
        <v>1</v>
      </c>
      <c r="E1369" s="121">
        <v>1</v>
      </c>
      <c r="F1369" s="121"/>
      <c r="G1369" s="121" t="s">
        <v>4112</v>
      </c>
      <c r="H1369" s="1" t="s">
        <v>26</v>
      </c>
      <c r="I1369" s="1" t="s">
        <v>27</v>
      </c>
      <c r="J1369" s="1" t="s">
        <v>4113</v>
      </c>
      <c r="K1369" s="1" t="s">
        <v>4114</v>
      </c>
      <c r="L1369" s="2" t="s">
        <v>4115</v>
      </c>
      <c r="M1369" s="18">
        <v>0</v>
      </c>
      <c r="P1369" s="56">
        <v>1</v>
      </c>
      <c r="Q1369" s="57">
        <v>1</v>
      </c>
      <c r="R1369" s="58">
        <v>1</v>
      </c>
      <c r="S1369" s="59">
        <v>3</v>
      </c>
      <c r="V1369" s="4" t="s">
        <v>4116</v>
      </c>
      <c r="AL1369" s="60" t="s">
        <v>30</v>
      </c>
    </row>
    <row r="1370" spans="1:38" ht="36" x14ac:dyDescent="0.2">
      <c r="A1370" s="1" t="s">
        <v>4034</v>
      </c>
      <c r="B1370" s="1" t="s">
        <v>4237</v>
      </c>
      <c r="C1370" s="1" t="s">
        <v>5720</v>
      </c>
      <c r="D1370" s="48">
        <v>2</v>
      </c>
      <c r="E1370" s="1">
        <v>1</v>
      </c>
      <c r="G1370" s="1" t="s">
        <v>4238</v>
      </c>
      <c r="H1370" s="1" t="s">
        <v>26</v>
      </c>
      <c r="I1370" s="1" t="s">
        <v>27</v>
      </c>
      <c r="J1370" s="1" t="s">
        <v>28</v>
      </c>
      <c r="K1370" s="1" t="s">
        <v>283</v>
      </c>
      <c r="M1370" s="18">
        <v>9</v>
      </c>
      <c r="P1370" s="56">
        <v>2</v>
      </c>
      <c r="Q1370" s="57">
        <v>1</v>
      </c>
      <c r="R1370" s="58">
        <v>2</v>
      </c>
      <c r="S1370" s="59">
        <v>4</v>
      </c>
      <c r="V1370" s="4" t="s">
        <v>4239</v>
      </c>
      <c r="AL1370" s="60" t="s">
        <v>30</v>
      </c>
    </row>
    <row r="1371" spans="1:38" ht="24" x14ac:dyDescent="0.2">
      <c r="A1371" s="1" t="s">
        <v>4034</v>
      </c>
      <c r="B1371" s="1" t="s">
        <v>4262</v>
      </c>
      <c r="C1371" s="1" t="s">
        <v>5720</v>
      </c>
      <c r="D1371" s="48">
        <v>3</v>
      </c>
      <c r="E1371" s="1">
        <v>1</v>
      </c>
      <c r="G1371" s="1" t="s">
        <v>4263</v>
      </c>
      <c r="H1371" s="1" t="s">
        <v>26</v>
      </c>
      <c r="I1371" s="1" t="s">
        <v>27</v>
      </c>
      <c r="J1371" s="1" t="s">
        <v>50</v>
      </c>
      <c r="K1371" s="1" t="s">
        <v>4264</v>
      </c>
      <c r="L1371" s="2" t="s">
        <v>171</v>
      </c>
      <c r="M1371" s="18">
        <v>11</v>
      </c>
      <c r="P1371" s="56">
        <v>2</v>
      </c>
      <c r="Q1371" s="57">
        <v>3</v>
      </c>
      <c r="R1371" s="58">
        <v>2</v>
      </c>
      <c r="S1371" s="59">
        <v>4</v>
      </c>
      <c r="V1371" s="4" t="s">
        <v>4265</v>
      </c>
      <c r="AL1371" s="60" t="s">
        <v>30</v>
      </c>
    </row>
    <row r="1372" spans="1:38" ht="24" x14ac:dyDescent="0.2">
      <c r="A1372" s="1" t="s">
        <v>4034</v>
      </c>
      <c r="B1372" s="1" t="s">
        <v>4228</v>
      </c>
      <c r="C1372" s="1" t="s">
        <v>5720</v>
      </c>
      <c r="D1372" s="48">
        <v>4</v>
      </c>
      <c r="E1372" s="1">
        <v>1</v>
      </c>
      <c r="G1372" s="1" t="s">
        <v>4229</v>
      </c>
      <c r="H1372" s="1" t="s">
        <v>26</v>
      </c>
      <c r="I1372" s="1" t="s">
        <v>27</v>
      </c>
      <c r="J1372" s="1" t="s">
        <v>57</v>
      </c>
      <c r="K1372" s="1" t="s">
        <v>283</v>
      </c>
      <c r="M1372" s="18">
        <v>8</v>
      </c>
      <c r="P1372" s="56">
        <v>2</v>
      </c>
      <c r="Q1372" s="57">
        <v>1</v>
      </c>
      <c r="R1372" s="58">
        <v>1</v>
      </c>
      <c r="S1372" s="59">
        <v>4</v>
      </c>
      <c r="V1372" s="4" t="s">
        <v>4230</v>
      </c>
      <c r="AL1372" s="60" t="s">
        <v>30</v>
      </c>
    </row>
    <row r="1373" spans="1:38" ht="24" x14ac:dyDescent="0.2">
      <c r="A1373" s="1" t="s">
        <v>4034</v>
      </c>
      <c r="B1373" s="1" t="s">
        <v>4141</v>
      </c>
      <c r="C1373" s="1" t="s">
        <v>5720</v>
      </c>
      <c r="D1373" s="48">
        <v>5</v>
      </c>
      <c r="E1373" s="1">
        <v>1</v>
      </c>
      <c r="G1373" s="1" t="s">
        <v>3006</v>
      </c>
      <c r="H1373" s="1" t="s">
        <v>26</v>
      </c>
      <c r="I1373" s="1" t="s">
        <v>27</v>
      </c>
      <c r="J1373" s="1" t="s">
        <v>39</v>
      </c>
      <c r="K1373" s="1" t="s">
        <v>283</v>
      </c>
      <c r="M1373" s="18">
        <v>8</v>
      </c>
      <c r="P1373" s="56">
        <v>0</v>
      </c>
      <c r="Q1373" s="57">
        <v>1</v>
      </c>
      <c r="R1373" s="58">
        <v>2</v>
      </c>
      <c r="S1373" s="59">
        <v>5</v>
      </c>
      <c r="V1373" s="4" t="s">
        <v>4142</v>
      </c>
      <c r="AL1373" s="60" t="s">
        <v>30</v>
      </c>
    </row>
    <row r="1374" spans="1:38" ht="36" x14ac:dyDescent="0.2">
      <c r="A1374" s="1" t="s">
        <v>4034</v>
      </c>
      <c r="B1374" s="1" t="s">
        <v>4143</v>
      </c>
      <c r="C1374" s="1" t="s">
        <v>5720</v>
      </c>
      <c r="D1374" s="48">
        <v>6</v>
      </c>
      <c r="E1374" s="1">
        <v>3</v>
      </c>
      <c r="G1374" s="1" t="s">
        <v>344</v>
      </c>
      <c r="H1374" s="1" t="s">
        <v>26</v>
      </c>
      <c r="I1374" s="1" t="s">
        <v>38</v>
      </c>
      <c r="J1374" s="1" t="s">
        <v>28</v>
      </c>
      <c r="K1374" s="1" t="s">
        <v>283</v>
      </c>
      <c r="M1374" s="18">
        <v>3</v>
      </c>
      <c r="P1374" s="56">
        <v>2</v>
      </c>
      <c r="Q1374" s="57">
        <v>1</v>
      </c>
      <c r="R1374" s="58">
        <v>1</v>
      </c>
      <c r="S1374" s="59">
        <v>3</v>
      </c>
      <c r="V1374" s="4" t="s">
        <v>4144</v>
      </c>
      <c r="AL1374" s="60" t="s">
        <v>30</v>
      </c>
    </row>
    <row r="1375" spans="1:38" ht="24" x14ac:dyDescent="0.2">
      <c r="A1375" s="1" t="s">
        <v>4034</v>
      </c>
      <c r="B1375" s="1" t="s">
        <v>4243</v>
      </c>
      <c r="C1375" s="1" t="s">
        <v>5720</v>
      </c>
      <c r="D1375" s="48">
        <v>7</v>
      </c>
      <c r="E1375" s="1">
        <v>3</v>
      </c>
      <c r="G1375" s="1" t="s">
        <v>2681</v>
      </c>
      <c r="H1375" s="1" t="s">
        <v>26</v>
      </c>
      <c r="I1375" s="1" t="s">
        <v>38</v>
      </c>
      <c r="J1375" s="1" t="s">
        <v>39</v>
      </c>
      <c r="K1375" s="1" t="s">
        <v>283</v>
      </c>
      <c r="M1375" s="18">
        <v>3</v>
      </c>
      <c r="P1375" s="56">
        <v>1</v>
      </c>
      <c r="Q1375" s="57">
        <v>2</v>
      </c>
      <c r="R1375" s="58">
        <v>1</v>
      </c>
      <c r="S1375" s="59">
        <v>3</v>
      </c>
      <c r="V1375" s="4" t="s">
        <v>4244</v>
      </c>
      <c r="AL1375" s="60" t="s">
        <v>30</v>
      </c>
    </row>
    <row r="1376" spans="1:38" ht="24" x14ac:dyDescent="0.2">
      <c r="A1376" s="1" t="s">
        <v>4034</v>
      </c>
      <c r="B1376" s="1" t="s">
        <v>4245</v>
      </c>
      <c r="C1376" s="1" t="s">
        <v>5720</v>
      </c>
      <c r="D1376" s="48">
        <v>8</v>
      </c>
      <c r="E1376" s="1">
        <v>3</v>
      </c>
      <c r="G1376" s="1" t="s">
        <v>2748</v>
      </c>
      <c r="H1376" s="1" t="s">
        <v>26</v>
      </c>
      <c r="I1376" s="1" t="s">
        <v>38</v>
      </c>
      <c r="J1376" s="1" t="s">
        <v>57</v>
      </c>
      <c r="K1376" s="1" t="s">
        <v>283</v>
      </c>
      <c r="L1376" s="2" t="s">
        <v>52</v>
      </c>
      <c r="M1376" s="18">
        <v>3</v>
      </c>
      <c r="P1376" s="56">
        <v>1</v>
      </c>
      <c r="Q1376" s="57">
        <v>1</v>
      </c>
      <c r="R1376" s="58">
        <v>2</v>
      </c>
      <c r="S1376" s="59">
        <v>3</v>
      </c>
      <c r="V1376" s="4" t="s">
        <v>4246</v>
      </c>
      <c r="AL1376" s="60" t="s">
        <v>30</v>
      </c>
    </row>
    <row r="1377" spans="1:43" ht="24" x14ac:dyDescent="0.2">
      <c r="A1377" s="1" t="s">
        <v>4034</v>
      </c>
      <c r="B1377" s="1" t="s">
        <v>4240</v>
      </c>
      <c r="C1377" s="1" t="s">
        <v>5720</v>
      </c>
      <c r="D1377" s="48">
        <v>9</v>
      </c>
      <c r="E1377" s="1">
        <v>3</v>
      </c>
      <c r="G1377" s="1" t="s">
        <v>4241</v>
      </c>
      <c r="I1377" s="1" t="s">
        <v>63</v>
      </c>
      <c r="J1377" s="1" t="s">
        <v>50</v>
      </c>
      <c r="M1377" s="18">
        <v>0</v>
      </c>
      <c r="V1377" s="4" t="s">
        <v>4242</v>
      </c>
      <c r="AL1377" s="60" t="s">
        <v>30</v>
      </c>
    </row>
    <row r="1378" spans="1:43" ht="36" x14ac:dyDescent="0.2">
      <c r="A1378" s="1" t="s">
        <v>4034</v>
      </c>
      <c r="B1378" s="1" t="s">
        <v>4155</v>
      </c>
      <c r="C1378" s="1" t="s">
        <v>5720</v>
      </c>
      <c r="D1378" s="48">
        <v>10</v>
      </c>
      <c r="E1378" s="1">
        <v>3</v>
      </c>
      <c r="G1378" s="1" t="s">
        <v>4156</v>
      </c>
      <c r="I1378" s="1" t="s">
        <v>63</v>
      </c>
      <c r="J1378" s="1" t="s">
        <v>57</v>
      </c>
      <c r="M1378" s="18">
        <v>0</v>
      </c>
      <c r="V1378" s="4" t="s">
        <v>4157</v>
      </c>
      <c r="AL1378" s="60" t="s">
        <v>30</v>
      </c>
    </row>
    <row r="1379" spans="1:43" ht="48" x14ac:dyDescent="0.2">
      <c r="A1379" s="1" t="s">
        <v>4034</v>
      </c>
      <c r="B1379" s="1" t="s">
        <v>4145</v>
      </c>
      <c r="C1379" s="1" t="s">
        <v>5720</v>
      </c>
      <c r="D1379" s="48">
        <v>11</v>
      </c>
      <c r="E1379" s="1">
        <v>3</v>
      </c>
      <c r="G1379" s="1" t="s">
        <v>4146</v>
      </c>
      <c r="I1379" s="1" t="s">
        <v>63</v>
      </c>
      <c r="J1379" s="1" t="s">
        <v>39</v>
      </c>
      <c r="M1379" s="18">
        <v>1</v>
      </c>
      <c r="V1379" s="4" t="s">
        <v>4147</v>
      </c>
      <c r="AL1379" s="60" t="s">
        <v>30</v>
      </c>
    </row>
    <row r="1380" spans="1:43" ht="36" x14ac:dyDescent="0.2">
      <c r="A1380" s="1" t="s">
        <v>4034</v>
      </c>
      <c r="B1380" s="1" t="s">
        <v>4054</v>
      </c>
      <c r="C1380" s="1" t="s">
        <v>5720</v>
      </c>
      <c r="D1380" s="48">
        <v>12</v>
      </c>
      <c r="E1380" s="1">
        <v>3</v>
      </c>
      <c r="G1380" s="1" t="s">
        <v>4055</v>
      </c>
      <c r="I1380" s="1" t="s">
        <v>63</v>
      </c>
      <c r="J1380" s="1" t="s">
        <v>28</v>
      </c>
      <c r="M1380" s="18">
        <v>1</v>
      </c>
      <c r="V1380" s="4" t="s">
        <v>4056</v>
      </c>
      <c r="AL1380" s="60" t="s">
        <v>30</v>
      </c>
    </row>
    <row r="1381" spans="1:43" ht="36" x14ac:dyDescent="0.2">
      <c r="A1381" s="1" t="s">
        <v>4034</v>
      </c>
      <c r="B1381" s="1" t="s">
        <v>4132</v>
      </c>
      <c r="C1381" s="1" t="s">
        <v>5720</v>
      </c>
      <c r="D1381" s="48">
        <v>13</v>
      </c>
      <c r="E1381" s="1">
        <v>3</v>
      </c>
      <c r="G1381" s="1" t="s">
        <v>4133</v>
      </c>
      <c r="I1381" s="1" t="s">
        <v>63</v>
      </c>
      <c r="J1381" s="1" t="s">
        <v>4113</v>
      </c>
      <c r="M1381" s="18">
        <v>1</v>
      </c>
      <c r="V1381" s="4" t="s">
        <v>4134</v>
      </c>
      <c r="AL1381" s="60" t="s">
        <v>30</v>
      </c>
    </row>
    <row r="1382" spans="1:43" ht="48" x14ac:dyDescent="0.2">
      <c r="A1382" s="1" t="s">
        <v>4034</v>
      </c>
      <c r="B1382" s="1" t="s">
        <v>4178</v>
      </c>
      <c r="C1382" s="1" t="s">
        <v>5720</v>
      </c>
      <c r="D1382" s="48">
        <v>14</v>
      </c>
      <c r="E1382" s="1">
        <v>3</v>
      </c>
      <c r="G1382" s="1" t="s">
        <v>4179</v>
      </c>
      <c r="I1382" s="1" t="s">
        <v>56</v>
      </c>
      <c r="J1382" s="1" t="s">
        <v>50</v>
      </c>
      <c r="K1382" s="1" t="s">
        <v>196</v>
      </c>
      <c r="L1382" s="2" t="s">
        <v>4180</v>
      </c>
      <c r="M1382" s="18">
        <v>2</v>
      </c>
      <c r="V1382" s="4" t="s">
        <v>4181</v>
      </c>
      <c r="AL1382" s="60" t="s">
        <v>30</v>
      </c>
    </row>
    <row r="1383" spans="1:43" ht="24" x14ac:dyDescent="0.2">
      <c r="A1383" s="1" t="s">
        <v>4034</v>
      </c>
      <c r="B1383" s="1" t="s">
        <v>4214</v>
      </c>
      <c r="C1383" s="1" t="s">
        <v>5720</v>
      </c>
      <c r="D1383" s="48">
        <v>15</v>
      </c>
      <c r="E1383" s="1">
        <v>3</v>
      </c>
      <c r="G1383" s="1" t="s">
        <v>4215</v>
      </c>
      <c r="H1383" s="1" t="s">
        <v>26</v>
      </c>
      <c r="I1383" s="1" t="s">
        <v>56</v>
      </c>
      <c r="J1383" s="1" t="s">
        <v>50</v>
      </c>
      <c r="K1383" s="1" t="s">
        <v>150</v>
      </c>
      <c r="L1383" s="2" t="s">
        <v>4216</v>
      </c>
      <c r="M1383" s="18">
        <v>0</v>
      </c>
      <c r="U1383" s="1">
        <v>1</v>
      </c>
      <c r="V1383" s="4" t="s">
        <v>4217</v>
      </c>
      <c r="AL1383" s="60" t="s">
        <v>30</v>
      </c>
    </row>
    <row r="1384" spans="1:43" ht="36" x14ac:dyDescent="0.2">
      <c r="A1384" s="1" t="s">
        <v>4034</v>
      </c>
      <c r="B1384" s="1" t="s">
        <v>4280</v>
      </c>
      <c r="C1384" s="1" t="s">
        <v>5720</v>
      </c>
      <c r="D1384" s="48">
        <v>16</v>
      </c>
      <c r="E1384" s="1">
        <v>3</v>
      </c>
      <c r="G1384" s="1" t="s">
        <v>4281</v>
      </c>
      <c r="H1384" s="1" t="s">
        <v>26</v>
      </c>
      <c r="I1384" s="1" t="s">
        <v>56</v>
      </c>
      <c r="J1384" s="1" t="s">
        <v>57</v>
      </c>
      <c r="K1384" s="1" t="s">
        <v>150</v>
      </c>
      <c r="L1384" s="2" t="s">
        <v>71</v>
      </c>
      <c r="M1384" s="18">
        <v>1</v>
      </c>
      <c r="V1384" s="4" t="s">
        <v>4282</v>
      </c>
      <c r="AL1384" s="60" t="s">
        <v>30</v>
      </c>
    </row>
    <row r="1385" spans="1:43" ht="36" x14ac:dyDescent="0.2">
      <c r="A1385" s="1" t="s">
        <v>4034</v>
      </c>
      <c r="B1385" s="1" t="s">
        <v>4088</v>
      </c>
      <c r="C1385" s="1" t="s">
        <v>5720</v>
      </c>
      <c r="D1385" s="48">
        <v>17</v>
      </c>
      <c r="E1385" s="1">
        <v>3</v>
      </c>
      <c r="G1385" s="1" t="s">
        <v>4089</v>
      </c>
      <c r="I1385" s="1" t="s">
        <v>56</v>
      </c>
      <c r="J1385" s="1" t="s">
        <v>39</v>
      </c>
      <c r="K1385" s="1" t="s">
        <v>568</v>
      </c>
      <c r="L1385" s="2" t="s">
        <v>4090</v>
      </c>
      <c r="M1385" s="18">
        <v>0</v>
      </c>
      <c r="V1385" s="4" t="s">
        <v>4091</v>
      </c>
      <c r="AL1385" s="60" t="s">
        <v>30</v>
      </c>
    </row>
    <row r="1386" spans="1:43" ht="24" x14ac:dyDescent="0.2">
      <c r="A1386" s="1" t="s">
        <v>4034</v>
      </c>
      <c r="B1386" s="1" t="s">
        <v>4193</v>
      </c>
      <c r="C1386" s="1" t="s">
        <v>5720</v>
      </c>
      <c r="D1386" s="48">
        <v>18</v>
      </c>
      <c r="E1386" s="1">
        <v>3</v>
      </c>
      <c r="G1386" s="1" t="s">
        <v>4194</v>
      </c>
      <c r="H1386" s="1" t="s">
        <v>26</v>
      </c>
      <c r="I1386" s="1" t="s">
        <v>56</v>
      </c>
      <c r="J1386" s="1" t="s">
        <v>28</v>
      </c>
      <c r="K1386" s="1" t="s">
        <v>298</v>
      </c>
      <c r="L1386" s="2" t="s">
        <v>2832</v>
      </c>
      <c r="M1386" s="18">
        <v>2</v>
      </c>
      <c r="V1386" s="4" t="s">
        <v>4195</v>
      </c>
      <c r="AL1386" s="60" t="s">
        <v>30</v>
      </c>
    </row>
    <row r="1387" spans="1:43" ht="72" x14ac:dyDescent="0.2">
      <c r="A1387" s="1" t="s">
        <v>4034</v>
      </c>
      <c r="B1387" s="1" t="s">
        <v>4200</v>
      </c>
      <c r="C1387" s="1" t="s">
        <v>5720</v>
      </c>
      <c r="D1387" s="48">
        <v>19</v>
      </c>
      <c r="E1387" s="1">
        <v>1</v>
      </c>
      <c r="G1387" s="1" t="s">
        <v>4201</v>
      </c>
      <c r="H1387" s="1" t="s">
        <v>26</v>
      </c>
      <c r="I1387" s="1" t="s">
        <v>4050</v>
      </c>
      <c r="J1387" s="1" t="s">
        <v>44</v>
      </c>
      <c r="K1387" s="1" t="s">
        <v>3713</v>
      </c>
      <c r="L1387" s="2" t="s">
        <v>4052</v>
      </c>
      <c r="M1387" s="18">
        <v>0</v>
      </c>
      <c r="V1387" s="4" t="s">
        <v>4202</v>
      </c>
      <c r="AL1387" s="60" t="s">
        <v>30</v>
      </c>
    </row>
    <row r="1388" spans="1:43" ht="36" x14ac:dyDescent="0.2">
      <c r="A1388" s="1" t="s">
        <v>4034</v>
      </c>
      <c r="B1388" s="1" t="s">
        <v>4218</v>
      </c>
      <c r="C1388" s="1" t="s">
        <v>5720</v>
      </c>
      <c r="D1388" s="48">
        <v>20</v>
      </c>
      <c r="E1388" s="1">
        <v>1</v>
      </c>
      <c r="G1388" s="1" t="s">
        <v>4219</v>
      </c>
      <c r="H1388" s="1" t="s">
        <v>26</v>
      </c>
      <c r="I1388" s="1" t="s">
        <v>4050</v>
      </c>
      <c r="J1388" s="1" t="s">
        <v>44</v>
      </c>
      <c r="K1388" s="1" t="s">
        <v>4051</v>
      </c>
      <c r="L1388" s="2" t="s">
        <v>71</v>
      </c>
      <c r="M1388" s="18">
        <v>0</v>
      </c>
      <c r="V1388" s="4" t="s">
        <v>4220</v>
      </c>
      <c r="AL1388" s="60" t="s">
        <v>30</v>
      </c>
      <c r="AQ1388" s="1"/>
    </row>
    <row r="1389" spans="1:43" x14ac:dyDescent="0.2">
      <c r="A1389" s="1" t="s">
        <v>4034</v>
      </c>
      <c r="B1389" s="1" t="s">
        <v>4048</v>
      </c>
      <c r="C1389" s="1" t="s">
        <v>5720</v>
      </c>
      <c r="D1389" s="48">
        <v>21</v>
      </c>
      <c r="E1389" s="1">
        <v>1</v>
      </c>
      <c r="G1389" s="1" t="s">
        <v>4049</v>
      </c>
      <c r="H1389" s="1" t="s">
        <v>26</v>
      </c>
      <c r="I1389" s="1" t="s">
        <v>4050</v>
      </c>
      <c r="J1389" s="1" t="s">
        <v>44</v>
      </c>
      <c r="K1389" s="1" t="s">
        <v>4051</v>
      </c>
      <c r="L1389" s="2" t="s">
        <v>4052</v>
      </c>
      <c r="M1389" s="18">
        <v>0</v>
      </c>
      <c r="V1389" s="4" t="s">
        <v>4053</v>
      </c>
      <c r="AL1389" s="60" t="s">
        <v>30</v>
      </c>
      <c r="AQ1389" s="1"/>
    </row>
    <row r="1390" spans="1:43" ht="48" x14ac:dyDescent="0.2">
      <c r="A1390" s="1" t="s">
        <v>4034</v>
      </c>
      <c r="B1390" s="1" t="s">
        <v>4182</v>
      </c>
      <c r="C1390" s="1" t="s">
        <v>5720</v>
      </c>
      <c r="D1390" s="48">
        <v>22</v>
      </c>
      <c r="E1390" s="1">
        <v>1</v>
      </c>
      <c r="G1390" s="1" t="s">
        <v>4183</v>
      </c>
      <c r="H1390" s="1" t="s">
        <v>26</v>
      </c>
      <c r="I1390" s="1" t="s">
        <v>4050</v>
      </c>
      <c r="J1390" s="1" t="s">
        <v>44</v>
      </c>
      <c r="K1390" s="1" t="s">
        <v>4051</v>
      </c>
      <c r="L1390" s="2" t="s">
        <v>427</v>
      </c>
      <c r="M1390" s="18">
        <v>0</v>
      </c>
      <c r="V1390" s="4" t="s">
        <v>4184</v>
      </c>
      <c r="AL1390" s="60" t="s">
        <v>30</v>
      </c>
      <c r="AQ1390" s="1"/>
    </row>
    <row r="1391" spans="1:43" ht="36" x14ac:dyDescent="0.2">
      <c r="A1391" s="1" t="s">
        <v>4034</v>
      </c>
      <c r="B1391" s="1" t="s">
        <v>4164</v>
      </c>
      <c r="C1391" s="1" t="s">
        <v>5720</v>
      </c>
      <c r="D1391" s="48">
        <v>23</v>
      </c>
      <c r="E1391" s="1">
        <v>1</v>
      </c>
      <c r="G1391" s="1" t="s">
        <v>4165</v>
      </c>
      <c r="H1391" s="1" t="s">
        <v>26</v>
      </c>
      <c r="I1391" s="1" t="s">
        <v>4050</v>
      </c>
      <c r="J1391" s="1" t="s">
        <v>44</v>
      </c>
      <c r="K1391" s="1" t="s">
        <v>4051</v>
      </c>
      <c r="L1391" s="2" t="s">
        <v>427</v>
      </c>
      <c r="M1391" s="18">
        <v>0</v>
      </c>
      <c r="V1391" s="4" t="s">
        <v>4166</v>
      </c>
      <c r="AL1391" s="60" t="s">
        <v>30</v>
      </c>
      <c r="AQ1391" s="1"/>
    </row>
    <row r="1392" spans="1:43" ht="24" x14ac:dyDescent="0.2">
      <c r="A1392" s="1" t="s">
        <v>4034</v>
      </c>
      <c r="B1392" s="1" t="s">
        <v>4287</v>
      </c>
      <c r="C1392" s="1" t="s">
        <v>5720</v>
      </c>
      <c r="D1392" s="48">
        <v>24</v>
      </c>
      <c r="E1392" s="1">
        <v>1</v>
      </c>
      <c r="G1392" s="1" t="s">
        <v>4288</v>
      </c>
      <c r="H1392" s="1" t="s">
        <v>26</v>
      </c>
      <c r="I1392" s="1" t="s">
        <v>4050</v>
      </c>
      <c r="J1392" s="1" t="s">
        <v>44</v>
      </c>
      <c r="K1392" s="1" t="s">
        <v>4051</v>
      </c>
      <c r="L1392" s="2" t="s">
        <v>71</v>
      </c>
      <c r="M1392" s="18">
        <v>0</v>
      </c>
      <c r="U1392" s="1">
        <v>3</v>
      </c>
      <c r="V1392" s="4" t="s">
        <v>4289</v>
      </c>
      <c r="AL1392" s="60" t="s">
        <v>30</v>
      </c>
      <c r="AQ1392" s="1"/>
    </row>
    <row r="1393" spans="1:43" ht="72" x14ac:dyDescent="0.2">
      <c r="A1393" s="111" t="s">
        <v>4034</v>
      </c>
      <c r="B1393" s="111" t="s">
        <v>4108</v>
      </c>
      <c r="C1393" s="111" t="s">
        <v>5720</v>
      </c>
      <c r="D1393" s="112">
        <v>25</v>
      </c>
      <c r="E1393" s="111">
        <v>1</v>
      </c>
      <c r="F1393" s="111" t="s">
        <v>4059</v>
      </c>
      <c r="G1393" s="111" t="s">
        <v>4109</v>
      </c>
      <c r="H1393" s="1" t="s">
        <v>26</v>
      </c>
      <c r="I1393" s="1" t="s">
        <v>104</v>
      </c>
      <c r="K1393" s="1" t="s">
        <v>105</v>
      </c>
      <c r="L1393" s="2" t="s">
        <v>331</v>
      </c>
      <c r="O1393" s="55">
        <v>1</v>
      </c>
      <c r="T1393" s="60">
        <v>9</v>
      </c>
      <c r="V1393" s="4" t="s">
        <v>4110</v>
      </c>
      <c r="AL1393" s="60" t="s">
        <v>30</v>
      </c>
      <c r="AQ1393" s="1"/>
    </row>
    <row r="1394" spans="1:43" ht="60" x14ac:dyDescent="0.2">
      <c r="A1394" s="1" t="s">
        <v>4034</v>
      </c>
      <c r="B1394" s="1" t="s">
        <v>4266</v>
      </c>
      <c r="C1394" s="1" t="s">
        <v>5720</v>
      </c>
      <c r="D1394" s="48">
        <v>26</v>
      </c>
      <c r="E1394" s="1">
        <v>4</v>
      </c>
      <c r="F1394" s="1" t="s">
        <v>4059</v>
      </c>
      <c r="G1394" s="1" t="s">
        <v>4267</v>
      </c>
      <c r="I1394" s="1" t="s">
        <v>104</v>
      </c>
      <c r="K1394" s="1" t="s">
        <v>105</v>
      </c>
      <c r="O1394" s="55">
        <v>3</v>
      </c>
      <c r="T1394" s="60">
        <v>3</v>
      </c>
      <c r="V1394" s="4" t="s">
        <v>4268</v>
      </c>
      <c r="AL1394" s="60" t="s">
        <v>30</v>
      </c>
      <c r="AQ1394" s="1"/>
    </row>
    <row r="1395" spans="1:43" ht="60" x14ac:dyDescent="0.2">
      <c r="A1395" s="1" t="s">
        <v>4034</v>
      </c>
      <c r="B1395" s="1" t="s">
        <v>4167</v>
      </c>
      <c r="C1395" s="1" t="s">
        <v>5720</v>
      </c>
      <c r="D1395" s="48">
        <v>27</v>
      </c>
      <c r="E1395" s="1">
        <v>2</v>
      </c>
      <c r="F1395" s="1" t="s">
        <v>4059</v>
      </c>
      <c r="G1395" s="1" t="s">
        <v>4168</v>
      </c>
      <c r="I1395" s="1" t="s">
        <v>104</v>
      </c>
      <c r="K1395" s="1" t="s">
        <v>4169</v>
      </c>
      <c r="O1395" s="55">
        <v>2</v>
      </c>
      <c r="T1395" s="60">
        <v>4</v>
      </c>
      <c r="V1395" s="4" t="s">
        <v>4170</v>
      </c>
      <c r="AL1395" s="60" t="s">
        <v>30</v>
      </c>
      <c r="AQ1395" s="1"/>
    </row>
    <row r="1396" spans="1:43" ht="24" x14ac:dyDescent="0.2">
      <c r="A1396" s="1" t="s">
        <v>4034</v>
      </c>
      <c r="B1396" s="1" t="s">
        <v>4225</v>
      </c>
      <c r="C1396" s="1" t="s">
        <v>5720</v>
      </c>
      <c r="D1396" s="48">
        <v>28</v>
      </c>
      <c r="E1396" s="1">
        <v>3</v>
      </c>
      <c r="F1396" s="1" t="s">
        <v>4059</v>
      </c>
      <c r="G1396" s="1" t="s">
        <v>4226</v>
      </c>
      <c r="I1396" s="1" t="s">
        <v>94</v>
      </c>
      <c r="K1396" s="1" t="s">
        <v>576</v>
      </c>
      <c r="L1396" s="2" t="s">
        <v>4085</v>
      </c>
      <c r="N1396" s="54">
        <v>37</v>
      </c>
      <c r="O1396" s="55">
        <v>3</v>
      </c>
      <c r="Q1396" s="57">
        <v>5</v>
      </c>
      <c r="R1396" s="58">
        <v>2</v>
      </c>
      <c r="S1396" s="59">
        <v>4</v>
      </c>
      <c r="V1396" s="4" t="s">
        <v>4227</v>
      </c>
      <c r="AL1396" s="60" t="s">
        <v>30</v>
      </c>
      <c r="AQ1396" s="1"/>
    </row>
    <row r="1397" spans="1:43" ht="24" x14ac:dyDescent="0.2">
      <c r="A1397" s="1" t="s">
        <v>4034</v>
      </c>
      <c r="B1397" s="1" t="s">
        <v>4221</v>
      </c>
      <c r="C1397" s="1" t="s">
        <v>5720</v>
      </c>
      <c r="D1397" s="48">
        <v>29</v>
      </c>
      <c r="E1397" s="1">
        <v>3</v>
      </c>
      <c r="F1397" s="1" t="s">
        <v>4059</v>
      </c>
      <c r="G1397" s="1" t="s">
        <v>4222</v>
      </c>
      <c r="I1397" s="1" t="s">
        <v>94</v>
      </c>
      <c r="K1397" s="1" t="s">
        <v>576</v>
      </c>
      <c r="L1397" s="2" t="s">
        <v>4085</v>
      </c>
      <c r="N1397" s="54">
        <v>30</v>
      </c>
      <c r="O1397" s="55">
        <v>2</v>
      </c>
      <c r="Q1397" s="57">
        <v>3</v>
      </c>
      <c r="R1397" s="58">
        <v>2</v>
      </c>
      <c r="S1397" s="59">
        <v>2</v>
      </c>
      <c r="V1397" s="4" t="s">
        <v>4223</v>
      </c>
      <c r="W1397" s="4" t="s">
        <v>4224</v>
      </c>
      <c r="AL1397" s="60" t="s">
        <v>30</v>
      </c>
      <c r="AQ1397" s="1"/>
    </row>
    <row r="1398" spans="1:43" ht="24" x14ac:dyDescent="0.2">
      <c r="A1398" s="1" t="s">
        <v>4034</v>
      </c>
      <c r="B1398" s="1" t="s">
        <v>4189</v>
      </c>
      <c r="C1398" s="1" t="s">
        <v>5720</v>
      </c>
      <c r="D1398" s="48">
        <v>30</v>
      </c>
      <c r="E1398" s="1">
        <v>3</v>
      </c>
      <c r="F1398" s="1" t="s">
        <v>4059</v>
      </c>
      <c r="G1398" s="1" t="s">
        <v>4190</v>
      </c>
      <c r="I1398" s="1" t="s">
        <v>94</v>
      </c>
      <c r="K1398" s="1" t="s">
        <v>576</v>
      </c>
      <c r="L1398" s="2" t="s">
        <v>4085</v>
      </c>
      <c r="N1398" s="54">
        <v>33</v>
      </c>
      <c r="O1398" s="55">
        <v>3</v>
      </c>
      <c r="Q1398" s="57">
        <v>3</v>
      </c>
      <c r="R1398" s="58">
        <v>0</v>
      </c>
      <c r="S1398" s="59">
        <v>3</v>
      </c>
      <c r="V1398" s="4" t="s">
        <v>4191</v>
      </c>
      <c r="W1398" s="4" t="s">
        <v>4192</v>
      </c>
      <c r="AL1398" s="60" t="s">
        <v>30</v>
      </c>
      <c r="AQ1398" s="1"/>
    </row>
    <row r="1399" spans="1:43" ht="24" x14ac:dyDescent="0.2">
      <c r="A1399" s="1" t="s">
        <v>4034</v>
      </c>
      <c r="B1399" s="1" t="s">
        <v>4125</v>
      </c>
      <c r="C1399" s="1" t="s">
        <v>5720</v>
      </c>
      <c r="D1399" s="48">
        <v>31</v>
      </c>
      <c r="E1399" s="1">
        <v>4</v>
      </c>
      <c r="F1399" s="1" t="s">
        <v>4059</v>
      </c>
      <c r="G1399" s="1" t="s">
        <v>4126</v>
      </c>
      <c r="I1399" s="1" t="s">
        <v>94</v>
      </c>
      <c r="K1399" s="1" t="s">
        <v>576</v>
      </c>
      <c r="L1399" s="2" t="s">
        <v>4085</v>
      </c>
      <c r="N1399" s="54">
        <v>28</v>
      </c>
      <c r="O1399" s="55">
        <v>2</v>
      </c>
      <c r="Q1399" s="57">
        <v>1</v>
      </c>
      <c r="R1399" s="58">
        <v>1</v>
      </c>
      <c r="S1399" s="59">
        <v>6</v>
      </c>
      <c r="V1399" s="4" t="s">
        <v>4127</v>
      </c>
      <c r="W1399" s="4" t="s">
        <v>4128</v>
      </c>
      <c r="AL1399" s="60" t="s">
        <v>30</v>
      </c>
      <c r="AQ1399" s="1"/>
    </row>
    <row r="1400" spans="1:43" ht="24" x14ac:dyDescent="0.2">
      <c r="A1400" s="1" t="s">
        <v>4034</v>
      </c>
      <c r="B1400" s="1" t="s">
        <v>4083</v>
      </c>
      <c r="C1400" s="1" t="s">
        <v>5720</v>
      </c>
      <c r="D1400" s="48">
        <v>32</v>
      </c>
      <c r="E1400" s="1">
        <v>5</v>
      </c>
      <c r="F1400" s="1" t="s">
        <v>4059</v>
      </c>
      <c r="G1400" s="1" t="s">
        <v>4084</v>
      </c>
      <c r="I1400" s="1" t="s">
        <v>94</v>
      </c>
      <c r="K1400" s="1" t="s">
        <v>576</v>
      </c>
      <c r="L1400" s="2" t="s">
        <v>4085</v>
      </c>
      <c r="N1400" s="54">
        <v>25</v>
      </c>
      <c r="O1400" s="55">
        <v>1</v>
      </c>
      <c r="Q1400" s="57">
        <v>4</v>
      </c>
      <c r="R1400" s="58">
        <v>1</v>
      </c>
      <c r="S1400" s="59">
        <v>3</v>
      </c>
      <c r="V1400" s="4" t="s">
        <v>4086</v>
      </c>
      <c r="W1400" s="4" t="s">
        <v>4087</v>
      </c>
      <c r="AL1400" s="60" t="s">
        <v>30</v>
      </c>
      <c r="AQ1400" s="1"/>
    </row>
    <row r="1401" spans="1:43" ht="36" x14ac:dyDescent="0.2">
      <c r="A1401" s="1" t="s">
        <v>4034</v>
      </c>
      <c r="B1401" s="1" t="s">
        <v>4161</v>
      </c>
      <c r="C1401" s="1" t="s">
        <v>5720</v>
      </c>
      <c r="D1401" s="48">
        <v>33</v>
      </c>
      <c r="E1401" s="1">
        <v>2</v>
      </c>
      <c r="F1401" s="1" t="s">
        <v>4059</v>
      </c>
      <c r="G1401" s="1" t="s">
        <v>4162</v>
      </c>
      <c r="I1401" s="1" t="s">
        <v>82</v>
      </c>
      <c r="V1401" s="4" t="s">
        <v>4163</v>
      </c>
      <c r="AL1401" s="60" t="s">
        <v>30</v>
      </c>
      <c r="AQ1401" s="1"/>
    </row>
    <row r="1402" spans="1:43" ht="36" x14ac:dyDescent="0.2">
      <c r="A1402" s="1" t="s">
        <v>4034</v>
      </c>
      <c r="B1402" s="1" t="s">
        <v>4092</v>
      </c>
      <c r="C1402" s="1" t="s">
        <v>5720</v>
      </c>
      <c r="D1402" s="48">
        <v>34</v>
      </c>
      <c r="E1402" s="1">
        <v>2</v>
      </c>
      <c r="F1402" s="1" t="s">
        <v>4059</v>
      </c>
      <c r="G1402" s="1" t="s">
        <v>4093</v>
      </c>
      <c r="I1402" s="1" t="s">
        <v>82</v>
      </c>
      <c r="V1402" s="4" t="s">
        <v>4094</v>
      </c>
      <c r="W1402" s="4" t="s">
        <v>4095</v>
      </c>
      <c r="AL1402" s="60" t="s">
        <v>30</v>
      </c>
      <c r="AQ1402" s="1"/>
    </row>
    <row r="1403" spans="1:43" ht="48" x14ac:dyDescent="0.2">
      <c r="A1403" s="111" t="s">
        <v>4034</v>
      </c>
      <c r="B1403" s="111" t="s">
        <v>4100</v>
      </c>
      <c r="C1403" s="111" t="s">
        <v>5720</v>
      </c>
      <c r="D1403" s="112">
        <v>35</v>
      </c>
      <c r="E1403" s="111">
        <v>3</v>
      </c>
      <c r="F1403" s="111" t="s">
        <v>4047</v>
      </c>
      <c r="G1403" s="111" t="s">
        <v>4101</v>
      </c>
      <c r="I1403" s="1" t="s">
        <v>104</v>
      </c>
      <c r="K1403" s="1" t="s">
        <v>594</v>
      </c>
      <c r="O1403" s="55">
        <v>3</v>
      </c>
      <c r="T1403" s="60">
        <v>1</v>
      </c>
      <c r="V1403" s="4" t="s">
        <v>4102</v>
      </c>
      <c r="AL1403" s="60" t="s">
        <v>30</v>
      </c>
      <c r="AQ1403" s="1"/>
    </row>
    <row r="1404" spans="1:43" ht="36" x14ac:dyDescent="0.2">
      <c r="A1404" s="1" t="s">
        <v>4034</v>
      </c>
      <c r="B1404" s="1" t="s">
        <v>4096</v>
      </c>
      <c r="C1404" s="1" t="s">
        <v>5720</v>
      </c>
      <c r="D1404" s="48">
        <v>36</v>
      </c>
      <c r="E1404" s="1">
        <v>3</v>
      </c>
      <c r="F1404" s="1" t="s">
        <v>4047</v>
      </c>
      <c r="G1404" s="1" t="s">
        <v>4097</v>
      </c>
      <c r="I1404" s="1" t="s">
        <v>94</v>
      </c>
      <c r="K1404" s="1" t="s">
        <v>95</v>
      </c>
      <c r="N1404" s="54">
        <v>15</v>
      </c>
      <c r="O1404" s="55">
        <v>2</v>
      </c>
      <c r="Q1404" s="57">
        <v>2</v>
      </c>
      <c r="R1404" s="58">
        <v>0</v>
      </c>
      <c r="S1404" s="59">
        <v>1</v>
      </c>
      <c r="V1404" s="4" t="s">
        <v>4098</v>
      </c>
      <c r="W1404" s="4" t="s">
        <v>4099</v>
      </c>
      <c r="AL1404" s="60" t="s">
        <v>30</v>
      </c>
      <c r="AQ1404" s="1"/>
    </row>
    <row r="1405" spans="1:43" ht="36" x14ac:dyDescent="0.2">
      <c r="A1405" s="1" t="s">
        <v>4034</v>
      </c>
      <c r="B1405" s="1" t="s">
        <v>4290</v>
      </c>
      <c r="C1405" s="1" t="s">
        <v>5720</v>
      </c>
      <c r="D1405" s="48">
        <v>37</v>
      </c>
      <c r="E1405" s="1">
        <v>2</v>
      </c>
      <c r="F1405" s="1" t="s">
        <v>4047</v>
      </c>
      <c r="G1405" s="1" t="s">
        <v>4291</v>
      </c>
      <c r="I1405" s="1" t="s">
        <v>82</v>
      </c>
      <c r="V1405" s="4" t="s">
        <v>4292</v>
      </c>
      <c r="W1405" s="4" t="s">
        <v>2276</v>
      </c>
      <c r="AL1405" s="60" t="s">
        <v>30</v>
      </c>
      <c r="AQ1405" s="1"/>
    </row>
    <row r="1406" spans="1:43" ht="24" x14ac:dyDescent="0.2">
      <c r="A1406" s="1" t="s">
        <v>4034</v>
      </c>
      <c r="B1406" s="1" t="s">
        <v>4043</v>
      </c>
      <c r="C1406" s="1" t="s">
        <v>5720</v>
      </c>
      <c r="D1406" s="48">
        <v>38</v>
      </c>
      <c r="E1406" s="1">
        <v>2</v>
      </c>
      <c r="F1406" s="1" t="s">
        <v>4047</v>
      </c>
      <c r="G1406" s="1" t="s">
        <v>4044</v>
      </c>
      <c r="I1406" s="1" t="s">
        <v>82</v>
      </c>
      <c r="V1406" s="4" t="s">
        <v>4045</v>
      </c>
      <c r="W1406" s="4" t="s">
        <v>4046</v>
      </c>
      <c r="AL1406" s="60" t="s">
        <v>30</v>
      </c>
      <c r="AQ1406" s="1"/>
    </row>
    <row r="1407" spans="1:43" ht="60" x14ac:dyDescent="0.2">
      <c r="A1407" s="111" t="s">
        <v>4034</v>
      </c>
      <c r="B1407" s="111" t="s">
        <v>4196</v>
      </c>
      <c r="C1407" s="111" t="s">
        <v>5720</v>
      </c>
      <c r="D1407" s="112">
        <v>39</v>
      </c>
      <c r="E1407" s="111">
        <v>1</v>
      </c>
      <c r="F1407" s="111" t="s">
        <v>4036</v>
      </c>
      <c r="G1407" s="111" t="s">
        <v>4197</v>
      </c>
      <c r="I1407" s="1" t="s">
        <v>88</v>
      </c>
      <c r="K1407" s="1" t="s">
        <v>4198</v>
      </c>
      <c r="V1407" s="4" t="s">
        <v>4199</v>
      </c>
      <c r="AL1407" s="60" t="s">
        <v>30</v>
      </c>
      <c r="AQ1407" s="1"/>
    </row>
    <row r="1408" spans="1:43" ht="72" x14ac:dyDescent="0.2">
      <c r="A1408" s="1" t="s">
        <v>4034</v>
      </c>
      <c r="B1408" s="1" t="s">
        <v>4171</v>
      </c>
      <c r="C1408" s="1" t="s">
        <v>5720</v>
      </c>
      <c r="D1408" s="48">
        <v>40</v>
      </c>
      <c r="E1408" s="1">
        <v>1</v>
      </c>
      <c r="F1408" s="1" t="s">
        <v>4036</v>
      </c>
      <c r="G1408" s="1" t="s">
        <v>4172</v>
      </c>
      <c r="H1408" s="1" t="s">
        <v>26</v>
      </c>
      <c r="I1408" s="1" t="s">
        <v>94</v>
      </c>
      <c r="K1408" s="1" t="s">
        <v>1142</v>
      </c>
      <c r="L1408" s="2" t="s">
        <v>931</v>
      </c>
      <c r="N1408" s="54">
        <v>50</v>
      </c>
      <c r="O1408" s="55" t="s">
        <v>113</v>
      </c>
      <c r="Q1408" s="57">
        <v>6</v>
      </c>
      <c r="R1408" s="58">
        <v>9</v>
      </c>
      <c r="S1408" s="59">
        <v>20</v>
      </c>
      <c r="V1408" s="4" t="s">
        <v>4173</v>
      </c>
      <c r="AL1408" s="60" t="s">
        <v>30</v>
      </c>
      <c r="AQ1408" s="1"/>
    </row>
    <row r="1409" spans="1:43" ht="60" x14ac:dyDescent="0.2">
      <c r="A1409" s="1" t="s">
        <v>4034</v>
      </c>
      <c r="B1409" s="1" t="s">
        <v>4135</v>
      </c>
      <c r="C1409" s="1" t="s">
        <v>5720</v>
      </c>
      <c r="D1409" s="48">
        <v>41</v>
      </c>
      <c r="E1409" s="1">
        <v>1</v>
      </c>
      <c r="F1409" s="1" t="s">
        <v>4036</v>
      </c>
      <c r="G1409" s="1" t="s">
        <v>3421</v>
      </c>
      <c r="H1409" s="1" t="s">
        <v>26</v>
      </c>
      <c r="I1409" s="1" t="s">
        <v>94</v>
      </c>
      <c r="K1409" s="1" t="s">
        <v>1142</v>
      </c>
      <c r="L1409" s="2" t="s">
        <v>931</v>
      </c>
      <c r="N1409" s="54">
        <v>50</v>
      </c>
      <c r="O1409" s="55">
        <v>6</v>
      </c>
      <c r="Q1409" s="57">
        <v>8</v>
      </c>
      <c r="R1409" s="58">
        <v>8</v>
      </c>
      <c r="S1409" s="59">
        <v>20</v>
      </c>
      <c r="V1409" s="4" t="s">
        <v>4136</v>
      </c>
      <c r="AL1409" s="60" t="s">
        <v>30</v>
      </c>
      <c r="AQ1409" s="1"/>
    </row>
    <row r="1410" spans="1:43" ht="72" x14ac:dyDescent="0.2">
      <c r="A1410" s="1" t="s">
        <v>4034</v>
      </c>
      <c r="B1410" s="1" t="s">
        <v>4234</v>
      </c>
      <c r="C1410" s="1" t="s">
        <v>5720</v>
      </c>
      <c r="D1410" s="48">
        <v>42</v>
      </c>
      <c r="E1410" s="1">
        <v>3</v>
      </c>
      <c r="F1410" s="1" t="s">
        <v>4036</v>
      </c>
      <c r="G1410" s="1" t="s">
        <v>4235</v>
      </c>
      <c r="I1410" s="1" t="s">
        <v>94</v>
      </c>
      <c r="K1410" s="1" t="s">
        <v>95</v>
      </c>
      <c r="L1410" s="2" t="s">
        <v>155</v>
      </c>
      <c r="N1410" s="54">
        <v>33</v>
      </c>
      <c r="O1410" s="55">
        <v>1</v>
      </c>
      <c r="Q1410" s="57">
        <v>1</v>
      </c>
      <c r="R1410" s="58">
        <v>1</v>
      </c>
      <c r="S1410" s="59">
        <v>2</v>
      </c>
      <c r="V1410" s="4" t="s">
        <v>4236</v>
      </c>
      <c r="AL1410" s="60" t="s">
        <v>30</v>
      </c>
      <c r="AQ1410" s="1"/>
    </row>
    <row r="1411" spans="1:43" ht="84" x14ac:dyDescent="0.2">
      <c r="A1411" s="1" t="s">
        <v>4034</v>
      </c>
      <c r="B1411" s="1" t="s">
        <v>4035</v>
      </c>
      <c r="C1411" s="1" t="s">
        <v>5720</v>
      </c>
      <c r="D1411" s="48">
        <v>43</v>
      </c>
      <c r="E1411" s="1">
        <v>1</v>
      </c>
      <c r="F1411" s="1" t="s">
        <v>4036</v>
      </c>
      <c r="G1411" s="1" t="s">
        <v>4036</v>
      </c>
      <c r="H1411" s="1" t="s">
        <v>26</v>
      </c>
      <c r="I1411" s="1" t="s">
        <v>104</v>
      </c>
      <c r="K1411" s="1" t="s">
        <v>1178</v>
      </c>
      <c r="O1411" s="55">
        <v>12</v>
      </c>
      <c r="T1411" s="60">
        <v>4</v>
      </c>
      <c r="U1411" s="1">
        <v>10</v>
      </c>
      <c r="V1411" s="4" t="s">
        <v>4037</v>
      </c>
      <c r="AL1411" s="60" t="s">
        <v>30</v>
      </c>
      <c r="AQ1411" s="1"/>
    </row>
    <row r="1412" spans="1:43" ht="60" x14ac:dyDescent="0.2">
      <c r="A1412" s="1" t="s">
        <v>4034</v>
      </c>
      <c r="B1412" s="1" t="s">
        <v>4068</v>
      </c>
      <c r="C1412" s="1" t="s">
        <v>5720</v>
      </c>
      <c r="D1412" s="48">
        <v>44</v>
      </c>
      <c r="E1412" s="1">
        <v>3</v>
      </c>
      <c r="F1412" s="1" t="s">
        <v>4036</v>
      </c>
      <c r="G1412" s="1" t="s">
        <v>4069</v>
      </c>
      <c r="I1412" s="1" t="s">
        <v>104</v>
      </c>
      <c r="K1412" s="1" t="s">
        <v>1112</v>
      </c>
      <c r="O1412" s="55">
        <v>4</v>
      </c>
      <c r="T1412" s="60">
        <v>4</v>
      </c>
      <c r="V1412" s="4" t="s">
        <v>4070</v>
      </c>
      <c r="AL1412" s="60" t="s">
        <v>30</v>
      </c>
      <c r="AQ1412" s="1"/>
    </row>
    <row r="1413" spans="1:43" ht="84" x14ac:dyDescent="0.2">
      <c r="A1413" s="1" t="s">
        <v>4034</v>
      </c>
      <c r="B1413" s="1" t="s">
        <v>4256</v>
      </c>
      <c r="C1413" s="1" t="s">
        <v>5720</v>
      </c>
      <c r="D1413" s="48">
        <v>45</v>
      </c>
      <c r="E1413" s="1">
        <v>2</v>
      </c>
      <c r="F1413" s="1" t="s">
        <v>4036</v>
      </c>
      <c r="G1413" s="1" t="s">
        <v>4257</v>
      </c>
      <c r="I1413" s="1" t="s">
        <v>104</v>
      </c>
      <c r="K1413" s="1" t="s">
        <v>1178</v>
      </c>
      <c r="O1413" s="55">
        <v>1</v>
      </c>
      <c r="T1413" s="60">
        <v>1</v>
      </c>
      <c r="V1413" s="4" t="s">
        <v>4258</v>
      </c>
      <c r="AL1413" s="60" t="s">
        <v>30</v>
      </c>
      <c r="AQ1413" s="1"/>
    </row>
    <row r="1414" spans="1:43" ht="60" x14ac:dyDescent="0.2">
      <c r="A1414" s="1" t="s">
        <v>4034</v>
      </c>
      <c r="B1414" s="1" t="s">
        <v>4105</v>
      </c>
      <c r="C1414" s="1" t="s">
        <v>5720</v>
      </c>
      <c r="D1414" s="48">
        <v>46</v>
      </c>
      <c r="E1414" s="1">
        <v>3</v>
      </c>
      <c r="F1414" s="1" t="s">
        <v>4036</v>
      </c>
      <c r="G1414" s="1" t="s">
        <v>4106</v>
      </c>
      <c r="I1414" s="1" t="s">
        <v>104</v>
      </c>
      <c r="K1414" s="1" t="s">
        <v>626</v>
      </c>
      <c r="O1414" s="55">
        <v>3</v>
      </c>
      <c r="T1414" s="60">
        <v>3</v>
      </c>
      <c r="V1414" s="4" t="s">
        <v>4107</v>
      </c>
      <c r="AL1414" s="60" t="s">
        <v>30</v>
      </c>
      <c r="AQ1414" s="1"/>
    </row>
    <row r="1415" spans="1:43" ht="84" x14ac:dyDescent="0.2">
      <c r="A1415" s="1" t="s">
        <v>4034</v>
      </c>
      <c r="B1415" s="1" t="s">
        <v>4071</v>
      </c>
      <c r="C1415" s="1" t="s">
        <v>5720</v>
      </c>
      <c r="D1415" s="48">
        <v>47</v>
      </c>
      <c r="E1415" s="1">
        <v>3</v>
      </c>
      <c r="F1415" s="1" t="s">
        <v>4036</v>
      </c>
      <c r="G1415" s="1" t="s">
        <v>4072</v>
      </c>
      <c r="I1415" s="1" t="s">
        <v>104</v>
      </c>
      <c r="K1415" s="1" t="s">
        <v>1178</v>
      </c>
      <c r="O1415" s="55">
        <v>2</v>
      </c>
      <c r="T1415" s="60">
        <v>5</v>
      </c>
      <c r="V1415" s="4" t="s">
        <v>4073</v>
      </c>
      <c r="AL1415" s="60" t="s">
        <v>30</v>
      </c>
      <c r="AQ1415" s="1"/>
    </row>
    <row r="1416" spans="1:43" ht="72" x14ac:dyDescent="0.2">
      <c r="A1416" s="1" t="s">
        <v>4034</v>
      </c>
      <c r="B1416" s="1" t="s">
        <v>4231</v>
      </c>
      <c r="C1416" s="1" t="s">
        <v>5720</v>
      </c>
      <c r="D1416" s="48">
        <v>48</v>
      </c>
      <c r="E1416" s="1">
        <v>3</v>
      </c>
      <c r="F1416" s="1" t="s">
        <v>4036</v>
      </c>
      <c r="G1416" s="1" t="s">
        <v>4232</v>
      </c>
      <c r="I1416" s="1" t="s">
        <v>82</v>
      </c>
      <c r="L1416" s="2" t="s">
        <v>155</v>
      </c>
      <c r="V1416" s="4" t="s">
        <v>4233</v>
      </c>
      <c r="AL1416" s="60" t="s">
        <v>30</v>
      </c>
      <c r="AQ1416" s="1"/>
    </row>
    <row r="1417" spans="1:43" ht="84" x14ac:dyDescent="0.2">
      <c r="A1417" s="1" t="s">
        <v>4034</v>
      </c>
      <c r="B1417" s="1" t="s">
        <v>4250</v>
      </c>
      <c r="C1417" s="1" t="s">
        <v>5720</v>
      </c>
      <c r="D1417" s="48">
        <v>49</v>
      </c>
      <c r="E1417" s="1">
        <v>2</v>
      </c>
      <c r="F1417" s="1" t="s">
        <v>4036</v>
      </c>
      <c r="G1417" s="1" t="s">
        <v>4251</v>
      </c>
      <c r="I1417" s="1" t="s">
        <v>82</v>
      </c>
      <c r="V1417" s="4" t="s">
        <v>4252</v>
      </c>
      <c r="AL1417" s="60" t="s">
        <v>30</v>
      </c>
      <c r="AQ1417" s="1"/>
    </row>
    <row r="1418" spans="1:43" ht="84" x14ac:dyDescent="0.2">
      <c r="A1418" s="1" t="s">
        <v>4034</v>
      </c>
      <c r="B1418" s="1" t="s">
        <v>4152</v>
      </c>
      <c r="C1418" s="1" t="s">
        <v>5720</v>
      </c>
      <c r="D1418" s="48">
        <v>50</v>
      </c>
      <c r="E1418" s="1">
        <v>4</v>
      </c>
      <c r="F1418" s="1" t="s">
        <v>4036</v>
      </c>
      <c r="G1418" s="1" t="s">
        <v>4153</v>
      </c>
      <c r="I1418" s="1" t="s">
        <v>82</v>
      </c>
      <c r="V1418" s="4" t="s">
        <v>4154</v>
      </c>
      <c r="AL1418" s="60" t="s">
        <v>30</v>
      </c>
      <c r="AQ1418" s="1"/>
    </row>
    <row r="1419" spans="1:43" ht="60" x14ac:dyDescent="0.2">
      <c r="A1419" s="1" t="s">
        <v>4034</v>
      </c>
      <c r="B1419" s="1" t="s">
        <v>4253</v>
      </c>
      <c r="C1419" s="1" t="s">
        <v>5720</v>
      </c>
      <c r="D1419" s="48">
        <v>51</v>
      </c>
      <c r="E1419" s="1">
        <v>2</v>
      </c>
      <c r="F1419" s="1" t="s">
        <v>4036</v>
      </c>
      <c r="G1419" s="1" t="s">
        <v>4254</v>
      </c>
      <c r="I1419" s="1" t="s">
        <v>82</v>
      </c>
      <c r="K1419" s="1" t="s">
        <v>1077</v>
      </c>
      <c r="V1419" s="4" t="s">
        <v>4255</v>
      </c>
      <c r="AL1419" s="60" t="s">
        <v>30</v>
      </c>
      <c r="AQ1419" s="1"/>
    </row>
    <row r="1420" spans="1:43" ht="36" x14ac:dyDescent="0.2">
      <c r="A1420" s="111" t="s">
        <v>4034</v>
      </c>
      <c r="B1420" s="111" t="s">
        <v>4148</v>
      </c>
      <c r="C1420" s="111" t="s">
        <v>5720</v>
      </c>
      <c r="D1420" s="112">
        <v>52</v>
      </c>
      <c r="E1420" s="111">
        <v>1</v>
      </c>
      <c r="F1420" s="111" t="s">
        <v>4042</v>
      </c>
      <c r="G1420" s="111" t="s">
        <v>4149</v>
      </c>
      <c r="I1420" s="1" t="s">
        <v>88</v>
      </c>
      <c r="K1420" s="1" t="s">
        <v>51</v>
      </c>
      <c r="P1420" s="56">
        <v>3</v>
      </c>
      <c r="Q1420" s="57">
        <v>3</v>
      </c>
      <c r="R1420" s="58">
        <v>3</v>
      </c>
      <c r="S1420" s="59">
        <v>2</v>
      </c>
      <c r="V1420" s="4" t="s">
        <v>4150</v>
      </c>
      <c r="W1420" s="4" t="s">
        <v>4151</v>
      </c>
      <c r="AL1420" s="60" t="s">
        <v>30</v>
      </c>
      <c r="AQ1420" s="1"/>
    </row>
    <row r="1421" spans="1:43" ht="60" x14ac:dyDescent="0.2">
      <c r="A1421" s="1" t="s">
        <v>4034</v>
      </c>
      <c r="B1421" s="1" t="s">
        <v>4129</v>
      </c>
      <c r="C1421" s="1" t="s">
        <v>5720</v>
      </c>
      <c r="D1421" s="48">
        <v>53</v>
      </c>
      <c r="E1421" s="1">
        <v>1</v>
      </c>
      <c r="F1421" s="1" t="s">
        <v>4042</v>
      </c>
      <c r="G1421" s="1" t="s">
        <v>4130</v>
      </c>
      <c r="H1421" s="1" t="s">
        <v>26</v>
      </c>
      <c r="I1421" s="1" t="s">
        <v>94</v>
      </c>
      <c r="K1421" s="1" t="s">
        <v>604</v>
      </c>
      <c r="L1421" s="2" t="s">
        <v>331</v>
      </c>
      <c r="N1421" s="54">
        <v>50</v>
      </c>
      <c r="O1421" s="55" t="s">
        <v>113</v>
      </c>
      <c r="Q1421" s="57">
        <v>6</v>
      </c>
      <c r="R1421" s="58">
        <v>3</v>
      </c>
      <c r="S1421" s="59">
        <v>8</v>
      </c>
      <c r="V1421" s="4" t="s">
        <v>4131</v>
      </c>
      <c r="AL1421" s="60" t="s">
        <v>30</v>
      </c>
      <c r="AQ1421" s="1"/>
    </row>
    <row r="1422" spans="1:43" ht="24" x14ac:dyDescent="0.2">
      <c r="A1422" s="1" t="s">
        <v>4034</v>
      </c>
      <c r="B1422" s="1" t="s">
        <v>4137</v>
      </c>
      <c r="C1422" s="1" t="s">
        <v>5720</v>
      </c>
      <c r="D1422" s="48">
        <v>54</v>
      </c>
      <c r="E1422" s="1">
        <v>4</v>
      </c>
      <c r="F1422" s="1" t="s">
        <v>4042</v>
      </c>
      <c r="G1422" s="1" t="s">
        <v>4138</v>
      </c>
      <c r="I1422" s="1" t="s">
        <v>94</v>
      </c>
      <c r="K1422" s="1" t="s">
        <v>604</v>
      </c>
      <c r="L1422" s="2" t="s">
        <v>4139</v>
      </c>
      <c r="N1422" s="54">
        <v>35</v>
      </c>
      <c r="O1422" s="55">
        <v>2</v>
      </c>
      <c r="Q1422" s="57">
        <v>4</v>
      </c>
      <c r="R1422" s="58">
        <v>2</v>
      </c>
      <c r="S1422" s="59">
        <v>5</v>
      </c>
      <c r="V1422" s="4" t="s">
        <v>4140</v>
      </c>
      <c r="AL1422" s="60" t="s">
        <v>30</v>
      </c>
      <c r="AQ1422" s="1"/>
    </row>
    <row r="1423" spans="1:43" ht="24" x14ac:dyDescent="0.2">
      <c r="A1423" s="1" t="s">
        <v>4034</v>
      </c>
      <c r="B1423" s="1" t="s">
        <v>4038</v>
      </c>
      <c r="C1423" s="1" t="s">
        <v>5720</v>
      </c>
      <c r="D1423" s="48">
        <v>55</v>
      </c>
      <c r="E1423" s="1">
        <v>3</v>
      </c>
      <c r="F1423" s="1" t="s">
        <v>4042</v>
      </c>
      <c r="G1423" s="1" t="s">
        <v>4039</v>
      </c>
      <c r="I1423" s="1" t="s">
        <v>94</v>
      </c>
      <c r="K1423" s="1" t="s">
        <v>604</v>
      </c>
      <c r="N1423" s="54">
        <v>15</v>
      </c>
      <c r="O1423" s="55">
        <v>1</v>
      </c>
      <c r="Q1423" s="57">
        <v>3</v>
      </c>
      <c r="R1423" s="58">
        <v>0</v>
      </c>
      <c r="S1423" s="59">
        <v>3</v>
      </c>
      <c r="V1423" s="4" t="s">
        <v>4040</v>
      </c>
      <c r="W1423" s="4" t="s">
        <v>4041</v>
      </c>
      <c r="AL1423" s="60" t="s">
        <v>30</v>
      </c>
      <c r="AQ1423" s="1"/>
    </row>
    <row r="1424" spans="1:43" ht="24" x14ac:dyDescent="0.2">
      <c r="A1424" s="1" t="s">
        <v>4034</v>
      </c>
      <c r="B1424" s="1" t="s">
        <v>4158</v>
      </c>
      <c r="C1424" s="1" t="s">
        <v>5720</v>
      </c>
      <c r="D1424" s="48">
        <v>56</v>
      </c>
      <c r="E1424" s="1">
        <v>4</v>
      </c>
      <c r="F1424" s="1" t="s">
        <v>4042</v>
      </c>
      <c r="G1424" s="1" t="s">
        <v>4159</v>
      </c>
      <c r="I1424" s="1" t="s">
        <v>94</v>
      </c>
      <c r="K1424" s="1" t="s">
        <v>604</v>
      </c>
      <c r="N1424" s="54">
        <v>33</v>
      </c>
      <c r="O1424" s="55">
        <v>1</v>
      </c>
      <c r="Q1424" s="57">
        <v>2</v>
      </c>
      <c r="R1424" s="58">
        <v>2</v>
      </c>
      <c r="S1424" s="59">
        <v>2</v>
      </c>
      <c r="V1424" s="4" t="s">
        <v>4160</v>
      </c>
      <c r="AL1424" s="60" t="s">
        <v>30</v>
      </c>
      <c r="AQ1424" s="1"/>
    </row>
    <row r="1425" spans="1:43" ht="24" x14ac:dyDescent="0.2">
      <c r="A1425" s="1" t="s">
        <v>4034</v>
      </c>
      <c r="B1425" s="1" t="s">
        <v>4119</v>
      </c>
      <c r="C1425" s="1" t="s">
        <v>5720</v>
      </c>
      <c r="D1425" s="48">
        <v>57</v>
      </c>
      <c r="E1425" s="1">
        <v>4</v>
      </c>
      <c r="F1425" s="1" t="s">
        <v>4042</v>
      </c>
      <c r="G1425" s="1" t="s">
        <v>4120</v>
      </c>
      <c r="I1425" s="1" t="s">
        <v>94</v>
      </c>
      <c r="K1425" s="1" t="s">
        <v>604</v>
      </c>
      <c r="N1425" s="54">
        <v>20</v>
      </c>
      <c r="O1425" s="55">
        <v>1</v>
      </c>
      <c r="Q1425" s="57">
        <v>1</v>
      </c>
      <c r="R1425" s="58">
        <v>1</v>
      </c>
      <c r="S1425" s="59">
        <v>4</v>
      </c>
      <c r="V1425" s="4" t="s">
        <v>4121</v>
      </c>
      <c r="W1425" s="4" t="s">
        <v>3474</v>
      </c>
      <c r="AL1425" s="60" t="s">
        <v>30</v>
      </c>
      <c r="AQ1425" s="1"/>
    </row>
    <row r="1426" spans="1:43" ht="24" x14ac:dyDescent="0.2">
      <c r="A1426" s="1" t="s">
        <v>4034</v>
      </c>
      <c r="B1426" s="1" t="s">
        <v>4283</v>
      </c>
      <c r="C1426" s="1" t="s">
        <v>5720</v>
      </c>
      <c r="D1426" s="48">
        <v>58</v>
      </c>
      <c r="E1426" s="1">
        <v>2</v>
      </c>
      <c r="F1426" s="1" t="s">
        <v>4042</v>
      </c>
      <c r="G1426" s="1" t="s">
        <v>4284</v>
      </c>
      <c r="I1426" s="1" t="s">
        <v>94</v>
      </c>
      <c r="K1426" s="1" t="s">
        <v>604</v>
      </c>
      <c r="N1426" s="54">
        <v>40</v>
      </c>
      <c r="O1426" s="55">
        <v>2</v>
      </c>
      <c r="Q1426" s="57">
        <v>2</v>
      </c>
      <c r="R1426" s="58">
        <v>1</v>
      </c>
      <c r="S1426" s="59">
        <v>3</v>
      </c>
      <c r="V1426" s="4" t="s">
        <v>4285</v>
      </c>
      <c r="W1426" s="4" t="s">
        <v>4286</v>
      </c>
      <c r="AL1426" s="60" t="s">
        <v>30</v>
      </c>
      <c r="AQ1426" s="1"/>
    </row>
    <row r="1427" spans="1:43" ht="36" x14ac:dyDescent="0.2">
      <c r="A1427" s="1" t="s">
        <v>4034</v>
      </c>
      <c r="B1427" s="1" t="s">
        <v>4273</v>
      </c>
      <c r="C1427" s="1" t="s">
        <v>5720</v>
      </c>
      <c r="D1427" s="48">
        <v>59</v>
      </c>
      <c r="E1427" s="1">
        <v>3</v>
      </c>
      <c r="F1427" s="1" t="s">
        <v>4042</v>
      </c>
      <c r="G1427" s="1" t="s">
        <v>4274</v>
      </c>
      <c r="I1427" s="1" t="s">
        <v>94</v>
      </c>
      <c r="K1427" s="1" t="s">
        <v>95</v>
      </c>
      <c r="N1427" s="54">
        <v>30</v>
      </c>
      <c r="O1427" s="55">
        <v>2</v>
      </c>
      <c r="Q1427" s="57">
        <v>3</v>
      </c>
      <c r="R1427" s="58">
        <v>1</v>
      </c>
      <c r="S1427" s="59">
        <v>3</v>
      </c>
      <c r="V1427" s="4" t="s">
        <v>4275</v>
      </c>
      <c r="W1427" s="4" t="s">
        <v>4276</v>
      </c>
      <c r="AL1427" s="60" t="s">
        <v>30</v>
      </c>
      <c r="AQ1427" s="1"/>
    </row>
    <row r="1428" spans="1:43" ht="72" x14ac:dyDescent="0.2">
      <c r="A1428" s="1" t="s">
        <v>4034</v>
      </c>
      <c r="B1428" s="1" t="s">
        <v>4080</v>
      </c>
      <c r="C1428" s="1" t="s">
        <v>5720</v>
      </c>
      <c r="D1428" s="48">
        <v>60</v>
      </c>
      <c r="E1428" s="1">
        <v>3</v>
      </c>
      <c r="F1428" s="1" t="s">
        <v>4042</v>
      </c>
      <c r="G1428" s="1" t="s">
        <v>4081</v>
      </c>
      <c r="I1428" s="1" t="s">
        <v>104</v>
      </c>
      <c r="K1428" s="1" t="s">
        <v>1178</v>
      </c>
      <c r="O1428" s="55">
        <v>3</v>
      </c>
      <c r="T1428" s="60">
        <v>3</v>
      </c>
      <c r="V1428" s="4" t="s">
        <v>4082</v>
      </c>
      <c r="AL1428" s="60" t="s">
        <v>30</v>
      </c>
      <c r="AQ1428" s="1"/>
    </row>
    <row r="1429" spans="1:43" ht="60" x14ac:dyDescent="0.2">
      <c r="A1429" s="1" t="s">
        <v>4034</v>
      </c>
      <c r="B1429" s="1" t="s">
        <v>4269</v>
      </c>
      <c r="C1429" s="1" t="s">
        <v>5720</v>
      </c>
      <c r="D1429" s="48">
        <v>61</v>
      </c>
      <c r="E1429" s="1">
        <v>1</v>
      </c>
      <c r="F1429" s="1" t="s">
        <v>4042</v>
      </c>
      <c r="G1429" s="1" t="s">
        <v>4270</v>
      </c>
      <c r="H1429" s="1" t="s">
        <v>26</v>
      </c>
      <c r="I1429" s="1" t="s">
        <v>104</v>
      </c>
      <c r="K1429" s="1" t="s">
        <v>4271</v>
      </c>
      <c r="L1429" s="2" t="s">
        <v>331</v>
      </c>
      <c r="O1429" s="55">
        <v>2</v>
      </c>
      <c r="T1429" s="60">
        <v>2</v>
      </c>
      <c r="U1429" s="1">
        <v>3</v>
      </c>
      <c r="V1429" s="4" t="s">
        <v>4272</v>
      </c>
      <c r="AL1429" s="60" t="s">
        <v>30</v>
      </c>
      <c r="AQ1429" s="1"/>
    </row>
    <row r="1430" spans="1:43" ht="60" x14ac:dyDescent="0.2">
      <c r="A1430" s="1" t="s">
        <v>4034</v>
      </c>
      <c r="B1430" s="1" t="s">
        <v>4277</v>
      </c>
      <c r="C1430" s="1" t="s">
        <v>5720</v>
      </c>
      <c r="D1430" s="48">
        <v>62</v>
      </c>
      <c r="E1430" s="1">
        <v>1</v>
      </c>
      <c r="F1430" s="1" t="s">
        <v>4042</v>
      </c>
      <c r="G1430" s="1" t="s">
        <v>4278</v>
      </c>
      <c r="H1430" s="1" t="s">
        <v>26</v>
      </c>
      <c r="I1430" s="1" t="s">
        <v>104</v>
      </c>
      <c r="K1430" s="1" t="s">
        <v>4066</v>
      </c>
      <c r="L1430" s="2" t="s">
        <v>331</v>
      </c>
      <c r="O1430" s="55">
        <v>2</v>
      </c>
      <c r="T1430" s="60">
        <v>2</v>
      </c>
      <c r="U1430" s="1">
        <v>3</v>
      </c>
      <c r="V1430" s="4" t="s">
        <v>4279</v>
      </c>
      <c r="AL1430" s="60" t="s">
        <v>30</v>
      </c>
      <c r="AQ1430" s="1"/>
    </row>
    <row r="1431" spans="1:43" ht="60" x14ac:dyDescent="0.2">
      <c r="A1431" s="1" t="s">
        <v>4034</v>
      </c>
      <c r="B1431" s="1" t="s">
        <v>4064</v>
      </c>
      <c r="C1431" s="1" t="s">
        <v>5720</v>
      </c>
      <c r="D1431" s="48">
        <v>63</v>
      </c>
      <c r="E1431" s="1">
        <v>1</v>
      </c>
      <c r="F1431" s="1" t="s">
        <v>4042</v>
      </c>
      <c r="G1431" s="1" t="s">
        <v>4065</v>
      </c>
      <c r="H1431" s="1" t="s">
        <v>26</v>
      </c>
      <c r="I1431" s="1" t="s">
        <v>104</v>
      </c>
      <c r="K1431" s="1" t="s">
        <v>4066</v>
      </c>
      <c r="L1431" s="2" t="s">
        <v>331</v>
      </c>
      <c r="O1431" s="55">
        <v>2</v>
      </c>
      <c r="T1431" s="60">
        <v>2</v>
      </c>
      <c r="U1431" s="1">
        <v>3</v>
      </c>
      <c r="V1431" s="4" t="s">
        <v>4067</v>
      </c>
      <c r="AL1431" s="60" t="s">
        <v>30</v>
      </c>
      <c r="AQ1431" s="1"/>
    </row>
    <row r="1432" spans="1:43" ht="36" x14ac:dyDescent="0.2">
      <c r="A1432" s="1" t="s">
        <v>4034</v>
      </c>
      <c r="B1432" s="1" t="s">
        <v>4185</v>
      </c>
      <c r="C1432" s="1" t="s">
        <v>5720</v>
      </c>
      <c r="D1432" s="48">
        <v>64</v>
      </c>
      <c r="E1432" s="1">
        <v>2</v>
      </c>
      <c r="F1432" s="1" t="s">
        <v>4042</v>
      </c>
      <c r="G1432" s="1" t="s">
        <v>4186</v>
      </c>
      <c r="I1432" s="1" t="s">
        <v>82</v>
      </c>
      <c r="V1432" s="4" t="s">
        <v>4187</v>
      </c>
      <c r="W1432" s="4" t="s">
        <v>4188</v>
      </c>
      <c r="AL1432" s="60" t="s">
        <v>30</v>
      </c>
      <c r="AQ1432" s="1"/>
    </row>
    <row r="1433" spans="1:43" ht="48" x14ac:dyDescent="0.2">
      <c r="A1433" s="1" t="s">
        <v>4034</v>
      </c>
      <c r="B1433" s="1" t="s">
        <v>4210</v>
      </c>
      <c r="C1433" s="1" t="s">
        <v>5720</v>
      </c>
      <c r="D1433" s="48">
        <v>65</v>
      </c>
      <c r="E1433" s="1">
        <v>2</v>
      </c>
      <c r="F1433" s="1" t="s">
        <v>4042</v>
      </c>
      <c r="G1433" s="1" t="s">
        <v>4211</v>
      </c>
      <c r="I1433" s="1" t="s">
        <v>82</v>
      </c>
      <c r="V1433" s="4" t="s">
        <v>4212</v>
      </c>
      <c r="W1433" s="4" t="s">
        <v>4213</v>
      </c>
      <c r="AL1433" s="60" t="s">
        <v>30</v>
      </c>
      <c r="AQ1433" s="1"/>
    </row>
    <row r="1434" spans="1:43" ht="36" x14ac:dyDescent="0.2">
      <c r="A1434" s="1" t="s">
        <v>4034</v>
      </c>
      <c r="B1434" s="1" t="s">
        <v>4061</v>
      </c>
      <c r="C1434" s="1" t="s">
        <v>5720</v>
      </c>
      <c r="D1434" s="48">
        <v>66</v>
      </c>
      <c r="E1434" s="1">
        <v>2</v>
      </c>
      <c r="F1434" s="1" t="s">
        <v>4042</v>
      </c>
      <c r="G1434" s="1" t="s">
        <v>4062</v>
      </c>
      <c r="I1434" s="1" t="s">
        <v>82</v>
      </c>
      <c r="L1434" s="2" t="s">
        <v>155</v>
      </c>
      <c r="V1434" s="4" t="s">
        <v>4063</v>
      </c>
      <c r="AL1434" s="60" t="s">
        <v>30</v>
      </c>
      <c r="AQ1434" s="1"/>
    </row>
    <row r="1435" spans="1:43" ht="48" x14ac:dyDescent="0.2">
      <c r="A1435" s="1" t="s">
        <v>4034</v>
      </c>
      <c r="B1435" s="1" t="s">
        <v>4057</v>
      </c>
      <c r="C1435" s="1" t="s">
        <v>5720</v>
      </c>
      <c r="D1435" s="48">
        <v>67</v>
      </c>
      <c r="E1435" s="1">
        <v>1</v>
      </c>
      <c r="F1435" s="1" t="s">
        <v>4059</v>
      </c>
      <c r="G1435" s="1" t="s">
        <v>9568</v>
      </c>
      <c r="I1435" s="1" t="s">
        <v>125</v>
      </c>
      <c r="M1435" s="18">
        <v>1</v>
      </c>
      <c r="N1435" s="54" t="s">
        <v>9529</v>
      </c>
      <c r="V1435" s="4" t="s">
        <v>4058</v>
      </c>
      <c r="X1435" s="1" t="s">
        <v>4334</v>
      </c>
      <c r="Y1435" s="1" t="s">
        <v>9568</v>
      </c>
      <c r="AA1435" s="1" t="s">
        <v>125</v>
      </c>
      <c r="AE1435" s="1">
        <v>1</v>
      </c>
      <c r="AF1435" s="54" t="s">
        <v>9530</v>
      </c>
      <c r="AL1435" s="60" t="s">
        <v>346</v>
      </c>
      <c r="AN1435" s="4" t="s">
        <v>4060</v>
      </c>
      <c r="AQ1435" s="1"/>
    </row>
    <row r="1436" spans="1:43" ht="36" x14ac:dyDescent="0.2">
      <c r="A1436" s="1" t="s">
        <v>4034</v>
      </c>
      <c r="B1436" s="1" t="s">
        <v>4203</v>
      </c>
      <c r="C1436" s="1" t="s">
        <v>5720</v>
      </c>
      <c r="D1436" s="48">
        <v>68</v>
      </c>
      <c r="E1436" s="1">
        <v>1</v>
      </c>
      <c r="F1436" s="1" t="s">
        <v>4059</v>
      </c>
      <c r="G1436" s="1" t="s">
        <v>9627</v>
      </c>
      <c r="I1436" s="1" t="s">
        <v>125</v>
      </c>
      <c r="M1436" s="18">
        <v>2</v>
      </c>
      <c r="N1436" s="54" t="s">
        <v>9529</v>
      </c>
      <c r="Y1436" s="1" t="s">
        <v>9627</v>
      </c>
      <c r="AA1436" s="1" t="s">
        <v>125</v>
      </c>
      <c r="AE1436" s="1">
        <v>2</v>
      </c>
      <c r="AF1436" s="54" t="s">
        <v>9530</v>
      </c>
      <c r="AL1436" s="60" t="s">
        <v>799</v>
      </c>
      <c r="AN1436" s="4" t="s">
        <v>4204</v>
      </c>
      <c r="AQ1436" s="1"/>
    </row>
    <row r="1437" spans="1:43" ht="108" x14ac:dyDescent="0.2">
      <c r="A1437" s="1" t="s">
        <v>4034</v>
      </c>
      <c r="B1437" s="1" t="s">
        <v>4247</v>
      </c>
      <c r="C1437" s="1" t="s">
        <v>5720</v>
      </c>
      <c r="D1437" s="48">
        <v>69</v>
      </c>
      <c r="E1437" s="1">
        <v>1</v>
      </c>
      <c r="F1437" s="1" t="s">
        <v>4059</v>
      </c>
      <c r="G1437" s="1" t="s">
        <v>9688</v>
      </c>
      <c r="I1437" s="1" t="s">
        <v>125</v>
      </c>
      <c r="M1437" s="18">
        <v>3</v>
      </c>
      <c r="N1437" s="54" t="s">
        <v>9529</v>
      </c>
      <c r="V1437" s="4" t="s">
        <v>4248</v>
      </c>
      <c r="Y1437" s="1" t="s">
        <v>9688</v>
      </c>
      <c r="AA1437" s="1" t="s">
        <v>125</v>
      </c>
      <c r="AE1437" s="1">
        <v>3</v>
      </c>
      <c r="AF1437" s="54" t="s">
        <v>9530</v>
      </c>
      <c r="AL1437" s="60" t="s">
        <v>31</v>
      </c>
      <c r="AN1437" s="4" t="s">
        <v>4249</v>
      </c>
      <c r="AQ1437" s="1"/>
    </row>
    <row r="1438" spans="1:43" ht="120" x14ac:dyDescent="0.2">
      <c r="A1438" s="1" t="s">
        <v>4034</v>
      </c>
      <c r="B1438" s="1" t="s">
        <v>4074</v>
      </c>
      <c r="C1438" s="1" t="s">
        <v>5720</v>
      </c>
      <c r="D1438" s="48">
        <v>70</v>
      </c>
      <c r="E1438" s="1">
        <v>1</v>
      </c>
      <c r="F1438" s="1" t="s">
        <v>4059</v>
      </c>
      <c r="G1438" s="1" t="s">
        <v>9712</v>
      </c>
      <c r="I1438" s="1" t="s">
        <v>125</v>
      </c>
      <c r="M1438" s="18">
        <v>4</v>
      </c>
      <c r="N1438" s="54" t="s">
        <v>9529</v>
      </c>
      <c r="V1438" s="4" t="s">
        <v>4075</v>
      </c>
      <c r="Y1438" s="1" t="s">
        <v>9712</v>
      </c>
      <c r="AA1438" s="1" t="s">
        <v>125</v>
      </c>
      <c r="AE1438" s="1">
        <v>4</v>
      </c>
      <c r="AF1438" s="54" t="s">
        <v>9530</v>
      </c>
      <c r="AL1438" s="60" t="s">
        <v>33</v>
      </c>
      <c r="AN1438" s="4" t="s">
        <v>4076</v>
      </c>
      <c r="AQ1438" s="1"/>
    </row>
    <row r="1439" spans="1:43" ht="72" x14ac:dyDescent="0.2">
      <c r="A1439" s="1" t="s">
        <v>4034</v>
      </c>
      <c r="B1439" s="1" t="s">
        <v>4122</v>
      </c>
      <c r="C1439" s="1" t="s">
        <v>5720</v>
      </c>
      <c r="D1439" s="48">
        <v>71</v>
      </c>
      <c r="E1439" s="1">
        <v>1</v>
      </c>
      <c r="F1439" s="1" t="s">
        <v>4036</v>
      </c>
      <c r="G1439" s="1" t="s">
        <v>9569</v>
      </c>
      <c r="I1439" s="1" t="s">
        <v>125</v>
      </c>
      <c r="M1439" s="18">
        <v>1</v>
      </c>
      <c r="N1439" s="54" t="s">
        <v>9529</v>
      </c>
      <c r="V1439" s="4" t="s">
        <v>4123</v>
      </c>
      <c r="X1439" s="1" t="s">
        <v>3774</v>
      </c>
      <c r="Y1439" s="1" t="s">
        <v>9569</v>
      </c>
      <c r="AA1439" s="1" t="s">
        <v>125</v>
      </c>
      <c r="AE1439" s="1">
        <v>1</v>
      </c>
      <c r="AF1439" s="54" t="s">
        <v>9530</v>
      </c>
      <c r="AL1439" s="60" t="s">
        <v>799</v>
      </c>
      <c r="AN1439" s="4" t="s">
        <v>4124</v>
      </c>
      <c r="AQ1439" s="1"/>
    </row>
    <row r="1440" spans="1:43" ht="84" x14ac:dyDescent="0.2">
      <c r="A1440" s="1" t="s">
        <v>4034</v>
      </c>
      <c r="B1440" s="1" t="s">
        <v>4103</v>
      </c>
      <c r="C1440" s="1" t="s">
        <v>5720</v>
      </c>
      <c r="D1440" s="48">
        <v>72</v>
      </c>
      <c r="E1440" s="1">
        <v>1</v>
      </c>
      <c r="F1440" s="1" t="s">
        <v>4036</v>
      </c>
      <c r="G1440" s="1" t="s">
        <v>9628</v>
      </c>
      <c r="I1440" s="1" t="s">
        <v>125</v>
      </c>
      <c r="M1440" s="18">
        <v>2</v>
      </c>
      <c r="N1440" s="54" t="s">
        <v>9529</v>
      </c>
      <c r="Y1440" s="1" t="s">
        <v>9628</v>
      </c>
      <c r="AA1440" s="1" t="s">
        <v>125</v>
      </c>
      <c r="AE1440" s="1">
        <v>2</v>
      </c>
      <c r="AF1440" s="54" t="s">
        <v>9530</v>
      </c>
      <c r="AL1440" s="60" t="s">
        <v>799</v>
      </c>
      <c r="AN1440" s="4" t="s">
        <v>4104</v>
      </c>
      <c r="AQ1440" s="1"/>
    </row>
    <row r="1441" spans="1:43" ht="96" x14ac:dyDescent="0.2">
      <c r="A1441" s="1" t="s">
        <v>4034</v>
      </c>
      <c r="B1441" s="1" t="s">
        <v>4205</v>
      </c>
      <c r="C1441" s="1" t="s">
        <v>5720</v>
      </c>
      <c r="D1441" s="48">
        <v>73</v>
      </c>
      <c r="E1441" s="1">
        <v>1</v>
      </c>
      <c r="F1441" s="1" t="s">
        <v>4036</v>
      </c>
      <c r="G1441" s="1" t="s">
        <v>9689</v>
      </c>
      <c r="I1441" s="1" t="s">
        <v>125</v>
      </c>
      <c r="M1441" s="18">
        <v>3</v>
      </c>
      <c r="N1441" s="54" t="s">
        <v>9529</v>
      </c>
      <c r="V1441" s="4" t="s">
        <v>4206</v>
      </c>
      <c r="Y1441" s="1" t="s">
        <v>9689</v>
      </c>
      <c r="AA1441" s="1" t="s">
        <v>125</v>
      </c>
      <c r="AE1441" s="1">
        <v>3</v>
      </c>
      <c r="AF1441" s="54" t="s">
        <v>9530</v>
      </c>
      <c r="AL1441" s="60" t="s">
        <v>122</v>
      </c>
      <c r="AN1441" s="4" t="s">
        <v>4207</v>
      </c>
      <c r="AQ1441" s="1"/>
    </row>
    <row r="1442" spans="1:43" ht="36" x14ac:dyDescent="0.2">
      <c r="A1442" s="1" t="s">
        <v>4034</v>
      </c>
      <c r="B1442" s="1" t="s">
        <v>4077</v>
      </c>
      <c r="C1442" s="1" t="s">
        <v>5720</v>
      </c>
      <c r="D1442" s="48">
        <v>74</v>
      </c>
      <c r="E1442" s="1">
        <v>1</v>
      </c>
      <c r="F1442" s="1" t="s">
        <v>4036</v>
      </c>
      <c r="G1442" s="1" t="s">
        <v>9713</v>
      </c>
      <c r="I1442" s="1" t="s">
        <v>125</v>
      </c>
      <c r="M1442" s="18">
        <v>4</v>
      </c>
      <c r="N1442" s="54" t="s">
        <v>9529</v>
      </c>
      <c r="V1442" s="4" t="s">
        <v>4078</v>
      </c>
      <c r="Y1442" s="1" t="s">
        <v>9713</v>
      </c>
      <c r="AA1442" s="1" t="s">
        <v>125</v>
      </c>
      <c r="AE1442" s="1">
        <v>4</v>
      </c>
      <c r="AF1442" s="54" t="s">
        <v>9530</v>
      </c>
      <c r="AL1442" s="60" t="s">
        <v>243</v>
      </c>
      <c r="AN1442" s="4" t="s">
        <v>4079</v>
      </c>
      <c r="AQ1442" s="1"/>
    </row>
    <row r="1443" spans="1:43" ht="36" x14ac:dyDescent="0.2">
      <c r="A1443" s="1" t="s">
        <v>4034</v>
      </c>
      <c r="B1443" s="1" t="s">
        <v>4259</v>
      </c>
      <c r="C1443" s="1" t="s">
        <v>5720</v>
      </c>
      <c r="D1443" s="48">
        <v>75</v>
      </c>
      <c r="E1443" s="1">
        <v>1</v>
      </c>
      <c r="F1443" s="1" t="s">
        <v>4042</v>
      </c>
      <c r="G1443" s="1" t="s">
        <v>9570</v>
      </c>
      <c r="I1443" s="1" t="s">
        <v>125</v>
      </c>
      <c r="M1443" s="18">
        <v>1</v>
      </c>
      <c r="N1443" s="54" t="s">
        <v>9529</v>
      </c>
      <c r="V1443" s="4" t="s">
        <v>4260</v>
      </c>
      <c r="X1443" s="1" t="s">
        <v>1629</v>
      </c>
      <c r="Y1443" s="1" t="s">
        <v>9570</v>
      </c>
      <c r="AA1443" s="1" t="s">
        <v>125</v>
      </c>
      <c r="AE1443" s="1">
        <v>1</v>
      </c>
      <c r="AF1443" s="54" t="s">
        <v>9530</v>
      </c>
      <c r="AL1443" s="60" t="s">
        <v>799</v>
      </c>
      <c r="AN1443" s="4" t="s">
        <v>4261</v>
      </c>
      <c r="AQ1443" s="1"/>
    </row>
    <row r="1444" spans="1:43" ht="48" x14ac:dyDescent="0.2">
      <c r="A1444" s="1" t="s">
        <v>4034</v>
      </c>
      <c r="B1444" s="1" t="s">
        <v>4208</v>
      </c>
      <c r="C1444" s="1" t="s">
        <v>5720</v>
      </c>
      <c r="D1444" s="48">
        <v>76</v>
      </c>
      <c r="E1444" s="1">
        <v>1</v>
      </c>
      <c r="F1444" s="1" t="s">
        <v>4042</v>
      </c>
      <c r="G1444" s="1" t="s">
        <v>9629</v>
      </c>
      <c r="I1444" s="1" t="s">
        <v>125</v>
      </c>
      <c r="M1444" s="18">
        <v>2</v>
      </c>
      <c r="N1444" s="54" t="s">
        <v>9529</v>
      </c>
      <c r="Y1444" s="1" t="s">
        <v>9629</v>
      </c>
      <c r="AA1444" s="1" t="s">
        <v>125</v>
      </c>
      <c r="AE1444" s="1">
        <v>2</v>
      </c>
      <c r="AF1444" s="54" t="s">
        <v>9530</v>
      </c>
      <c r="AL1444" s="60" t="s">
        <v>341</v>
      </c>
      <c r="AN1444" s="4" t="s">
        <v>4209</v>
      </c>
      <c r="AQ1444" s="1"/>
    </row>
    <row r="1445" spans="1:43" ht="48" x14ac:dyDescent="0.2">
      <c r="A1445" s="1" t="s">
        <v>4034</v>
      </c>
      <c r="B1445" s="1" t="s">
        <v>4174</v>
      </c>
      <c r="C1445" s="1" t="s">
        <v>5720</v>
      </c>
      <c r="D1445" s="48">
        <v>77</v>
      </c>
      <c r="E1445" s="1">
        <v>1</v>
      </c>
      <c r="F1445" s="1" t="s">
        <v>4042</v>
      </c>
      <c r="G1445" s="1" t="s">
        <v>9690</v>
      </c>
      <c r="I1445" s="1" t="s">
        <v>125</v>
      </c>
      <c r="M1445" s="18">
        <v>3</v>
      </c>
      <c r="N1445" s="54" t="s">
        <v>9529</v>
      </c>
      <c r="Y1445" s="1" t="s">
        <v>9690</v>
      </c>
      <c r="AA1445" s="1" t="s">
        <v>125</v>
      </c>
      <c r="AE1445" s="1">
        <v>3</v>
      </c>
      <c r="AF1445" s="54" t="s">
        <v>9530</v>
      </c>
      <c r="AL1445" s="60" t="s">
        <v>341</v>
      </c>
      <c r="AN1445" s="4" t="s">
        <v>4175</v>
      </c>
      <c r="AQ1445" s="1"/>
    </row>
    <row r="1446" spans="1:43" ht="48" x14ac:dyDescent="0.2">
      <c r="A1446" s="1" t="s">
        <v>4034</v>
      </c>
      <c r="B1446" s="1" t="s">
        <v>4117</v>
      </c>
      <c r="C1446" s="1" t="s">
        <v>5720</v>
      </c>
      <c r="D1446" s="48">
        <v>78</v>
      </c>
      <c r="E1446" s="1">
        <v>1</v>
      </c>
      <c r="F1446" s="1" t="s">
        <v>4042</v>
      </c>
      <c r="G1446" s="1" t="s">
        <v>9714</v>
      </c>
      <c r="I1446" s="1" t="s">
        <v>125</v>
      </c>
      <c r="M1446" s="18">
        <v>4</v>
      </c>
      <c r="N1446" s="54" t="s">
        <v>9529</v>
      </c>
      <c r="Y1446" s="1" t="s">
        <v>9714</v>
      </c>
      <c r="AA1446" s="1" t="s">
        <v>125</v>
      </c>
      <c r="AE1446" s="1">
        <v>4</v>
      </c>
      <c r="AF1446" s="54" t="s">
        <v>9530</v>
      </c>
      <c r="AL1446" s="60" t="s">
        <v>341</v>
      </c>
      <c r="AN1446" s="4" t="s">
        <v>4118</v>
      </c>
      <c r="AQ1446" s="1"/>
    </row>
    <row r="1447" spans="1:43" ht="96" x14ac:dyDescent="0.2">
      <c r="A1447" s="1" t="s">
        <v>4034</v>
      </c>
      <c r="B1447" s="1" t="s">
        <v>4176</v>
      </c>
      <c r="C1447" s="1" t="s">
        <v>5720</v>
      </c>
      <c r="D1447" s="48">
        <v>79</v>
      </c>
      <c r="E1447" s="1">
        <v>1</v>
      </c>
      <c r="F1447" s="1" t="s">
        <v>4042</v>
      </c>
      <c r="G1447" s="1" t="s">
        <v>9722</v>
      </c>
      <c r="I1447" s="1" t="s">
        <v>125</v>
      </c>
      <c r="M1447" s="18">
        <v>5</v>
      </c>
      <c r="N1447" s="54" t="s">
        <v>9529</v>
      </c>
      <c r="Y1447" s="1" t="s">
        <v>9722</v>
      </c>
      <c r="AA1447" s="1" t="s">
        <v>125</v>
      </c>
      <c r="AE1447" s="1">
        <v>5</v>
      </c>
      <c r="AF1447" s="54" t="s">
        <v>9530</v>
      </c>
      <c r="AL1447" s="60" t="s">
        <v>799</v>
      </c>
      <c r="AN1447" s="4" t="s">
        <v>4177</v>
      </c>
      <c r="AQ1447" s="1"/>
    </row>
    <row r="1448" spans="1:43" ht="48" x14ac:dyDescent="0.2">
      <c r="A1448" s="121" t="s">
        <v>3452</v>
      </c>
      <c r="B1448" s="121" t="s">
        <v>3532</v>
      </c>
      <c r="C1448" s="121" t="s">
        <v>5721</v>
      </c>
      <c r="D1448" s="122">
        <v>1</v>
      </c>
      <c r="E1448" s="121">
        <v>1</v>
      </c>
      <c r="F1448" s="121"/>
      <c r="G1448" s="121" t="s">
        <v>241</v>
      </c>
      <c r="H1448" s="1" t="s">
        <v>26</v>
      </c>
      <c r="I1448" s="1" t="s">
        <v>27</v>
      </c>
      <c r="J1448" s="1" t="s">
        <v>3533</v>
      </c>
      <c r="K1448" s="1" t="s">
        <v>3534</v>
      </c>
      <c r="M1448" s="18">
        <v>0</v>
      </c>
      <c r="P1448" s="56">
        <v>2</v>
      </c>
      <c r="Q1448" s="57">
        <v>1</v>
      </c>
      <c r="R1448" s="58">
        <v>2</v>
      </c>
      <c r="S1448" s="59">
        <v>2</v>
      </c>
      <c r="V1448" s="4" t="s">
        <v>3535</v>
      </c>
      <c r="AL1448" s="60" t="s">
        <v>30</v>
      </c>
      <c r="AQ1448" s="1"/>
    </row>
    <row r="1449" spans="1:43" ht="36" x14ac:dyDescent="0.2">
      <c r="A1449" s="1" t="s">
        <v>3452</v>
      </c>
      <c r="B1449" s="1" t="s">
        <v>3560</v>
      </c>
      <c r="C1449" s="1" t="s">
        <v>5721</v>
      </c>
      <c r="D1449" s="48">
        <v>2</v>
      </c>
      <c r="E1449" s="1">
        <v>1</v>
      </c>
      <c r="G1449" s="1" t="s">
        <v>3561</v>
      </c>
      <c r="H1449" s="1" t="s">
        <v>26</v>
      </c>
      <c r="I1449" s="1" t="s">
        <v>27</v>
      </c>
      <c r="J1449" s="1" t="s">
        <v>28</v>
      </c>
      <c r="K1449" s="1" t="s">
        <v>242</v>
      </c>
      <c r="M1449" s="18">
        <v>8</v>
      </c>
      <c r="P1449" s="56">
        <v>3</v>
      </c>
      <c r="Q1449" s="57">
        <v>1</v>
      </c>
      <c r="R1449" s="58">
        <v>1</v>
      </c>
      <c r="S1449" s="59">
        <v>3</v>
      </c>
      <c r="V1449" s="4" t="s">
        <v>3562</v>
      </c>
      <c r="AL1449" s="60" t="s">
        <v>30</v>
      </c>
      <c r="AQ1449" s="1"/>
    </row>
    <row r="1450" spans="1:43" ht="48" x14ac:dyDescent="0.2">
      <c r="A1450" s="1" t="s">
        <v>3452</v>
      </c>
      <c r="B1450" s="1" t="s">
        <v>3453</v>
      </c>
      <c r="C1450" s="1" t="s">
        <v>5721</v>
      </c>
      <c r="D1450" s="48">
        <v>3</v>
      </c>
      <c r="E1450" s="1">
        <v>1</v>
      </c>
      <c r="G1450" s="1" t="s">
        <v>3454</v>
      </c>
      <c r="H1450" s="1" t="s">
        <v>26</v>
      </c>
      <c r="I1450" s="1" t="s">
        <v>27</v>
      </c>
      <c r="J1450" s="1" t="s">
        <v>50</v>
      </c>
      <c r="K1450" s="1" t="s">
        <v>242</v>
      </c>
      <c r="M1450" s="18">
        <v>6</v>
      </c>
      <c r="P1450" s="56">
        <v>2</v>
      </c>
      <c r="Q1450" s="57">
        <v>0</v>
      </c>
      <c r="R1450" s="58">
        <v>1</v>
      </c>
      <c r="S1450" s="59">
        <v>2</v>
      </c>
      <c r="V1450" s="4" t="s">
        <v>3455</v>
      </c>
      <c r="AL1450" s="60" t="s">
        <v>30</v>
      </c>
      <c r="AQ1450" s="1"/>
    </row>
    <row r="1451" spans="1:43" ht="60" x14ac:dyDescent="0.2">
      <c r="A1451" s="1" t="s">
        <v>3452</v>
      </c>
      <c r="B1451" s="1" t="s">
        <v>3719</v>
      </c>
      <c r="C1451" s="1" t="s">
        <v>5721</v>
      </c>
      <c r="D1451" s="48">
        <v>4</v>
      </c>
      <c r="E1451" s="1">
        <v>1</v>
      </c>
      <c r="G1451" s="1" t="s">
        <v>2215</v>
      </c>
      <c r="H1451" s="1" t="s">
        <v>26</v>
      </c>
      <c r="I1451" s="1" t="s">
        <v>27</v>
      </c>
      <c r="J1451" s="1" t="s">
        <v>39</v>
      </c>
      <c r="K1451" s="1" t="s">
        <v>242</v>
      </c>
      <c r="M1451" s="18">
        <v>6</v>
      </c>
      <c r="P1451" s="56">
        <v>2</v>
      </c>
      <c r="Q1451" s="57">
        <v>1</v>
      </c>
      <c r="R1451" s="58">
        <v>1</v>
      </c>
      <c r="S1451" s="59">
        <v>2</v>
      </c>
      <c r="V1451" s="4" t="s">
        <v>3720</v>
      </c>
      <c r="AL1451" s="60" t="s">
        <v>30</v>
      </c>
      <c r="AQ1451" s="1"/>
    </row>
    <row r="1452" spans="1:43" ht="36" x14ac:dyDescent="0.2">
      <c r="A1452" s="1" t="s">
        <v>3452</v>
      </c>
      <c r="B1452" s="1" t="s">
        <v>3594</v>
      </c>
      <c r="C1452" s="1" t="s">
        <v>5721</v>
      </c>
      <c r="D1452" s="48">
        <v>5</v>
      </c>
      <c r="E1452" s="1">
        <v>1</v>
      </c>
      <c r="G1452" s="1" t="s">
        <v>3595</v>
      </c>
      <c r="H1452" s="1" t="s">
        <v>26</v>
      </c>
      <c r="I1452" s="1" t="s">
        <v>27</v>
      </c>
      <c r="J1452" s="1" t="s">
        <v>57</v>
      </c>
      <c r="K1452" s="1" t="s">
        <v>242</v>
      </c>
      <c r="M1452" s="18">
        <v>7</v>
      </c>
      <c r="P1452" s="56">
        <v>1</v>
      </c>
      <c r="Q1452" s="57">
        <v>1</v>
      </c>
      <c r="R1452" s="58">
        <v>2</v>
      </c>
      <c r="S1452" s="59">
        <v>3</v>
      </c>
      <c r="V1452" s="4" t="s">
        <v>3596</v>
      </c>
      <c r="AL1452" s="60" t="s">
        <v>30</v>
      </c>
      <c r="AQ1452" s="1"/>
    </row>
    <row r="1453" spans="1:43" ht="36" x14ac:dyDescent="0.2">
      <c r="A1453" s="1" t="s">
        <v>3452</v>
      </c>
      <c r="B1453" s="1" t="s">
        <v>3501</v>
      </c>
      <c r="C1453" s="1" t="s">
        <v>5721</v>
      </c>
      <c r="D1453" s="48">
        <v>6</v>
      </c>
      <c r="E1453" s="1">
        <v>3</v>
      </c>
      <c r="G1453" s="1" t="s">
        <v>3502</v>
      </c>
      <c r="H1453" s="1" t="s">
        <v>26</v>
      </c>
      <c r="I1453" s="1" t="s">
        <v>38</v>
      </c>
      <c r="J1453" s="1" t="s">
        <v>28</v>
      </c>
      <c r="K1453" s="1" t="s">
        <v>3503</v>
      </c>
      <c r="L1453" s="2" t="s">
        <v>3504</v>
      </c>
      <c r="M1453" s="18">
        <v>2</v>
      </c>
      <c r="P1453" s="56">
        <v>1</v>
      </c>
      <c r="Q1453" s="57">
        <v>1</v>
      </c>
      <c r="R1453" s="58">
        <v>0</v>
      </c>
      <c r="S1453" s="59">
        <v>2</v>
      </c>
      <c r="V1453" s="4" t="s">
        <v>3505</v>
      </c>
      <c r="AL1453" s="60" t="s">
        <v>30</v>
      </c>
      <c r="AQ1453" s="1"/>
    </row>
    <row r="1454" spans="1:43" ht="36" x14ac:dyDescent="0.2">
      <c r="A1454" s="1" t="s">
        <v>3452</v>
      </c>
      <c r="B1454" s="1" t="s">
        <v>3622</v>
      </c>
      <c r="C1454" s="1" t="s">
        <v>5721</v>
      </c>
      <c r="D1454" s="48">
        <v>7</v>
      </c>
      <c r="E1454" s="1">
        <v>3</v>
      </c>
      <c r="G1454" s="1" t="s">
        <v>3623</v>
      </c>
      <c r="H1454" s="1" t="s">
        <v>26</v>
      </c>
      <c r="I1454" s="1" t="s">
        <v>38</v>
      </c>
      <c r="J1454" s="1" t="s">
        <v>39</v>
      </c>
      <c r="K1454" s="1" t="s">
        <v>3624</v>
      </c>
      <c r="M1454" s="18">
        <v>2</v>
      </c>
      <c r="P1454" s="56">
        <v>1</v>
      </c>
      <c r="Q1454" s="57">
        <v>0</v>
      </c>
      <c r="R1454" s="58">
        <v>1</v>
      </c>
      <c r="S1454" s="59">
        <v>3</v>
      </c>
      <c r="V1454" s="4" t="s">
        <v>3625</v>
      </c>
      <c r="AL1454" s="60" t="s">
        <v>30</v>
      </c>
      <c r="AQ1454" s="1"/>
    </row>
    <row r="1455" spans="1:43" ht="36" x14ac:dyDescent="0.2">
      <c r="A1455" s="1" t="s">
        <v>3452</v>
      </c>
      <c r="B1455" s="1" t="s">
        <v>3685</v>
      </c>
      <c r="C1455" s="1" t="s">
        <v>5721</v>
      </c>
      <c r="D1455" s="48">
        <v>8</v>
      </c>
      <c r="E1455" s="1">
        <v>3</v>
      </c>
      <c r="G1455" s="1" t="s">
        <v>3686</v>
      </c>
      <c r="H1455" s="1" t="s">
        <v>26</v>
      </c>
      <c r="I1455" s="1" t="s">
        <v>38</v>
      </c>
      <c r="J1455" s="1" t="s">
        <v>50</v>
      </c>
      <c r="K1455" s="1" t="s">
        <v>242</v>
      </c>
      <c r="M1455" s="18">
        <v>3</v>
      </c>
      <c r="P1455" s="56">
        <v>1</v>
      </c>
      <c r="Q1455" s="57">
        <v>2</v>
      </c>
      <c r="R1455" s="58">
        <v>0</v>
      </c>
      <c r="S1455" s="59">
        <v>2</v>
      </c>
      <c r="V1455" s="4" t="s">
        <v>3687</v>
      </c>
      <c r="AL1455" s="60" t="s">
        <v>30</v>
      </c>
      <c r="AQ1455" s="1"/>
    </row>
    <row r="1456" spans="1:43" ht="24" x14ac:dyDescent="0.2">
      <c r="A1456" s="1" t="s">
        <v>3452</v>
      </c>
      <c r="B1456" s="1" t="s">
        <v>3652</v>
      </c>
      <c r="C1456" s="1" t="s">
        <v>5721</v>
      </c>
      <c r="D1456" s="48">
        <v>9</v>
      </c>
      <c r="E1456" s="1">
        <v>3</v>
      </c>
      <c r="G1456" s="1" t="s">
        <v>3653</v>
      </c>
      <c r="I1456" s="1" t="s">
        <v>63</v>
      </c>
      <c r="J1456" s="1" t="s">
        <v>50</v>
      </c>
      <c r="M1456" s="18">
        <v>1</v>
      </c>
      <c r="V1456" s="4" t="s">
        <v>3654</v>
      </c>
      <c r="AL1456" s="60" t="s">
        <v>30</v>
      </c>
      <c r="AQ1456" s="1"/>
    </row>
    <row r="1457" spans="1:43" ht="24" x14ac:dyDescent="0.2">
      <c r="A1457" s="1" t="s">
        <v>3452</v>
      </c>
      <c r="B1457" s="1" t="s">
        <v>3658</v>
      </c>
      <c r="C1457" s="1" t="s">
        <v>5721</v>
      </c>
      <c r="D1457" s="48">
        <v>10</v>
      </c>
      <c r="E1457" s="1">
        <v>3</v>
      </c>
      <c r="G1457" s="1" t="s">
        <v>3659</v>
      </c>
      <c r="I1457" s="1" t="s">
        <v>63</v>
      </c>
      <c r="J1457" s="1" t="s">
        <v>57</v>
      </c>
      <c r="M1457" s="18">
        <v>2</v>
      </c>
      <c r="V1457" s="4" t="s">
        <v>3660</v>
      </c>
      <c r="AL1457" s="60" t="s">
        <v>30</v>
      </c>
      <c r="AQ1457" s="1"/>
    </row>
    <row r="1458" spans="1:43" ht="60" x14ac:dyDescent="0.2">
      <c r="A1458" s="1" t="s">
        <v>3452</v>
      </c>
      <c r="B1458" s="1" t="s">
        <v>3619</v>
      </c>
      <c r="C1458" s="1" t="s">
        <v>5721</v>
      </c>
      <c r="D1458" s="48">
        <v>11</v>
      </c>
      <c r="E1458" s="1">
        <v>3</v>
      </c>
      <c r="G1458" s="1" t="s">
        <v>3620</v>
      </c>
      <c r="I1458" s="1" t="s">
        <v>63</v>
      </c>
      <c r="J1458" s="1" t="s">
        <v>39</v>
      </c>
      <c r="M1458" s="18">
        <v>3</v>
      </c>
      <c r="V1458" s="4" t="s">
        <v>3621</v>
      </c>
      <c r="AL1458" s="60" t="s">
        <v>30</v>
      </c>
      <c r="AQ1458" s="1"/>
    </row>
    <row r="1459" spans="1:43" ht="24" x14ac:dyDescent="0.2">
      <c r="A1459" s="1" t="s">
        <v>3452</v>
      </c>
      <c r="B1459" s="1" t="s">
        <v>3661</v>
      </c>
      <c r="C1459" s="1" t="s">
        <v>5721</v>
      </c>
      <c r="D1459" s="48">
        <v>12</v>
      </c>
      <c r="E1459" s="1">
        <v>3</v>
      </c>
      <c r="G1459" s="1" t="s">
        <v>3662</v>
      </c>
      <c r="I1459" s="1" t="s">
        <v>63</v>
      </c>
      <c r="J1459" s="1" t="s">
        <v>3533</v>
      </c>
      <c r="M1459" s="18">
        <v>2</v>
      </c>
      <c r="V1459" s="4" t="s">
        <v>3663</v>
      </c>
      <c r="AL1459" s="60" t="s">
        <v>30</v>
      </c>
      <c r="AQ1459" s="1"/>
    </row>
    <row r="1460" spans="1:43" ht="24" x14ac:dyDescent="0.2">
      <c r="A1460" s="1" t="s">
        <v>3452</v>
      </c>
      <c r="B1460" s="1" t="s">
        <v>3648</v>
      </c>
      <c r="C1460" s="1" t="s">
        <v>5721</v>
      </c>
      <c r="D1460" s="48">
        <v>13</v>
      </c>
      <c r="E1460" s="1">
        <v>3</v>
      </c>
      <c r="G1460" s="1" t="s">
        <v>3649</v>
      </c>
      <c r="I1460" s="1" t="s">
        <v>56</v>
      </c>
      <c r="J1460" s="1" t="s">
        <v>28</v>
      </c>
      <c r="K1460" s="1" t="s">
        <v>89</v>
      </c>
      <c r="L1460" s="2" t="s">
        <v>3650</v>
      </c>
      <c r="M1460" s="18">
        <v>1</v>
      </c>
      <c r="V1460" s="4" t="s">
        <v>3651</v>
      </c>
      <c r="AL1460" s="60" t="s">
        <v>30</v>
      </c>
      <c r="AQ1460" s="1"/>
    </row>
    <row r="1461" spans="1:43" ht="24" x14ac:dyDescent="0.2">
      <c r="A1461" s="1" t="s">
        <v>3452</v>
      </c>
      <c r="B1461" s="1" t="s">
        <v>3563</v>
      </c>
      <c r="C1461" s="1" t="s">
        <v>5721</v>
      </c>
      <c r="D1461" s="48">
        <v>14</v>
      </c>
      <c r="E1461" s="1">
        <v>3</v>
      </c>
      <c r="G1461" s="1" t="s">
        <v>3564</v>
      </c>
      <c r="I1461" s="1" t="s">
        <v>56</v>
      </c>
      <c r="J1461" s="1" t="s">
        <v>50</v>
      </c>
      <c r="K1461" s="1" t="s">
        <v>3565</v>
      </c>
      <c r="L1461" s="2" t="s">
        <v>3566</v>
      </c>
      <c r="M1461" s="18">
        <v>1</v>
      </c>
      <c r="V1461" s="4" t="s">
        <v>3567</v>
      </c>
      <c r="AL1461" s="60" t="s">
        <v>30</v>
      </c>
      <c r="AQ1461" s="1"/>
    </row>
    <row r="1462" spans="1:43" ht="24" x14ac:dyDescent="0.2">
      <c r="A1462" s="1" t="s">
        <v>3452</v>
      </c>
      <c r="B1462" s="1" t="s">
        <v>3680</v>
      </c>
      <c r="C1462" s="1" t="s">
        <v>5721</v>
      </c>
      <c r="D1462" s="48">
        <v>15</v>
      </c>
      <c r="E1462" s="1">
        <v>3</v>
      </c>
      <c r="G1462" s="1" t="s">
        <v>3681</v>
      </c>
      <c r="I1462" s="1" t="s">
        <v>56</v>
      </c>
      <c r="J1462" s="1" t="s">
        <v>57</v>
      </c>
      <c r="K1462" s="1" t="s">
        <v>3682</v>
      </c>
      <c r="L1462" s="2" t="s">
        <v>3683</v>
      </c>
      <c r="M1462" s="18">
        <v>0</v>
      </c>
      <c r="V1462" s="4" t="s">
        <v>3684</v>
      </c>
      <c r="AL1462" s="60" t="s">
        <v>30</v>
      </c>
      <c r="AQ1462" s="1"/>
    </row>
    <row r="1463" spans="1:43" ht="48" x14ac:dyDescent="0.2">
      <c r="A1463" s="1" t="s">
        <v>3452</v>
      </c>
      <c r="B1463" s="1" t="s">
        <v>3677</v>
      </c>
      <c r="C1463" s="1" t="s">
        <v>5721</v>
      </c>
      <c r="D1463" s="48">
        <v>16</v>
      </c>
      <c r="E1463" s="1">
        <v>3</v>
      </c>
      <c r="G1463" s="1" t="s">
        <v>3678</v>
      </c>
      <c r="H1463" s="1" t="s">
        <v>26</v>
      </c>
      <c r="I1463" s="1" t="s">
        <v>56</v>
      </c>
      <c r="J1463" s="1" t="s">
        <v>39</v>
      </c>
      <c r="K1463" s="1" t="s">
        <v>150</v>
      </c>
      <c r="M1463" s="18">
        <v>1</v>
      </c>
      <c r="V1463" s="4" t="s">
        <v>3679</v>
      </c>
      <c r="AL1463" s="60" t="s">
        <v>30</v>
      </c>
      <c r="AQ1463" s="1"/>
    </row>
    <row r="1464" spans="1:43" ht="60" x14ac:dyDescent="0.2">
      <c r="A1464" s="1" t="s">
        <v>3452</v>
      </c>
      <c r="B1464" s="1" t="s">
        <v>3725</v>
      </c>
      <c r="C1464" s="1" t="s">
        <v>5721</v>
      </c>
      <c r="D1464" s="48">
        <v>17</v>
      </c>
      <c r="E1464" s="1">
        <v>1</v>
      </c>
      <c r="G1464" s="1" t="s">
        <v>5914</v>
      </c>
      <c r="H1464" s="1" t="s">
        <v>26</v>
      </c>
      <c r="I1464" s="1" t="s">
        <v>56</v>
      </c>
      <c r="J1464" s="1" t="s">
        <v>3498</v>
      </c>
      <c r="K1464" s="1" t="s">
        <v>298</v>
      </c>
      <c r="L1464" s="2" t="s">
        <v>3499</v>
      </c>
      <c r="M1464" s="18">
        <v>0</v>
      </c>
      <c r="U1464" s="1">
        <v>1</v>
      </c>
      <c r="V1464" s="4" t="s">
        <v>3726</v>
      </c>
      <c r="X1464" s="1" t="s">
        <v>1681</v>
      </c>
      <c r="AL1464" s="60" t="s">
        <v>30</v>
      </c>
      <c r="AQ1464" s="1"/>
    </row>
    <row r="1465" spans="1:43" ht="36" x14ac:dyDescent="0.2">
      <c r="A1465" s="1" t="s">
        <v>3452</v>
      </c>
      <c r="B1465" s="1" t="s">
        <v>3750</v>
      </c>
      <c r="C1465" s="1" t="s">
        <v>5721</v>
      </c>
      <c r="D1465" s="48">
        <v>18</v>
      </c>
      <c r="E1465" s="1">
        <v>1</v>
      </c>
      <c r="G1465" s="1" t="s">
        <v>3751</v>
      </c>
      <c r="H1465" s="1" t="s">
        <v>26</v>
      </c>
      <c r="I1465" s="1" t="s">
        <v>56</v>
      </c>
      <c r="J1465" s="1" t="s">
        <v>3498</v>
      </c>
      <c r="K1465" s="1" t="s">
        <v>298</v>
      </c>
      <c r="L1465" s="2" t="s">
        <v>3499</v>
      </c>
      <c r="M1465" s="18">
        <v>0</v>
      </c>
      <c r="V1465" s="4" t="s">
        <v>3752</v>
      </c>
      <c r="X1465" s="1" t="s">
        <v>1681</v>
      </c>
      <c r="AL1465" s="60" t="s">
        <v>30</v>
      </c>
      <c r="AQ1465" s="1"/>
    </row>
    <row r="1466" spans="1:43" ht="36" x14ac:dyDescent="0.2">
      <c r="A1466" s="1" t="s">
        <v>3452</v>
      </c>
      <c r="B1466" s="1" t="s">
        <v>3496</v>
      </c>
      <c r="C1466" s="1" t="s">
        <v>5721</v>
      </c>
      <c r="D1466" s="48">
        <v>19</v>
      </c>
      <c r="E1466" s="1">
        <v>1</v>
      </c>
      <c r="G1466" s="1" t="s">
        <v>3497</v>
      </c>
      <c r="H1466" s="1" t="s">
        <v>26</v>
      </c>
      <c r="I1466" s="1" t="s">
        <v>56</v>
      </c>
      <c r="J1466" s="1" t="s">
        <v>3498</v>
      </c>
      <c r="K1466" s="1" t="s">
        <v>298</v>
      </c>
      <c r="L1466" s="2" t="s">
        <v>3499</v>
      </c>
      <c r="M1466" s="18">
        <v>0</v>
      </c>
      <c r="V1466" s="4" t="s">
        <v>3500</v>
      </c>
      <c r="X1466" s="1" t="s">
        <v>1681</v>
      </c>
      <c r="AL1466" s="60" t="s">
        <v>30</v>
      </c>
      <c r="AQ1466" s="1"/>
    </row>
    <row r="1467" spans="1:43" ht="36" x14ac:dyDescent="0.2">
      <c r="A1467" s="1" t="s">
        <v>3452</v>
      </c>
      <c r="B1467" s="1" t="s">
        <v>3757</v>
      </c>
      <c r="C1467" s="1" t="s">
        <v>5721</v>
      </c>
      <c r="D1467" s="48">
        <v>20</v>
      </c>
      <c r="E1467" s="1">
        <v>1</v>
      </c>
      <c r="G1467" s="1" t="s">
        <v>3758</v>
      </c>
      <c r="H1467" s="1" t="s">
        <v>26</v>
      </c>
      <c r="I1467" s="1" t="s">
        <v>56</v>
      </c>
      <c r="J1467" s="1" t="s">
        <v>3498</v>
      </c>
      <c r="K1467" s="1" t="s">
        <v>298</v>
      </c>
      <c r="L1467" s="2" t="s">
        <v>3499</v>
      </c>
      <c r="M1467" s="18">
        <v>0</v>
      </c>
      <c r="V1467" s="4" t="s">
        <v>3759</v>
      </c>
      <c r="X1467" s="1" t="s">
        <v>1681</v>
      </c>
      <c r="AL1467" s="60" t="s">
        <v>30</v>
      </c>
      <c r="AQ1467" s="1"/>
    </row>
    <row r="1468" spans="1:43" ht="36" x14ac:dyDescent="0.2">
      <c r="A1468" s="1" t="s">
        <v>3452</v>
      </c>
      <c r="B1468" s="1" t="s">
        <v>3698</v>
      </c>
      <c r="C1468" s="1" t="s">
        <v>5721</v>
      </c>
      <c r="D1468" s="48">
        <v>21</v>
      </c>
      <c r="E1468" s="1">
        <v>1</v>
      </c>
      <c r="G1468" s="1" t="s">
        <v>3699</v>
      </c>
      <c r="H1468" s="1" t="s">
        <v>26</v>
      </c>
      <c r="I1468" s="1" t="s">
        <v>56</v>
      </c>
      <c r="J1468" s="1" t="s">
        <v>3498</v>
      </c>
      <c r="K1468" s="1" t="s">
        <v>298</v>
      </c>
      <c r="L1468" s="2" t="s">
        <v>3499</v>
      </c>
      <c r="M1468" s="18">
        <v>0</v>
      </c>
      <c r="V1468" s="4" t="s">
        <v>3700</v>
      </c>
      <c r="X1468" s="1" t="s">
        <v>1681</v>
      </c>
      <c r="AL1468" s="60" t="s">
        <v>30</v>
      </c>
      <c r="AQ1468" s="1"/>
    </row>
    <row r="1469" spans="1:43" ht="48" x14ac:dyDescent="0.2">
      <c r="A1469" s="1" t="s">
        <v>3452</v>
      </c>
      <c r="B1469" s="1" t="s">
        <v>3603</v>
      </c>
      <c r="C1469" s="1" t="s">
        <v>5721</v>
      </c>
      <c r="D1469" s="48">
        <v>22</v>
      </c>
      <c r="E1469" s="1">
        <v>1</v>
      </c>
      <c r="F1469" s="1" t="s">
        <v>3470</v>
      </c>
      <c r="G1469" s="1" t="s">
        <v>9571</v>
      </c>
      <c r="I1469" s="1" t="s">
        <v>125</v>
      </c>
      <c r="M1469" s="18">
        <v>1</v>
      </c>
      <c r="N1469" s="54" t="s">
        <v>9529</v>
      </c>
      <c r="V1469" s="4" t="s">
        <v>3604</v>
      </c>
      <c r="X1469" s="1" t="s">
        <v>3605</v>
      </c>
      <c r="Y1469" s="1" t="s">
        <v>9571</v>
      </c>
      <c r="AA1469" s="1" t="s">
        <v>125</v>
      </c>
      <c r="AE1469" s="1">
        <v>1</v>
      </c>
      <c r="AF1469" s="54" t="s">
        <v>9530</v>
      </c>
      <c r="AL1469" s="60" t="s">
        <v>36</v>
      </c>
      <c r="AN1469" s="4" t="s">
        <v>3606</v>
      </c>
      <c r="AQ1469" s="1"/>
    </row>
    <row r="1470" spans="1:43" ht="108" x14ac:dyDescent="0.2">
      <c r="A1470" s="1" t="s">
        <v>3452</v>
      </c>
      <c r="B1470" s="1" t="s">
        <v>3555</v>
      </c>
      <c r="C1470" s="1" t="s">
        <v>5721</v>
      </c>
      <c r="D1470" s="48">
        <v>23</v>
      </c>
      <c r="E1470" s="1">
        <v>1</v>
      </c>
      <c r="F1470" s="1" t="s">
        <v>3470</v>
      </c>
      <c r="G1470" s="1" t="s">
        <v>9630</v>
      </c>
      <c r="I1470" s="1" t="s">
        <v>125</v>
      </c>
      <c r="M1470" s="18">
        <v>2</v>
      </c>
      <c r="N1470" s="54" t="s">
        <v>9529</v>
      </c>
      <c r="Y1470" s="1" t="s">
        <v>9630</v>
      </c>
      <c r="AA1470" s="1" t="s">
        <v>125</v>
      </c>
      <c r="AE1470" s="1">
        <v>2</v>
      </c>
      <c r="AF1470" s="54" t="s">
        <v>9530</v>
      </c>
      <c r="AL1470" s="60" t="s">
        <v>5621</v>
      </c>
      <c r="AN1470" s="4" t="s">
        <v>3556</v>
      </c>
      <c r="AQ1470" s="1"/>
    </row>
    <row r="1471" spans="1:43" ht="108" x14ac:dyDescent="0.2">
      <c r="A1471" s="1" t="s">
        <v>3452</v>
      </c>
      <c r="B1471" s="1" t="s">
        <v>3616</v>
      </c>
      <c r="C1471" s="1" t="s">
        <v>5721</v>
      </c>
      <c r="D1471" s="48">
        <v>24</v>
      </c>
      <c r="E1471" s="1">
        <v>1</v>
      </c>
      <c r="F1471" s="1" t="s">
        <v>3470</v>
      </c>
      <c r="G1471" s="1" t="s">
        <v>9691</v>
      </c>
      <c r="I1471" s="1" t="s">
        <v>125</v>
      </c>
      <c r="M1471" s="18">
        <v>3</v>
      </c>
      <c r="N1471" s="54" t="s">
        <v>9529</v>
      </c>
      <c r="V1471" s="4" t="s">
        <v>3617</v>
      </c>
      <c r="Y1471" s="1" t="s">
        <v>9691</v>
      </c>
      <c r="AA1471" s="1" t="s">
        <v>125</v>
      </c>
      <c r="AE1471" s="1">
        <v>3</v>
      </c>
      <c r="AF1471" s="54" t="s">
        <v>9530</v>
      </c>
      <c r="AL1471" s="60" t="s">
        <v>799</v>
      </c>
      <c r="AN1471" s="4" t="s">
        <v>3618</v>
      </c>
      <c r="AQ1471" s="1"/>
    </row>
    <row r="1472" spans="1:43" ht="36" x14ac:dyDescent="0.2">
      <c r="A1472" s="1" t="s">
        <v>3452</v>
      </c>
      <c r="B1472" s="1" t="s">
        <v>3721</v>
      </c>
      <c r="C1472" s="1" t="s">
        <v>5721</v>
      </c>
      <c r="D1472" s="48">
        <v>25</v>
      </c>
      <c r="E1472" s="1">
        <v>1</v>
      </c>
      <c r="F1472" s="1" t="s">
        <v>3480</v>
      </c>
      <c r="G1472" s="1" t="s">
        <v>9572</v>
      </c>
      <c r="I1472" s="1" t="s">
        <v>125</v>
      </c>
      <c r="M1472" s="18">
        <v>1</v>
      </c>
      <c r="N1472" s="54" t="s">
        <v>9529</v>
      </c>
      <c r="V1472" s="4" t="s">
        <v>3722</v>
      </c>
      <c r="X1472" s="1" t="s">
        <v>3723</v>
      </c>
      <c r="Y1472" s="1" t="s">
        <v>9572</v>
      </c>
      <c r="AA1472" s="1" t="s">
        <v>125</v>
      </c>
      <c r="AE1472" s="1">
        <v>1</v>
      </c>
      <c r="AF1472" s="54" t="s">
        <v>9530</v>
      </c>
      <c r="AL1472" s="60" t="s">
        <v>341</v>
      </c>
      <c r="AN1472" s="4" t="s">
        <v>3724</v>
      </c>
      <c r="AQ1472" s="1"/>
    </row>
    <row r="1473" spans="1:43" ht="96" x14ac:dyDescent="0.2">
      <c r="A1473" s="1" t="s">
        <v>3452</v>
      </c>
      <c r="B1473" s="1" t="s">
        <v>3509</v>
      </c>
      <c r="C1473" s="1" t="s">
        <v>5721</v>
      </c>
      <c r="D1473" s="48">
        <v>26</v>
      </c>
      <c r="E1473" s="1">
        <v>1</v>
      </c>
      <c r="F1473" s="1" t="s">
        <v>3480</v>
      </c>
      <c r="G1473" s="1" t="s">
        <v>9631</v>
      </c>
      <c r="I1473" s="1" t="s">
        <v>125</v>
      </c>
      <c r="M1473" s="18">
        <v>2</v>
      </c>
      <c r="N1473" s="54" t="s">
        <v>9529</v>
      </c>
      <c r="Y1473" s="1" t="s">
        <v>9631</v>
      </c>
      <c r="AA1473" s="1" t="s">
        <v>125</v>
      </c>
      <c r="AE1473" s="1">
        <v>2</v>
      </c>
      <c r="AF1473" s="54" t="s">
        <v>9530</v>
      </c>
      <c r="AL1473" s="60" t="s">
        <v>166</v>
      </c>
      <c r="AN1473" s="4" t="s">
        <v>3510</v>
      </c>
      <c r="AQ1473" s="1"/>
    </row>
    <row r="1474" spans="1:43" ht="36" x14ac:dyDescent="0.2">
      <c r="A1474" s="1" t="s">
        <v>3452</v>
      </c>
      <c r="B1474" s="1" t="s">
        <v>3506</v>
      </c>
      <c r="C1474" s="1" t="s">
        <v>5721</v>
      </c>
      <c r="D1474" s="48">
        <v>27</v>
      </c>
      <c r="E1474" s="1">
        <v>1</v>
      </c>
      <c r="F1474" s="1" t="s">
        <v>3480</v>
      </c>
      <c r="G1474" s="1" t="s">
        <v>9692</v>
      </c>
      <c r="I1474" s="1" t="s">
        <v>125</v>
      </c>
      <c r="M1474" s="18">
        <v>3</v>
      </c>
      <c r="N1474" s="54" t="s">
        <v>9529</v>
      </c>
      <c r="V1474" s="4" t="s">
        <v>3507</v>
      </c>
      <c r="Y1474" s="1" t="s">
        <v>9692</v>
      </c>
      <c r="AA1474" s="1" t="s">
        <v>125</v>
      </c>
      <c r="AE1474" s="1">
        <v>3</v>
      </c>
      <c r="AF1474" s="54" t="s">
        <v>9530</v>
      </c>
      <c r="AL1474" s="60" t="s">
        <v>799</v>
      </c>
      <c r="AN1474" s="4" t="s">
        <v>3508</v>
      </c>
      <c r="AQ1474" s="1"/>
    </row>
    <row r="1475" spans="1:43" ht="60" x14ac:dyDescent="0.2">
      <c r="A1475" s="1" t="s">
        <v>3452</v>
      </c>
      <c r="B1475" s="1" t="s">
        <v>3753</v>
      </c>
      <c r="C1475" s="1" t="s">
        <v>5721</v>
      </c>
      <c r="D1475" s="48">
        <v>28</v>
      </c>
      <c r="E1475" s="1">
        <v>1</v>
      </c>
      <c r="F1475" s="1" t="s">
        <v>3461</v>
      </c>
      <c r="G1475" s="1" t="s">
        <v>9573</v>
      </c>
      <c r="I1475" s="1" t="s">
        <v>125</v>
      </c>
      <c r="M1475" s="18">
        <v>1</v>
      </c>
      <c r="N1475" s="54" t="s">
        <v>9529</v>
      </c>
      <c r="V1475" s="4" t="s">
        <v>3754</v>
      </c>
      <c r="X1475" s="1" t="s">
        <v>3755</v>
      </c>
      <c r="Y1475" s="1" t="s">
        <v>9573</v>
      </c>
      <c r="AA1475" s="1" t="s">
        <v>125</v>
      </c>
      <c r="AE1475" s="1">
        <v>1</v>
      </c>
      <c r="AF1475" s="54" t="s">
        <v>9530</v>
      </c>
      <c r="AL1475" s="60" t="s">
        <v>666</v>
      </c>
      <c r="AN1475" s="4" t="s">
        <v>3756</v>
      </c>
      <c r="AQ1475" s="1"/>
    </row>
    <row r="1476" spans="1:43" ht="96" x14ac:dyDescent="0.2">
      <c r="A1476" s="1" t="s">
        <v>3452</v>
      </c>
      <c r="B1476" s="1" t="s">
        <v>3601</v>
      </c>
      <c r="C1476" s="1" t="s">
        <v>5721</v>
      </c>
      <c r="D1476" s="48">
        <v>29</v>
      </c>
      <c r="E1476" s="1">
        <v>1</v>
      </c>
      <c r="F1476" s="1" t="s">
        <v>3461</v>
      </c>
      <c r="G1476" s="1" t="s">
        <v>9632</v>
      </c>
      <c r="I1476" s="1" t="s">
        <v>125</v>
      </c>
      <c r="M1476" s="18">
        <v>2</v>
      </c>
      <c r="N1476" s="54" t="s">
        <v>9529</v>
      </c>
      <c r="Y1476" s="1" t="s">
        <v>9632</v>
      </c>
      <c r="AA1476" s="1" t="s">
        <v>125</v>
      </c>
      <c r="AE1476" s="1">
        <v>2</v>
      </c>
      <c r="AF1476" s="54" t="s">
        <v>9530</v>
      </c>
      <c r="AL1476" s="60" t="s">
        <v>666</v>
      </c>
      <c r="AN1476" s="4" t="s">
        <v>3602</v>
      </c>
      <c r="AQ1476" s="1"/>
    </row>
    <row r="1477" spans="1:43" ht="36" x14ac:dyDescent="0.2">
      <c r="A1477" s="111" t="s">
        <v>3452</v>
      </c>
      <c r="B1477" s="111" t="s">
        <v>3524</v>
      </c>
      <c r="C1477" s="111" t="s">
        <v>5721</v>
      </c>
      <c r="D1477" s="112">
        <v>30</v>
      </c>
      <c r="E1477" s="111">
        <v>1</v>
      </c>
      <c r="F1477" s="111" t="s">
        <v>10401</v>
      </c>
      <c r="G1477" s="111" t="s">
        <v>3470</v>
      </c>
      <c r="I1477" s="1" t="s">
        <v>3482</v>
      </c>
      <c r="L1477" s="2" t="s">
        <v>3483</v>
      </c>
      <c r="N1477" s="54" t="s">
        <v>9529</v>
      </c>
      <c r="V1477" s="4" t="s">
        <v>3525</v>
      </c>
      <c r="X1477" s="1" t="s">
        <v>3526</v>
      </c>
      <c r="Y1477" s="1" t="s">
        <v>3470</v>
      </c>
      <c r="AA1477" s="1" t="s">
        <v>3482</v>
      </c>
      <c r="AF1477" s="54" t="s">
        <v>9530</v>
      </c>
      <c r="AL1477" s="60" t="s">
        <v>30</v>
      </c>
      <c r="AN1477" s="4" t="s">
        <v>3527</v>
      </c>
      <c r="AQ1477" s="1"/>
    </row>
    <row r="1478" spans="1:43" ht="24" x14ac:dyDescent="0.2">
      <c r="A1478" s="1" t="s">
        <v>3452</v>
      </c>
      <c r="B1478" s="1" t="s">
        <v>3466</v>
      </c>
      <c r="C1478" s="1" t="s">
        <v>5721</v>
      </c>
      <c r="D1478" s="48">
        <v>31</v>
      </c>
      <c r="E1478" s="1">
        <v>1</v>
      </c>
      <c r="F1478" s="1" t="s">
        <v>3470</v>
      </c>
      <c r="G1478" s="1" t="s">
        <v>3467</v>
      </c>
      <c r="H1478" s="1" t="s">
        <v>26</v>
      </c>
      <c r="I1478" s="1" t="s">
        <v>104</v>
      </c>
      <c r="K1478" s="1" t="s">
        <v>3468</v>
      </c>
      <c r="O1478" s="55">
        <v>0</v>
      </c>
      <c r="T1478" s="60">
        <v>3</v>
      </c>
      <c r="U1478" s="1">
        <v>1</v>
      </c>
      <c r="V1478" s="4" t="s">
        <v>3469</v>
      </c>
      <c r="AL1478" s="60" t="s">
        <v>30</v>
      </c>
      <c r="AQ1478" s="1"/>
    </row>
    <row r="1479" spans="1:43" ht="24" x14ac:dyDescent="0.2">
      <c r="A1479" s="1" t="s">
        <v>3452</v>
      </c>
      <c r="B1479" s="1" t="s">
        <v>3701</v>
      </c>
      <c r="C1479" s="1" t="s">
        <v>5721</v>
      </c>
      <c r="D1479" s="48">
        <v>32</v>
      </c>
      <c r="E1479" s="1">
        <v>1</v>
      </c>
      <c r="F1479" s="1" t="s">
        <v>3470</v>
      </c>
      <c r="G1479" s="1" t="s">
        <v>3702</v>
      </c>
      <c r="H1479" s="1" t="s">
        <v>26</v>
      </c>
      <c r="I1479" s="1" t="s">
        <v>104</v>
      </c>
      <c r="K1479" s="1" t="s">
        <v>105</v>
      </c>
      <c r="O1479" s="55">
        <v>1</v>
      </c>
      <c r="T1479" s="60">
        <v>1</v>
      </c>
      <c r="U1479" s="1">
        <v>1</v>
      </c>
      <c r="V1479" s="4" t="s">
        <v>3703</v>
      </c>
      <c r="AL1479" s="60" t="s">
        <v>30</v>
      </c>
    </row>
    <row r="1480" spans="1:43" ht="24" x14ac:dyDescent="0.2">
      <c r="A1480" s="1" t="s">
        <v>3452</v>
      </c>
      <c r="B1480" s="1" t="s">
        <v>3511</v>
      </c>
      <c r="C1480" s="1" t="s">
        <v>5721</v>
      </c>
      <c r="D1480" s="48">
        <v>33</v>
      </c>
      <c r="E1480" s="1">
        <v>1</v>
      </c>
      <c r="F1480" s="1" t="s">
        <v>3470</v>
      </c>
      <c r="G1480" s="1" t="s">
        <v>3512</v>
      </c>
      <c r="H1480" s="1" t="s">
        <v>26</v>
      </c>
      <c r="I1480" s="1" t="s">
        <v>104</v>
      </c>
      <c r="K1480" s="1" t="s">
        <v>3513</v>
      </c>
      <c r="O1480" s="55">
        <v>1</v>
      </c>
      <c r="T1480" s="60">
        <v>5</v>
      </c>
      <c r="U1480" s="1">
        <v>1</v>
      </c>
      <c r="V1480" s="4" t="s">
        <v>3514</v>
      </c>
      <c r="AL1480" s="60" t="s">
        <v>30</v>
      </c>
    </row>
    <row r="1481" spans="1:43" ht="24" x14ac:dyDescent="0.2">
      <c r="A1481" s="1" t="s">
        <v>3452</v>
      </c>
      <c r="B1481" s="1" t="s">
        <v>3642</v>
      </c>
      <c r="C1481" s="1" t="s">
        <v>5721</v>
      </c>
      <c r="D1481" s="48">
        <v>34</v>
      </c>
      <c r="E1481" s="1">
        <v>1</v>
      </c>
      <c r="F1481" s="1" t="s">
        <v>3470</v>
      </c>
      <c r="G1481" s="1" t="s">
        <v>3643</v>
      </c>
      <c r="H1481" s="1" t="s">
        <v>26</v>
      </c>
      <c r="I1481" s="1" t="s">
        <v>104</v>
      </c>
      <c r="K1481" s="1" t="s">
        <v>3468</v>
      </c>
      <c r="O1481" s="55">
        <v>2</v>
      </c>
      <c r="T1481" s="60">
        <v>2</v>
      </c>
      <c r="U1481" s="1">
        <v>1</v>
      </c>
      <c r="V1481" s="4" t="s">
        <v>3644</v>
      </c>
      <c r="AL1481" s="60" t="s">
        <v>30</v>
      </c>
    </row>
    <row r="1482" spans="1:43" ht="84" x14ac:dyDescent="0.2">
      <c r="A1482" s="1" t="s">
        <v>3452</v>
      </c>
      <c r="B1482" s="1" t="s">
        <v>3584</v>
      </c>
      <c r="C1482" s="1" t="s">
        <v>5721</v>
      </c>
      <c r="D1482" s="48">
        <v>35</v>
      </c>
      <c r="E1482" s="1">
        <v>1</v>
      </c>
      <c r="F1482" s="1" t="s">
        <v>3470</v>
      </c>
      <c r="G1482" s="1" t="s">
        <v>3585</v>
      </c>
      <c r="H1482" s="1" t="s">
        <v>26</v>
      </c>
      <c r="I1482" s="1" t="s">
        <v>104</v>
      </c>
      <c r="K1482" s="1" t="s">
        <v>3548</v>
      </c>
      <c r="L1482" s="2" t="s">
        <v>331</v>
      </c>
      <c r="O1482" s="55">
        <v>3</v>
      </c>
      <c r="T1482" s="60">
        <v>9</v>
      </c>
      <c r="V1482" s="4" t="s">
        <v>3586</v>
      </c>
      <c r="AL1482" s="60" t="s">
        <v>30</v>
      </c>
    </row>
    <row r="1483" spans="1:43" ht="24" x14ac:dyDescent="0.2">
      <c r="A1483" s="1" t="s">
        <v>3452</v>
      </c>
      <c r="B1483" s="1" t="s">
        <v>3673</v>
      </c>
      <c r="C1483" s="1" t="s">
        <v>5721</v>
      </c>
      <c r="D1483" s="48">
        <v>36</v>
      </c>
      <c r="E1483" s="1">
        <v>3</v>
      </c>
      <c r="F1483" s="1" t="s">
        <v>3470</v>
      </c>
      <c r="G1483" s="1" t="s">
        <v>3674</v>
      </c>
      <c r="I1483" s="1" t="s">
        <v>104</v>
      </c>
      <c r="K1483" s="1" t="s">
        <v>105</v>
      </c>
      <c r="O1483" s="55">
        <v>2</v>
      </c>
      <c r="T1483" s="60">
        <v>3</v>
      </c>
      <c r="V1483" s="4" t="s">
        <v>3675</v>
      </c>
      <c r="W1483" s="4" t="s">
        <v>3676</v>
      </c>
      <c r="AL1483" s="60" t="s">
        <v>30</v>
      </c>
    </row>
    <row r="1484" spans="1:43" ht="48" x14ac:dyDescent="0.2">
      <c r="A1484" s="1" t="s">
        <v>3452</v>
      </c>
      <c r="B1484" s="1" t="s">
        <v>3645</v>
      </c>
      <c r="C1484" s="1" t="s">
        <v>5721</v>
      </c>
      <c r="D1484" s="48">
        <v>37</v>
      </c>
      <c r="E1484" s="1">
        <v>3</v>
      </c>
      <c r="F1484" s="1" t="s">
        <v>3470</v>
      </c>
      <c r="G1484" s="1" t="s">
        <v>3646</v>
      </c>
      <c r="I1484" s="1" t="s">
        <v>104</v>
      </c>
      <c r="K1484" s="1" t="s">
        <v>3058</v>
      </c>
      <c r="O1484" s="55">
        <v>3</v>
      </c>
      <c r="T1484" s="60">
        <v>3</v>
      </c>
      <c r="V1484" s="4" t="s">
        <v>3647</v>
      </c>
      <c r="AL1484" s="60" t="s">
        <v>30</v>
      </c>
    </row>
    <row r="1485" spans="1:43" ht="24" x14ac:dyDescent="0.2">
      <c r="A1485" s="1" t="s">
        <v>3452</v>
      </c>
      <c r="B1485" s="1" t="s">
        <v>3551</v>
      </c>
      <c r="C1485" s="1" t="s">
        <v>5721</v>
      </c>
      <c r="D1485" s="48">
        <v>38</v>
      </c>
      <c r="E1485" s="1">
        <v>2</v>
      </c>
      <c r="F1485" s="1" t="s">
        <v>3470</v>
      </c>
      <c r="G1485" s="1" t="s">
        <v>3552</v>
      </c>
      <c r="I1485" s="1" t="s">
        <v>104</v>
      </c>
      <c r="K1485" s="1" t="s">
        <v>726</v>
      </c>
      <c r="O1485" s="55">
        <v>3</v>
      </c>
      <c r="T1485" s="60">
        <v>4</v>
      </c>
      <c r="V1485" s="4" t="s">
        <v>3553</v>
      </c>
      <c r="W1485" s="4" t="s">
        <v>3554</v>
      </c>
      <c r="AL1485" s="60" t="s">
        <v>30</v>
      </c>
    </row>
    <row r="1486" spans="1:43" ht="24" x14ac:dyDescent="0.2">
      <c r="A1486" s="1" t="s">
        <v>3452</v>
      </c>
      <c r="B1486" s="1" t="s">
        <v>3587</v>
      </c>
      <c r="C1486" s="1" t="s">
        <v>5721</v>
      </c>
      <c r="D1486" s="48">
        <v>39</v>
      </c>
      <c r="E1486" s="1">
        <v>5</v>
      </c>
      <c r="F1486" s="1" t="s">
        <v>3470</v>
      </c>
      <c r="G1486" s="1" t="s">
        <v>3588</v>
      </c>
      <c r="I1486" s="1" t="s">
        <v>94</v>
      </c>
      <c r="K1486" s="1" t="s">
        <v>679</v>
      </c>
      <c r="L1486" s="2" t="s">
        <v>3589</v>
      </c>
      <c r="N1486" s="54">
        <v>35</v>
      </c>
      <c r="O1486" s="55">
        <v>4</v>
      </c>
      <c r="Q1486" s="57">
        <v>5</v>
      </c>
      <c r="R1486" s="58">
        <v>4</v>
      </c>
      <c r="S1486" s="59">
        <v>6</v>
      </c>
      <c r="V1486" s="4" t="s">
        <v>3590</v>
      </c>
      <c r="AL1486" s="60" t="s">
        <v>30</v>
      </c>
    </row>
    <row r="1487" spans="1:43" ht="24" x14ac:dyDescent="0.2">
      <c r="A1487" s="1" t="s">
        <v>3452</v>
      </c>
      <c r="B1487" s="1" t="s">
        <v>3760</v>
      </c>
      <c r="C1487" s="1" t="s">
        <v>5721</v>
      </c>
      <c r="D1487" s="48">
        <v>40</v>
      </c>
      <c r="E1487" s="1">
        <v>3</v>
      </c>
      <c r="F1487" s="1" t="s">
        <v>3470</v>
      </c>
      <c r="G1487" s="1" t="s">
        <v>3761</v>
      </c>
      <c r="I1487" s="1" t="s">
        <v>94</v>
      </c>
      <c r="K1487" s="1" t="s">
        <v>95</v>
      </c>
      <c r="N1487" s="54">
        <v>25</v>
      </c>
      <c r="O1487" s="55">
        <v>2</v>
      </c>
      <c r="Q1487" s="57">
        <v>0</v>
      </c>
      <c r="R1487" s="58">
        <v>1</v>
      </c>
      <c r="S1487" s="59">
        <v>2</v>
      </c>
      <c r="V1487" s="4" t="s">
        <v>3762</v>
      </c>
      <c r="W1487" s="4" t="s">
        <v>3763</v>
      </c>
      <c r="AL1487" s="60" t="s">
        <v>30</v>
      </c>
    </row>
    <row r="1488" spans="1:43" ht="24" x14ac:dyDescent="0.2">
      <c r="A1488" s="1" t="s">
        <v>3452</v>
      </c>
      <c r="B1488" s="1" t="s">
        <v>3630</v>
      </c>
      <c r="C1488" s="1" t="s">
        <v>5721</v>
      </c>
      <c r="D1488" s="48">
        <v>41</v>
      </c>
      <c r="E1488" s="1">
        <v>3</v>
      </c>
      <c r="F1488" s="1" t="s">
        <v>3470</v>
      </c>
      <c r="G1488" s="1" t="s">
        <v>3631</v>
      </c>
      <c r="I1488" s="1" t="s">
        <v>82</v>
      </c>
      <c r="L1488" s="2" t="s">
        <v>3632</v>
      </c>
      <c r="V1488" s="4" t="s">
        <v>3633</v>
      </c>
      <c r="W1488" s="4" t="s">
        <v>3491</v>
      </c>
      <c r="AL1488" s="60" t="s">
        <v>30</v>
      </c>
    </row>
    <row r="1489" spans="1:40" ht="36" x14ac:dyDescent="0.2">
      <c r="A1489" s="1" t="s">
        <v>3452</v>
      </c>
      <c r="B1489" s="1" t="s">
        <v>3688</v>
      </c>
      <c r="C1489" s="1" t="s">
        <v>5721</v>
      </c>
      <c r="D1489" s="48">
        <v>42</v>
      </c>
      <c r="E1489" s="1">
        <v>3</v>
      </c>
      <c r="F1489" s="1" t="s">
        <v>3470</v>
      </c>
      <c r="G1489" s="1" t="s">
        <v>3689</v>
      </c>
      <c r="I1489" s="1" t="s">
        <v>82</v>
      </c>
      <c r="L1489" s="2" t="s">
        <v>1233</v>
      </c>
      <c r="V1489" s="4" t="s">
        <v>3690</v>
      </c>
      <c r="AL1489" s="60" t="s">
        <v>30</v>
      </c>
    </row>
    <row r="1490" spans="1:40" ht="36" x14ac:dyDescent="0.2">
      <c r="A1490" s="1" t="s">
        <v>3452</v>
      </c>
      <c r="B1490" s="1" t="s">
        <v>3528</v>
      </c>
      <c r="C1490" s="1" t="s">
        <v>5721</v>
      </c>
      <c r="D1490" s="48">
        <v>43</v>
      </c>
      <c r="E1490" s="1">
        <v>2</v>
      </c>
      <c r="F1490" s="1" t="s">
        <v>3470</v>
      </c>
      <c r="G1490" s="1" t="s">
        <v>3529</v>
      </c>
      <c r="I1490" s="1" t="s">
        <v>82</v>
      </c>
      <c r="L1490" s="2" t="s">
        <v>3530</v>
      </c>
      <c r="V1490" s="4" t="s">
        <v>3531</v>
      </c>
      <c r="AL1490" s="60" t="s">
        <v>30</v>
      </c>
    </row>
    <row r="1491" spans="1:40" ht="48" x14ac:dyDescent="0.2">
      <c r="A1491" s="111" t="s">
        <v>3452</v>
      </c>
      <c r="B1491" s="111" t="s">
        <v>3521</v>
      </c>
      <c r="C1491" s="111" t="s">
        <v>5721</v>
      </c>
      <c r="D1491" s="112">
        <v>44</v>
      </c>
      <c r="E1491" s="111">
        <v>1</v>
      </c>
      <c r="F1491" s="111" t="s">
        <v>10400</v>
      </c>
      <c r="G1491" s="111" t="s">
        <v>3480</v>
      </c>
      <c r="I1491" s="1" t="s">
        <v>3482</v>
      </c>
      <c r="L1491" s="2" t="s">
        <v>3483</v>
      </c>
      <c r="N1491" s="54" t="s">
        <v>9529</v>
      </c>
      <c r="X1491" s="1" t="s">
        <v>3522</v>
      </c>
      <c r="Y1491" s="1" t="s">
        <v>3480</v>
      </c>
      <c r="AA1491" s="1" t="s">
        <v>3482</v>
      </c>
      <c r="AF1491" s="54" t="s">
        <v>9530</v>
      </c>
      <c r="AL1491" s="60" t="s">
        <v>30</v>
      </c>
      <c r="AN1491" s="4" t="s">
        <v>3523</v>
      </c>
    </row>
    <row r="1492" spans="1:40" ht="84" x14ac:dyDescent="0.2">
      <c r="A1492" s="1" t="s">
        <v>3452</v>
      </c>
      <c r="B1492" s="1" t="s">
        <v>3664</v>
      </c>
      <c r="C1492" s="1" t="s">
        <v>5721</v>
      </c>
      <c r="D1492" s="48">
        <v>45</v>
      </c>
      <c r="E1492" s="1">
        <v>1</v>
      </c>
      <c r="F1492" s="1" t="s">
        <v>3480</v>
      </c>
      <c r="G1492" s="1" t="s">
        <v>3665</v>
      </c>
      <c r="H1492" s="1" t="s">
        <v>26</v>
      </c>
      <c r="I1492" s="1" t="s">
        <v>104</v>
      </c>
      <c r="K1492" s="1" t="s">
        <v>3624</v>
      </c>
      <c r="O1492" s="55">
        <v>2</v>
      </c>
      <c r="T1492" s="60">
        <v>4</v>
      </c>
      <c r="U1492" s="1">
        <v>1</v>
      </c>
      <c r="V1492" s="4" t="s">
        <v>3666</v>
      </c>
      <c r="AL1492" s="60" t="s">
        <v>30</v>
      </c>
    </row>
    <row r="1493" spans="1:40" ht="48" x14ac:dyDescent="0.2">
      <c r="A1493" s="1" t="s">
        <v>3452</v>
      </c>
      <c r="B1493" s="1" t="s">
        <v>3691</v>
      </c>
      <c r="C1493" s="1" t="s">
        <v>5721</v>
      </c>
      <c r="D1493" s="48">
        <v>46</v>
      </c>
      <c r="E1493" s="1">
        <v>1</v>
      </c>
      <c r="F1493" s="1" t="s">
        <v>3480</v>
      </c>
      <c r="G1493" s="1" t="s">
        <v>3692</v>
      </c>
      <c r="H1493" s="1" t="s">
        <v>26</v>
      </c>
      <c r="I1493" s="1" t="s">
        <v>104</v>
      </c>
      <c r="K1493" s="1" t="s">
        <v>3693</v>
      </c>
      <c r="L1493" s="2" t="s">
        <v>331</v>
      </c>
      <c r="O1493" s="55">
        <v>4</v>
      </c>
      <c r="T1493" s="60">
        <v>4</v>
      </c>
      <c r="U1493" s="1">
        <v>4</v>
      </c>
      <c r="V1493" s="4" t="s">
        <v>3694</v>
      </c>
      <c r="AL1493" s="60" t="s">
        <v>30</v>
      </c>
    </row>
    <row r="1494" spans="1:40" ht="24" x14ac:dyDescent="0.2">
      <c r="A1494" s="1" t="s">
        <v>3452</v>
      </c>
      <c r="B1494" s="1" t="s">
        <v>3737</v>
      </c>
      <c r="C1494" s="1" t="s">
        <v>5721</v>
      </c>
      <c r="D1494" s="48">
        <v>47</v>
      </c>
      <c r="E1494" s="1">
        <v>3</v>
      </c>
      <c r="F1494" s="1" t="s">
        <v>3480</v>
      </c>
      <c r="G1494" s="1" t="s">
        <v>3738</v>
      </c>
      <c r="I1494" s="1" t="s">
        <v>104</v>
      </c>
      <c r="K1494" s="1" t="s">
        <v>105</v>
      </c>
      <c r="O1494" s="55">
        <v>2</v>
      </c>
      <c r="T1494" s="60">
        <v>2</v>
      </c>
      <c r="V1494" s="4" t="s">
        <v>3739</v>
      </c>
      <c r="W1494" s="4" t="s">
        <v>3740</v>
      </c>
      <c r="AL1494" s="60" t="s">
        <v>30</v>
      </c>
    </row>
    <row r="1495" spans="1:40" ht="60" x14ac:dyDescent="0.2">
      <c r="A1495" s="1" t="s">
        <v>3452</v>
      </c>
      <c r="B1495" s="1" t="s">
        <v>3655</v>
      </c>
      <c r="C1495" s="1" t="s">
        <v>5721</v>
      </c>
      <c r="D1495" s="48">
        <v>48</v>
      </c>
      <c r="E1495" s="1">
        <v>1</v>
      </c>
      <c r="F1495" s="1" t="s">
        <v>3480</v>
      </c>
      <c r="G1495" s="1" t="s">
        <v>3656</v>
      </c>
      <c r="H1495" s="1" t="s">
        <v>26</v>
      </c>
      <c r="I1495" s="1" t="s">
        <v>104</v>
      </c>
      <c r="K1495" s="1" t="s">
        <v>726</v>
      </c>
      <c r="O1495" s="55">
        <v>3</v>
      </c>
      <c r="T1495" s="60">
        <v>6</v>
      </c>
      <c r="U1495" s="1">
        <v>1</v>
      </c>
      <c r="V1495" s="4" t="s">
        <v>3657</v>
      </c>
      <c r="AL1495" s="60" t="s">
        <v>30</v>
      </c>
    </row>
    <row r="1496" spans="1:40" ht="72" x14ac:dyDescent="0.2">
      <c r="A1496" s="1" t="s">
        <v>3452</v>
      </c>
      <c r="B1496" s="1" t="s">
        <v>3733</v>
      </c>
      <c r="C1496" s="1" t="s">
        <v>5721</v>
      </c>
      <c r="D1496" s="48">
        <v>49</v>
      </c>
      <c r="E1496" s="1">
        <v>3</v>
      </c>
      <c r="F1496" s="1" t="s">
        <v>3480</v>
      </c>
      <c r="G1496" s="1" t="s">
        <v>3734</v>
      </c>
      <c r="I1496" s="1" t="s">
        <v>104</v>
      </c>
      <c r="K1496" s="1" t="s">
        <v>3735</v>
      </c>
      <c r="O1496" s="55">
        <v>3</v>
      </c>
      <c r="T1496" s="60">
        <v>2</v>
      </c>
      <c r="V1496" s="4" t="s">
        <v>3736</v>
      </c>
      <c r="AL1496" s="60" t="s">
        <v>30</v>
      </c>
    </row>
    <row r="1497" spans="1:40" ht="60" x14ac:dyDescent="0.2">
      <c r="A1497" s="1" t="s">
        <v>3452</v>
      </c>
      <c r="B1497" s="1" t="s">
        <v>3540</v>
      </c>
      <c r="C1497" s="1" t="s">
        <v>5721</v>
      </c>
      <c r="D1497" s="48">
        <v>50</v>
      </c>
      <c r="E1497" s="1">
        <v>2</v>
      </c>
      <c r="F1497" s="1" t="s">
        <v>3480</v>
      </c>
      <c r="G1497" s="1" t="s">
        <v>3541</v>
      </c>
      <c r="I1497" s="1" t="s">
        <v>94</v>
      </c>
      <c r="K1497" s="1" t="s">
        <v>679</v>
      </c>
      <c r="L1497" s="2" t="s">
        <v>3517</v>
      </c>
      <c r="N1497" s="54">
        <v>35</v>
      </c>
      <c r="O1497" s="55">
        <v>4</v>
      </c>
      <c r="Q1497" s="57">
        <v>4</v>
      </c>
      <c r="R1497" s="58">
        <v>3</v>
      </c>
      <c r="S1497" s="59">
        <v>5</v>
      </c>
      <c r="V1497" s="4" t="s">
        <v>3542</v>
      </c>
      <c r="AL1497" s="60" t="s">
        <v>30</v>
      </c>
    </row>
    <row r="1498" spans="1:40" ht="36" x14ac:dyDescent="0.2">
      <c r="A1498" s="1" t="s">
        <v>3452</v>
      </c>
      <c r="B1498" s="1" t="s">
        <v>3597</v>
      </c>
      <c r="C1498" s="1" t="s">
        <v>5721</v>
      </c>
      <c r="D1498" s="48">
        <v>51</v>
      </c>
      <c r="E1498" s="1">
        <v>1</v>
      </c>
      <c r="F1498" s="1" t="s">
        <v>3480</v>
      </c>
      <c r="G1498" s="1" t="s">
        <v>3598</v>
      </c>
      <c r="H1498" s="1" t="s">
        <v>26</v>
      </c>
      <c r="I1498" s="1" t="s">
        <v>94</v>
      </c>
      <c r="K1498" s="1" t="s">
        <v>3477</v>
      </c>
      <c r="L1498" s="2" t="s">
        <v>3599</v>
      </c>
      <c r="N1498" s="54">
        <v>38</v>
      </c>
      <c r="O1498" s="55">
        <v>3</v>
      </c>
      <c r="Q1498" s="57">
        <v>1</v>
      </c>
      <c r="R1498" s="58">
        <v>3</v>
      </c>
      <c r="S1498" s="59">
        <v>5</v>
      </c>
      <c r="U1498" s="1">
        <v>1</v>
      </c>
      <c r="V1498" s="4" t="s">
        <v>3600</v>
      </c>
      <c r="AL1498" s="60" t="s">
        <v>30</v>
      </c>
    </row>
    <row r="1499" spans="1:40" ht="24" x14ac:dyDescent="0.2">
      <c r="A1499" s="1" t="s">
        <v>3452</v>
      </c>
      <c r="B1499" s="1" t="s">
        <v>3475</v>
      </c>
      <c r="C1499" s="1" t="s">
        <v>5721</v>
      </c>
      <c r="D1499" s="48">
        <v>52</v>
      </c>
      <c r="E1499" s="1">
        <v>4</v>
      </c>
      <c r="F1499" s="1" t="s">
        <v>3480</v>
      </c>
      <c r="G1499" s="1" t="s">
        <v>3476</v>
      </c>
      <c r="I1499" s="1" t="s">
        <v>94</v>
      </c>
      <c r="K1499" s="1" t="s">
        <v>3477</v>
      </c>
      <c r="N1499" s="54">
        <v>28</v>
      </c>
      <c r="O1499" s="55">
        <v>2</v>
      </c>
      <c r="Q1499" s="57">
        <v>3</v>
      </c>
      <c r="R1499" s="58">
        <v>1</v>
      </c>
      <c r="S1499" s="59">
        <v>4</v>
      </c>
      <c r="V1499" s="4" t="s">
        <v>3478</v>
      </c>
      <c r="W1499" s="4" t="s">
        <v>3479</v>
      </c>
      <c r="AL1499" s="60" t="s">
        <v>30</v>
      </c>
    </row>
    <row r="1500" spans="1:40" ht="24" x14ac:dyDescent="0.2">
      <c r="A1500" s="1" t="s">
        <v>3452</v>
      </c>
      <c r="B1500" s="1" t="s">
        <v>3626</v>
      </c>
      <c r="C1500" s="1" t="s">
        <v>5721</v>
      </c>
      <c r="D1500" s="48">
        <v>53</v>
      </c>
      <c r="E1500" s="1">
        <v>3</v>
      </c>
      <c r="F1500" s="1" t="s">
        <v>3480</v>
      </c>
      <c r="G1500" s="1" t="s">
        <v>3627</v>
      </c>
      <c r="I1500" s="1" t="s">
        <v>94</v>
      </c>
      <c r="K1500" s="1" t="s">
        <v>3628</v>
      </c>
      <c r="N1500" s="54">
        <v>33</v>
      </c>
      <c r="O1500" s="55">
        <v>2</v>
      </c>
      <c r="Q1500" s="57">
        <v>2</v>
      </c>
      <c r="R1500" s="58">
        <v>2</v>
      </c>
      <c r="S1500" s="59">
        <v>3</v>
      </c>
      <c r="V1500" s="4" t="s">
        <v>3629</v>
      </c>
      <c r="AL1500" s="60" t="s">
        <v>30</v>
      </c>
    </row>
    <row r="1501" spans="1:40" ht="24" x14ac:dyDescent="0.2">
      <c r="A1501" s="1" t="s">
        <v>3452</v>
      </c>
      <c r="B1501" s="1" t="s">
        <v>3727</v>
      </c>
      <c r="C1501" s="1" t="s">
        <v>5721</v>
      </c>
      <c r="D1501" s="48">
        <v>54</v>
      </c>
      <c r="E1501" s="1">
        <v>3</v>
      </c>
      <c r="F1501" s="1" t="s">
        <v>3480</v>
      </c>
      <c r="G1501" s="1" t="s">
        <v>3728</v>
      </c>
      <c r="I1501" s="1" t="s">
        <v>82</v>
      </c>
      <c r="L1501" s="2" t="s">
        <v>3636</v>
      </c>
      <c r="V1501" s="4" t="s">
        <v>3729</v>
      </c>
      <c r="W1501" s="4" t="s">
        <v>3491</v>
      </c>
      <c r="AL1501" s="60" t="s">
        <v>30</v>
      </c>
    </row>
    <row r="1502" spans="1:40" ht="36" x14ac:dyDescent="0.2">
      <c r="A1502" s="1" t="s">
        <v>3452</v>
      </c>
      <c r="B1502" s="1" t="s">
        <v>3741</v>
      </c>
      <c r="C1502" s="1" t="s">
        <v>5721</v>
      </c>
      <c r="D1502" s="48">
        <v>55</v>
      </c>
      <c r="E1502" s="1">
        <v>2</v>
      </c>
      <c r="F1502" s="1" t="s">
        <v>3480</v>
      </c>
      <c r="G1502" s="1" t="s">
        <v>3742</v>
      </c>
      <c r="I1502" s="1" t="s">
        <v>82</v>
      </c>
      <c r="L1502" s="2" t="s">
        <v>3636</v>
      </c>
      <c r="V1502" s="4" t="s">
        <v>3743</v>
      </c>
      <c r="AL1502" s="60" t="s">
        <v>30</v>
      </c>
    </row>
    <row r="1503" spans="1:40" ht="36" x14ac:dyDescent="0.2">
      <c r="A1503" s="111" t="s">
        <v>3452</v>
      </c>
      <c r="B1503" s="111" t="s">
        <v>3481</v>
      </c>
      <c r="C1503" s="111" t="s">
        <v>5721</v>
      </c>
      <c r="D1503" s="112">
        <v>56</v>
      </c>
      <c r="E1503" s="111">
        <v>1</v>
      </c>
      <c r="F1503" s="111" t="s">
        <v>3485</v>
      </c>
      <c r="G1503" s="111" t="s">
        <v>3461</v>
      </c>
      <c r="I1503" s="1" t="s">
        <v>3482</v>
      </c>
      <c r="L1503" s="2" t="s">
        <v>3483</v>
      </c>
      <c r="N1503" s="54" t="s">
        <v>9529</v>
      </c>
      <c r="V1503" s="4" t="s">
        <v>3484</v>
      </c>
      <c r="X1503" s="1" t="s">
        <v>3486</v>
      </c>
      <c r="Y1503" s="1" t="s">
        <v>3461</v>
      </c>
      <c r="AA1503" s="1" t="s">
        <v>3482</v>
      </c>
      <c r="AF1503" s="54" t="s">
        <v>9530</v>
      </c>
      <c r="AL1503" s="60" t="s">
        <v>30</v>
      </c>
      <c r="AN1503" s="4" t="s">
        <v>3487</v>
      </c>
    </row>
    <row r="1504" spans="1:40" ht="48" x14ac:dyDescent="0.2">
      <c r="A1504" s="1" t="s">
        <v>3452</v>
      </c>
      <c r="B1504" s="1" t="s">
        <v>3611</v>
      </c>
      <c r="C1504" s="1" t="s">
        <v>5721</v>
      </c>
      <c r="D1504" s="48">
        <v>57</v>
      </c>
      <c r="E1504" s="1">
        <v>1</v>
      </c>
      <c r="F1504" s="1" t="s">
        <v>3461</v>
      </c>
      <c r="G1504" s="1" t="s">
        <v>3612</v>
      </c>
      <c r="I1504" s="1" t="s">
        <v>88</v>
      </c>
      <c r="K1504" s="1" t="s">
        <v>3613</v>
      </c>
      <c r="L1504" s="2" t="s">
        <v>3614</v>
      </c>
      <c r="V1504" s="4" t="s">
        <v>3615</v>
      </c>
      <c r="AL1504" s="60" t="s">
        <v>30</v>
      </c>
    </row>
    <row r="1505" spans="1:38" ht="60" x14ac:dyDescent="0.2">
      <c r="A1505" s="1" t="s">
        <v>3452</v>
      </c>
      <c r="B1505" s="1" t="s">
        <v>3704</v>
      </c>
      <c r="C1505" s="1" t="s">
        <v>5721</v>
      </c>
      <c r="D1505" s="48">
        <v>58</v>
      </c>
      <c r="E1505" s="1">
        <v>1</v>
      </c>
      <c r="F1505" s="1" t="s">
        <v>3461</v>
      </c>
      <c r="G1505" s="1" t="s">
        <v>3705</v>
      </c>
      <c r="H1505" s="1" t="s">
        <v>26</v>
      </c>
      <c r="I1505" s="1" t="s">
        <v>104</v>
      </c>
      <c r="K1505" s="1" t="s">
        <v>3706</v>
      </c>
      <c r="L1505" s="2" t="s">
        <v>3549</v>
      </c>
      <c r="O1505" s="55" t="s">
        <v>113</v>
      </c>
      <c r="T1505" s="60">
        <v>4</v>
      </c>
      <c r="U1505" s="1">
        <v>3</v>
      </c>
      <c r="V1505" s="4" t="s">
        <v>3707</v>
      </c>
      <c r="AL1505" s="60" t="s">
        <v>30</v>
      </c>
    </row>
    <row r="1506" spans="1:38" ht="60" x14ac:dyDescent="0.2">
      <c r="A1506" s="1" t="s">
        <v>3452</v>
      </c>
      <c r="B1506" s="1" t="s">
        <v>3546</v>
      </c>
      <c r="C1506" s="1" t="s">
        <v>5721</v>
      </c>
      <c r="D1506" s="48">
        <v>59</v>
      </c>
      <c r="E1506" s="1">
        <v>1</v>
      </c>
      <c r="F1506" s="1" t="s">
        <v>3461</v>
      </c>
      <c r="G1506" s="1" t="s">
        <v>3547</v>
      </c>
      <c r="H1506" s="1" t="s">
        <v>26</v>
      </c>
      <c r="I1506" s="1" t="s">
        <v>104</v>
      </c>
      <c r="K1506" s="1" t="s">
        <v>3548</v>
      </c>
      <c r="L1506" s="2" t="s">
        <v>3549</v>
      </c>
      <c r="O1506" s="55">
        <v>2</v>
      </c>
      <c r="T1506" s="60">
        <v>6</v>
      </c>
      <c r="U1506" s="1">
        <v>5</v>
      </c>
      <c r="V1506" s="4" t="s">
        <v>3550</v>
      </c>
      <c r="AL1506" s="60" t="s">
        <v>30</v>
      </c>
    </row>
    <row r="1507" spans="1:38" ht="24" x14ac:dyDescent="0.2">
      <c r="A1507" s="1" t="s">
        <v>3452</v>
      </c>
      <c r="B1507" s="1" t="s">
        <v>3543</v>
      </c>
      <c r="C1507" s="1" t="s">
        <v>5721</v>
      </c>
      <c r="D1507" s="48">
        <v>60</v>
      </c>
      <c r="E1507" s="1">
        <v>1</v>
      </c>
      <c r="F1507" s="1" t="s">
        <v>3461</v>
      </c>
      <c r="G1507" s="1" t="s">
        <v>3544</v>
      </c>
      <c r="H1507" s="1" t="s">
        <v>26</v>
      </c>
      <c r="I1507" s="1" t="s">
        <v>104</v>
      </c>
      <c r="K1507" s="1" t="s">
        <v>105</v>
      </c>
      <c r="O1507" s="55">
        <v>1</v>
      </c>
      <c r="T1507" s="60">
        <v>2</v>
      </c>
      <c r="U1507" s="1">
        <v>1</v>
      </c>
      <c r="V1507" s="4" t="s">
        <v>3545</v>
      </c>
      <c r="AL1507" s="60" t="s">
        <v>30</v>
      </c>
    </row>
    <row r="1508" spans="1:38" ht="60" x14ac:dyDescent="0.2">
      <c r="A1508" s="1" t="s">
        <v>3452</v>
      </c>
      <c r="B1508" s="1" t="s">
        <v>3695</v>
      </c>
      <c r="C1508" s="1" t="s">
        <v>5721</v>
      </c>
      <c r="D1508" s="48">
        <v>61</v>
      </c>
      <c r="E1508" s="1">
        <v>3</v>
      </c>
      <c r="F1508" s="1" t="s">
        <v>3461</v>
      </c>
      <c r="G1508" s="1" t="s">
        <v>3696</v>
      </c>
      <c r="I1508" s="1" t="s">
        <v>104</v>
      </c>
      <c r="K1508" s="1" t="s">
        <v>105</v>
      </c>
      <c r="O1508" s="55">
        <v>2</v>
      </c>
      <c r="T1508" s="60">
        <v>3</v>
      </c>
      <c r="V1508" s="4" t="s">
        <v>3697</v>
      </c>
      <c r="AL1508" s="60" t="s">
        <v>30</v>
      </c>
    </row>
    <row r="1509" spans="1:38" ht="36" x14ac:dyDescent="0.2">
      <c r="A1509" s="1" t="s">
        <v>3452</v>
      </c>
      <c r="B1509" s="1" t="s">
        <v>3747</v>
      </c>
      <c r="C1509" s="1" t="s">
        <v>5721</v>
      </c>
      <c r="D1509" s="48">
        <v>62</v>
      </c>
      <c r="E1509" s="1">
        <v>3</v>
      </c>
      <c r="F1509" s="1" t="s">
        <v>3461</v>
      </c>
      <c r="G1509" s="1" t="s">
        <v>3748</v>
      </c>
      <c r="I1509" s="1" t="s">
        <v>104</v>
      </c>
      <c r="K1509" s="1" t="s">
        <v>3058</v>
      </c>
      <c r="O1509" s="55">
        <v>3</v>
      </c>
      <c r="T1509" s="60">
        <v>4</v>
      </c>
      <c r="V1509" s="4" t="s">
        <v>3749</v>
      </c>
      <c r="AL1509" s="60" t="s">
        <v>30</v>
      </c>
    </row>
    <row r="1510" spans="1:38" ht="36" x14ac:dyDescent="0.2">
      <c r="A1510" s="1" t="s">
        <v>3452</v>
      </c>
      <c r="B1510" s="1" t="s">
        <v>3591</v>
      </c>
      <c r="C1510" s="1" t="s">
        <v>5721</v>
      </c>
      <c r="D1510" s="48">
        <v>63</v>
      </c>
      <c r="E1510" s="1">
        <v>4</v>
      </c>
      <c r="F1510" s="1" t="s">
        <v>3461</v>
      </c>
      <c r="G1510" s="1" t="s">
        <v>3592</v>
      </c>
      <c r="I1510" s="1" t="s">
        <v>94</v>
      </c>
      <c r="K1510" s="1" t="s">
        <v>679</v>
      </c>
      <c r="L1510" s="2" t="s">
        <v>3517</v>
      </c>
      <c r="N1510" s="54">
        <v>30</v>
      </c>
      <c r="O1510" s="55">
        <v>2</v>
      </c>
      <c r="Q1510" s="57">
        <v>4</v>
      </c>
      <c r="R1510" s="58">
        <v>3</v>
      </c>
      <c r="S1510" s="59">
        <v>6</v>
      </c>
      <c r="V1510" s="4" t="s">
        <v>3593</v>
      </c>
      <c r="AL1510" s="60" t="s">
        <v>30</v>
      </c>
    </row>
    <row r="1511" spans="1:38" ht="48" x14ac:dyDescent="0.2">
      <c r="A1511" s="1" t="s">
        <v>3452</v>
      </c>
      <c r="B1511" s="1" t="s">
        <v>3639</v>
      </c>
      <c r="C1511" s="1" t="s">
        <v>5721</v>
      </c>
      <c r="D1511" s="48">
        <v>64</v>
      </c>
      <c r="E1511" s="1">
        <v>3</v>
      </c>
      <c r="F1511" s="1" t="s">
        <v>3461</v>
      </c>
      <c r="G1511" s="1" t="s">
        <v>3640</v>
      </c>
      <c r="I1511" s="1" t="s">
        <v>82</v>
      </c>
      <c r="L1511" s="2" t="s">
        <v>3636</v>
      </c>
      <c r="V1511" s="4" t="s">
        <v>3641</v>
      </c>
      <c r="AL1511" s="60" t="s">
        <v>30</v>
      </c>
    </row>
    <row r="1512" spans="1:38" ht="24" x14ac:dyDescent="0.2">
      <c r="A1512" s="1" t="s">
        <v>3452</v>
      </c>
      <c r="B1512" s="1" t="s">
        <v>3471</v>
      </c>
      <c r="C1512" s="1" t="s">
        <v>5721</v>
      </c>
      <c r="D1512" s="48">
        <v>65</v>
      </c>
      <c r="E1512" s="1">
        <v>2</v>
      </c>
      <c r="F1512" s="1" t="s">
        <v>3461</v>
      </c>
      <c r="G1512" s="1" t="s">
        <v>3472</v>
      </c>
      <c r="I1512" s="1" t="s">
        <v>82</v>
      </c>
      <c r="V1512" s="4" t="s">
        <v>3473</v>
      </c>
      <c r="W1512" s="4" t="s">
        <v>3474</v>
      </c>
      <c r="AL1512" s="60" t="s">
        <v>30</v>
      </c>
    </row>
    <row r="1513" spans="1:38" ht="24" x14ac:dyDescent="0.2">
      <c r="A1513" s="1" t="s">
        <v>3452</v>
      </c>
      <c r="B1513" s="1" t="s">
        <v>3670</v>
      </c>
      <c r="C1513" s="1" t="s">
        <v>5721</v>
      </c>
      <c r="D1513" s="48">
        <v>66</v>
      </c>
      <c r="E1513" s="1">
        <v>3</v>
      </c>
      <c r="F1513" s="1" t="s">
        <v>3461</v>
      </c>
      <c r="G1513" s="1" t="s">
        <v>5915</v>
      </c>
      <c r="I1513" s="1" t="s">
        <v>82</v>
      </c>
      <c r="V1513" s="4" t="s">
        <v>3671</v>
      </c>
      <c r="W1513" s="4" t="s">
        <v>3672</v>
      </c>
      <c r="AL1513" s="60" t="s">
        <v>30</v>
      </c>
    </row>
    <row r="1514" spans="1:38" ht="36" x14ac:dyDescent="0.2">
      <c r="A1514" s="1" t="s">
        <v>3452</v>
      </c>
      <c r="B1514" s="1" t="s">
        <v>3667</v>
      </c>
      <c r="C1514" s="1" t="s">
        <v>5721</v>
      </c>
      <c r="D1514" s="48">
        <v>67</v>
      </c>
      <c r="E1514" s="1">
        <v>2</v>
      </c>
      <c r="F1514" s="1" t="s">
        <v>3461</v>
      </c>
      <c r="G1514" s="1" t="s">
        <v>3668</v>
      </c>
      <c r="I1514" s="1" t="s">
        <v>82</v>
      </c>
      <c r="L1514" s="2" t="s">
        <v>3636</v>
      </c>
      <c r="V1514" s="4" t="s">
        <v>3669</v>
      </c>
      <c r="W1514" s="4" t="s">
        <v>3491</v>
      </c>
      <c r="AL1514" s="60" t="s">
        <v>30</v>
      </c>
    </row>
    <row r="1515" spans="1:38" ht="60" x14ac:dyDescent="0.2">
      <c r="A1515" s="111" t="s">
        <v>3452</v>
      </c>
      <c r="B1515" s="111" t="s">
        <v>3708</v>
      </c>
      <c r="C1515" s="111" t="s">
        <v>5721</v>
      </c>
      <c r="D1515" s="112">
        <v>68</v>
      </c>
      <c r="E1515" s="111">
        <v>1</v>
      </c>
      <c r="F1515" s="111" t="s">
        <v>3520</v>
      </c>
      <c r="G1515" s="111" t="s">
        <v>3709</v>
      </c>
      <c r="H1515" s="1" t="s">
        <v>26</v>
      </c>
      <c r="I1515" s="1" t="s">
        <v>94</v>
      </c>
      <c r="K1515" s="1" t="s">
        <v>679</v>
      </c>
      <c r="L1515" s="2" t="s">
        <v>331</v>
      </c>
      <c r="N1515" s="54">
        <v>45</v>
      </c>
      <c r="O1515" s="55">
        <v>5</v>
      </c>
      <c r="Q1515" s="57">
        <v>6</v>
      </c>
      <c r="R1515" s="58">
        <v>5</v>
      </c>
      <c r="S1515" s="59">
        <v>9</v>
      </c>
      <c r="V1515" s="4" t="s">
        <v>3710</v>
      </c>
      <c r="AL1515" s="60" t="s">
        <v>30</v>
      </c>
    </row>
    <row r="1516" spans="1:38" ht="24" x14ac:dyDescent="0.2">
      <c r="A1516" s="1" t="s">
        <v>3452</v>
      </c>
      <c r="B1516" s="1" t="s">
        <v>3515</v>
      </c>
      <c r="C1516" s="1" t="s">
        <v>5721</v>
      </c>
      <c r="D1516" s="48">
        <v>69</v>
      </c>
      <c r="E1516" s="1">
        <v>4</v>
      </c>
      <c r="F1516" s="1" t="s">
        <v>3520</v>
      </c>
      <c r="G1516" s="1" t="s">
        <v>3516</v>
      </c>
      <c r="I1516" s="1" t="s">
        <v>94</v>
      </c>
      <c r="K1516" s="1" t="s">
        <v>679</v>
      </c>
      <c r="L1516" s="2" t="s">
        <v>3517</v>
      </c>
      <c r="N1516" s="54">
        <v>35</v>
      </c>
      <c r="O1516" s="55">
        <v>3</v>
      </c>
      <c r="Q1516" s="57">
        <v>5</v>
      </c>
      <c r="R1516" s="58">
        <v>4</v>
      </c>
      <c r="S1516" s="59">
        <v>5</v>
      </c>
      <c r="V1516" s="4" t="s">
        <v>3518</v>
      </c>
      <c r="W1516" s="4" t="s">
        <v>3519</v>
      </c>
      <c r="AL1516" s="60" t="s">
        <v>30</v>
      </c>
    </row>
    <row r="1517" spans="1:38" ht="36" x14ac:dyDescent="0.2">
      <c r="A1517" s="1" t="s">
        <v>3452</v>
      </c>
      <c r="B1517" s="1" t="s">
        <v>3577</v>
      </c>
      <c r="C1517" s="1" t="s">
        <v>5721</v>
      </c>
      <c r="D1517" s="48">
        <v>70</v>
      </c>
      <c r="E1517" s="1">
        <v>3</v>
      </c>
      <c r="F1517" s="1" t="s">
        <v>3520</v>
      </c>
      <c r="G1517" s="1" t="s">
        <v>3578</v>
      </c>
      <c r="I1517" s="1" t="s">
        <v>82</v>
      </c>
      <c r="L1517" s="2" t="s">
        <v>155</v>
      </c>
      <c r="V1517" s="4" t="s">
        <v>3579</v>
      </c>
      <c r="AL1517" s="60" t="s">
        <v>30</v>
      </c>
    </row>
    <row r="1518" spans="1:38" ht="24" x14ac:dyDescent="0.2">
      <c r="A1518" s="1" t="s">
        <v>3452</v>
      </c>
      <c r="B1518" s="1" t="s">
        <v>3568</v>
      </c>
      <c r="C1518" s="1" t="s">
        <v>5721</v>
      </c>
      <c r="D1518" s="48">
        <v>71</v>
      </c>
      <c r="E1518" s="1">
        <v>3</v>
      </c>
      <c r="F1518" s="1" t="s">
        <v>3520</v>
      </c>
      <c r="G1518" s="1" t="s">
        <v>3569</v>
      </c>
      <c r="I1518" s="1" t="s">
        <v>82</v>
      </c>
      <c r="V1518" s="4" t="s">
        <v>3570</v>
      </c>
      <c r="W1518" s="4" t="s">
        <v>3571</v>
      </c>
      <c r="AL1518" s="60" t="s">
        <v>30</v>
      </c>
    </row>
    <row r="1519" spans="1:38" ht="24" x14ac:dyDescent="0.2">
      <c r="A1519" s="111" t="s">
        <v>3452</v>
      </c>
      <c r="B1519" s="111" t="s">
        <v>3536</v>
      </c>
      <c r="C1519" s="111" t="s">
        <v>5721</v>
      </c>
      <c r="D1519" s="112">
        <v>72</v>
      </c>
      <c r="E1519" s="111">
        <v>3</v>
      </c>
      <c r="F1519" s="111" t="s">
        <v>3539</v>
      </c>
      <c r="G1519" s="111" t="s">
        <v>3046</v>
      </c>
      <c r="I1519" s="1" t="s">
        <v>104</v>
      </c>
      <c r="K1519" s="1" t="s">
        <v>105</v>
      </c>
      <c r="O1519" s="55">
        <v>2</v>
      </c>
      <c r="T1519" s="60">
        <v>3</v>
      </c>
      <c r="V1519" s="4" t="s">
        <v>3537</v>
      </c>
      <c r="W1519" s="4" t="s">
        <v>3538</v>
      </c>
      <c r="AL1519" s="60" t="s">
        <v>30</v>
      </c>
    </row>
    <row r="1520" spans="1:38" ht="36" x14ac:dyDescent="0.2">
      <c r="A1520" s="1" t="s">
        <v>3452</v>
      </c>
      <c r="B1520" s="1" t="s">
        <v>3634</v>
      </c>
      <c r="C1520" s="1" t="s">
        <v>5721</v>
      </c>
      <c r="D1520" s="48">
        <v>73</v>
      </c>
      <c r="E1520" s="1">
        <v>3</v>
      </c>
      <c r="F1520" s="1" t="s">
        <v>3539</v>
      </c>
      <c r="G1520" s="1" t="s">
        <v>3635</v>
      </c>
      <c r="I1520" s="1" t="s">
        <v>82</v>
      </c>
      <c r="L1520" s="2" t="s">
        <v>3636</v>
      </c>
      <c r="V1520" s="4" t="s">
        <v>3637</v>
      </c>
      <c r="W1520" s="4" t="s">
        <v>3638</v>
      </c>
      <c r="AL1520" s="60" t="s">
        <v>30</v>
      </c>
    </row>
    <row r="1521" spans="1:42" ht="48" x14ac:dyDescent="0.2">
      <c r="A1521" s="111" t="s">
        <v>3452</v>
      </c>
      <c r="B1521" s="111" t="s">
        <v>3462</v>
      </c>
      <c r="C1521" s="111" t="s">
        <v>5721</v>
      </c>
      <c r="D1521" s="112">
        <v>74</v>
      </c>
      <c r="E1521" s="111">
        <v>3</v>
      </c>
      <c r="F1521" s="111" t="s">
        <v>3465</v>
      </c>
      <c r="G1521" s="111" t="s">
        <v>3463</v>
      </c>
      <c r="I1521" s="1" t="s">
        <v>82</v>
      </c>
      <c r="L1521" s="2" t="s">
        <v>155</v>
      </c>
      <c r="V1521" s="4" t="s">
        <v>3464</v>
      </c>
      <c r="AL1521" s="60" t="s">
        <v>30</v>
      </c>
    </row>
    <row r="1522" spans="1:42" ht="36" x14ac:dyDescent="0.2">
      <c r="A1522" s="1" t="s">
        <v>3452</v>
      </c>
      <c r="B1522" s="1" t="s">
        <v>3488</v>
      </c>
      <c r="C1522" s="1" t="s">
        <v>5721</v>
      </c>
      <c r="D1522" s="48">
        <v>75</v>
      </c>
      <c r="E1522" s="1">
        <v>2</v>
      </c>
      <c r="F1522" s="1" t="s">
        <v>3465</v>
      </c>
      <c r="G1522" s="1" t="s">
        <v>3489</v>
      </c>
      <c r="I1522" s="1" t="s">
        <v>82</v>
      </c>
      <c r="V1522" s="4" t="s">
        <v>3490</v>
      </c>
      <c r="W1522" s="4" t="s">
        <v>3491</v>
      </c>
      <c r="AL1522" s="60" t="s">
        <v>30</v>
      </c>
    </row>
    <row r="1523" spans="1:42" ht="24" x14ac:dyDescent="0.2">
      <c r="A1523" s="111" t="s">
        <v>3452</v>
      </c>
      <c r="B1523" s="111" t="s">
        <v>3572</v>
      </c>
      <c r="C1523" s="111" t="s">
        <v>5721</v>
      </c>
      <c r="D1523" s="112">
        <v>76</v>
      </c>
      <c r="E1523" s="111">
        <v>3</v>
      </c>
      <c r="F1523" s="111" t="s">
        <v>3576</v>
      </c>
      <c r="G1523" s="111" t="s">
        <v>3573</v>
      </c>
      <c r="I1523" s="1" t="s">
        <v>82</v>
      </c>
      <c r="L1523" s="2" t="s">
        <v>155</v>
      </c>
      <c r="V1523" s="4" t="s">
        <v>3574</v>
      </c>
      <c r="W1523" s="4" t="s">
        <v>3575</v>
      </c>
      <c r="AL1523" s="60" t="s">
        <v>30</v>
      </c>
    </row>
    <row r="1524" spans="1:42" ht="24" x14ac:dyDescent="0.2">
      <c r="A1524" s="1" t="s">
        <v>3452</v>
      </c>
      <c r="B1524" s="1" t="s">
        <v>3607</v>
      </c>
      <c r="C1524" s="1" t="s">
        <v>5721</v>
      </c>
      <c r="D1524" s="48">
        <v>77</v>
      </c>
      <c r="E1524" s="1">
        <v>1</v>
      </c>
      <c r="G1524" s="1" t="s">
        <v>3608</v>
      </c>
      <c r="H1524" s="1" t="s">
        <v>26</v>
      </c>
      <c r="I1524" s="1" t="s">
        <v>88</v>
      </c>
      <c r="J1524" s="1" t="s">
        <v>3498</v>
      </c>
      <c r="K1524" s="1" t="s">
        <v>1136</v>
      </c>
      <c r="L1524" s="2" t="s">
        <v>3609</v>
      </c>
      <c r="P1524" s="56">
        <v>3</v>
      </c>
      <c r="Q1524" s="57">
        <v>2</v>
      </c>
      <c r="R1524" s="58">
        <v>3</v>
      </c>
      <c r="S1524" s="59">
        <v>3</v>
      </c>
      <c r="V1524" s="4" t="s">
        <v>3610</v>
      </c>
      <c r="AL1524" s="60" t="s">
        <v>30</v>
      </c>
    </row>
    <row r="1525" spans="1:42" ht="36" x14ac:dyDescent="0.2">
      <c r="A1525" s="1" t="s">
        <v>3452</v>
      </c>
      <c r="B1525" s="1" t="s">
        <v>3730</v>
      </c>
      <c r="C1525" s="1" t="s">
        <v>5721</v>
      </c>
      <c r="D1525" s="48">
        <v>78</v>
      </c>
      <c r="E1525" s="1">
        <v>1</v>
      </c>
      <c r="F1525" s="1" t="s">
        <v>3495</v>
      </c>
      <c r="G1525" s="1" t="s">
        <v>3731</v>
      </c>
      <c r="I1525" s="1" t="s">
        <v>88</v>
      </c>
      <c r="J1525" s="1" t="s">
        <v>3458</v>
      </c>
      <c r="V1525" s="4" t="s">
        <v>3732</v>
      </c>
      <c r="X1525" s="1" t="s">
        <v>1629</v>
      </c>
      <c r="AL1525" s="60" t="s">
        <v>30</v>
      </c>
    </row>
    <row r="1526" spans="1:42" ht="36" x14ac:dyDescent="0.2">
      <c r="A1526" s="1" t="s">
        <v>3452</v>
      </c>
      <c r="B1526" s="1" t="s">
        <v>3492</v>
      </c>
      <c r="C1526" s="1" t="s">
        <v>5721</v>
      </c>
      <c r="D1526" s="48">
        <v>79</v>
      </c>
      <c r="E1526" s="1">
        <v>1</v>
      </c>
      <c r="F1526" s="1" t="s">
        <v>3495</v>
      </c>
      <c r="G1526" s="1" t="s">
        <v>3493</v>
      </c>
      <c r="I1526" s="1" t="s">
        <v>82</v>
      </c>
      <c r="J1526" s="1" t="s">
        <v>3458</v>
      </c>
      <c r="L1526" s="2" t="s">
        <v>155</v>
      </c>
      <c r="V1526" s="4" t="s">
        <v>3494</v>
      </c>
      <c r="AL1526" s="60" t="s">
        <v>30</v>
      </c>
    </row>
    <row r="1527" spans="1:42" ht="48" x14ac:dyDescent="0.2">
      <c r="A1527" s="1" t="s">
        <v>3452</v>
      </c>
      <c r="B1527" s="1" t="s">
        <v>3557</v>
      </c>
      <c r="C1527" s="1" t="s">
        <v>5721</v>
      </c>
      <c r="D1527" s="48">
        <v>80</v>
      </c>
      <c r="E1527" s="1">
        <v>1</v>
      </c>
      <c r="F1527" s="1" t="s">
        <v>3461</v>
      </c>
      <c r="G1527" s="1" t="s">
        <v>3558</v>
      </c>
      <c r="I1527" s="1" t="s">
        <v>82</v>
      </c>
      <c r="J1527" s="1" t="s">
        <v>3458</v>
      </c>
      <c r="L1527" s="2" t="s">
        <v>155</v>
      </c>
      <c r="V1527" s="4" t="s">
        <v>3559</v>
      </c>
      <c r="AL1527" s="60" t="s">
        <v>30</v>
      </c>
    </row>
    <row r="1528" spans="1:42" ht="24" x14ac:dyDescent="0.2">
      <c r="A1528" s="1" t="s">
        <v>3452</v>
      </c>
      <c r="B1528" s="1" t="s">
        <v>3456</v>
      </c>
      <c r="C1528" s="1" t="s">
        <v>5721</v>
      </c>
      <c r="D1528" s="48">
        <v>81</v>
      </c>
      <c r="E1528" s="1">
        <v>1</v>
      </c>
      <c r="F1528" s="1" t="s">
        <v>3461</v>
      </c>
      <c r="G1528" s="1" t="s">
        <v>3457</v>
      </c>
      <c r="I1528" s="1" t="s">
        <v>82</v>
      </c>
      <c r="J1528" s="1" t="s">
        <v>3458</v>
      </c>
      <c r="L1528" s="2" t="s">
        <v>155</v>
      </c>
      <c r="V1528" s="4" t="s">
        <v>3459</v>
      </c>
      <c r="W1528" s="4" t="s">
        <v>3460</v>
      </c>
      <c r="AL1528" s="60" t="s">
        <v>30</v>
      </c>
    </row>
    <row r="1529" spans="1:42" ht="24" x14ac:dyDescent="0.2">
      <c r="A1529" s="1" t="s">
        <v>3452</v>
      </c>
      <c r="B1529" s="1" t="s">
        <v>3744</v>
      </c>
      <c r="C1529" s="1" t="s">
        <v>5721</v>
      </c>
      <c r="D1529" s="48">
        <v>82</v>
      </c>
      <c r="E1529" s="1">
        <v>1</v>
      </c>
      <c r="F1529" s="1" t="s">
        <v>3461</v>
      </c>
      <c r="G1529" s="1" t="s">
        <v>3745</v>
      </c>
      <c r="I1529" s="1" t="s">
        <v>82</v>
      </c>
      <c r="J1529" s="1" t="s">
        <v>3458</v>
      </c>
      <c r="L1529" s="2" t="s">
        <v>155</v>
      </c>
      <c r="V1529" s="4" t="s">
        <v>3746</v>
      </c>
      <c r="W1529" s="4" t="s">
        <v>2412</v>
      </c>
      <c r="AL1529" s="60" t="s">
        <v>30</v>
      </c>
    </row>
    <row r="1530" spans="1:42" ht="24" x14ac:dyDescent="0.2">
      <c r="A1530" s="1" t="s">
        <v>3452</v>
      </c>
      <c r="B1530" s="1" t="s">
        <v>3580</v>
      </c>
      <c r="C1530" s="1" t="s">
        <v>5721</v>
      </c>
      <c r="D1530" s="48">
        <v>83</v>
      </c>
      <c r="E1530" s="1">
        <v>1</v>
      </c>
      <c r="F1530" s="1" t="s">
        <v>3461</v>
      </c>
      <c r="G1530" s="1" t="s">
        <v>3581</v>
      </c>
      <c r="I1530" s="1" t="s">
        <v>82</v>
      </c>
      <c r="J1530" s="1" t="s">
        <v>3458</v>
      </c>
      <c r="L1530" s="2" t="s">
        <v>155</v>
      </c>
      <c r="V1530" s="4" t="s">
        <v>3582</v>
      </c>
      <c r="W1530" s="4" t="s">
        <v>3583</v>
      </c>
      <c r="AL1530" s="60" t="s">
        <v>30</v>
      </c>
    </row>
    <row r="1531" spans="1:42" ht="36" x14ac:dyDescent="0.2">
      <c r="A1531" s="1" t="s">
        <v>3452</v>
      </c>
      <c r="B1531" s="1" t="s">
        <v>3715</v>
      </c>
      <c r="C1531" s="1" t="s">
        <v>5721</v>
      </c>
      <c r="D1531" s="48">
        <v>84</v>
      </c>
      <c r="E1531" s="1">
        <v>1</v>
      </c>
      <c r="F1531" s="1" t="s">
        <v>3461</v>
      </c>
      <c r="G1531" s="1" t="s">
        <v>3716</v>
      </c>
      <c r="I1531" s="1" t="s">
        <v>82</v>
      </c>
      <c r="J1531" s="1" t="s">
        <v>3458</v>
      </c>
      <c r="L1531" s="2" t="s">
        <v>155</v>
      </c>
      <c r="V1531" s="4" t="s">
        <v>3717</v>
      </c>
      <c r="W1531" s="4" t="s">
        <v>3718</v>
      </c>
      <c r="AL1531" s="60" t="s">
        <v>30</v>
      </c>
    </row>
    <row r="1532" spans="1:42" ht="84" x14ac:dyDescent="0.2">
      <c r="A1532" s="1" t="s">
        <v>3452</v>
      </c>
      <c r="B1532" s="1" t="s">
        <v>3711</v>
      </c>
      <c r="C1532" s="1" t="s">
        <v>5721</v>
      </c>
      <c r="D1532" s="48">
        <v>85</v>
      </c>
      <c r="E1532" s="1">
        <v>1</v>
      </c>
      <c r="F1532" s="46"/>
      <c r="G1532" s="1" t="s">
        <v>3712</v>
      </c>
      <c r="H1532" s="1" t="s">
        <v>26</v>
      </c>
      <c r="I1532" s="1" t="s">
        <v>88</v>
      </c>
      <c r="K1532" s="1" t="s">
        <v>3713</v>
      </c>
      <c r="V1532" s="4" t="s">
        <v>3714</v>
      </c>
      <c r="AL1532" s="60" t="s">
        <v>30</v>
      </c>
    </row>
    <row r="1533" spans="1:42" ht="48" x14ac:dyDescent="0.2">
      <c r="A1533" s="121" t="s">
        <v>10683</v>
      </c>
      <c r="B1533" s="121" t="s">
        <v>10684</v>
      </c>
      <c r="C1533" s="121" t="s">
        <v>11009</v>
      </c>
      <c r="D1533" s="121">
        <v>1</v>
      </c>
      <c r="E1533" s="121">
        <v>1</v>
      </c>
      <c r="F1533" s="121"/>
      <c r="G1533" s="121" t="s">
        <v>241</v>
      </c>
      <c r="H1533" s="1" t="s">
        <v>26</v>
      </c>
      <c r="I1533" s="1" t="s">
        <v>27</v>
      </c>
      <c r="J1533" s="1" t="s">
        <v>3533</v>
      </c>
      <c r="K1533" s="4" t="s">
        <v>3534</v>
      </c>
      <c r="L1533" s="4"/>
      <c r="M1533" s="18">
        <v>0</v>
      </c>
      <c r="P1533" s="56">
        <v>2</v>
      </c>
      <c r="Q1533" s="57">
        <v>1</v>
      </c>
      <c r="R1533" s="58">
        <v>2</v>
      </c>
      <c r="S1533" s="59">
        <v>2</v>
      </c>
      <c r="V1533" s="4" t="s">
        <v>10685</v>
      </c>
      <c r="AP1533" s="1"/>
    </row>
    <row r="1534" spans="1:42" ht="48" x14ac:dyDescent="0.2">
      <c r="A1534" s="1" t="s">
        <v>10683</v>
      </c>
      <c r="B1534" s="1" t="s">
        <v>10686</v>
      </c>
      <c r="C1534" s="1" t="s">
        <v>11009</v>
      </c>
      <c r="D1534" s="1">
        <v>2</v>
      </c>
      <c r="E1534" s="1">
        <v>1</v>
      </c>
      <c r="G1534" s="1" t="s">
        <v>571</v>
      </c>
      <c r="H1534" s="1" t="s">
        <v>26</v>
      </c>
      <c r="I1534" s="1" t="s">
        <v>27</v>
      </c>
      <c r="J1534" s="1" t="s">
        <v>44</v>
      </c>
      <c r="K1534" s="4" t="s">
        <v>45</v>
      </c>
      <c r="L1534" s="4"/>
      <c r="M1534" s="18">
        <v>14</v>
      </c>
      <c r="P1534" s="56">
        <v>3</v>
      </c>
      <c r="Q1534" s="57">
        <v>3</v>
      </c>
      <c r="R1534" s="58">
        <v>3</v>
      </c>
      <c r="S1534" s="59">
        <v>5</v>
      </c>
      <c r="V1534" s="4" t="s">
        <v>10687</v>
      </c>
      <c r="AP1534" s="1"/>
    </row>
    <row r="1535" spans="1:42" ht="36" x14ac:dyDescent="0.2">
      <c r="A1535" s="1" t="s">
        <v>10683</v>
      </c>
      <c r="B1535" s="1" t="s">
        <v>10688</v>
      </c>
      <c r="C1535" s="1" t="s">
        <v>11009</v>
      </c>
      <c r="D1535" s="1">
        <v>3</v>
      </c>
      <c r="E1535" s="1">
        <v>3</v>
      </c>
      <c r="G1535" s="1" t="s">
        <v>10689</v>
      </c>
      <c r="H1535" s="1" t="s">
        <v>26</v>
      </c>
      <c r="I1535" s="1" t="s">
        <v>38</v>
      </c>
      <c r="J1535" s="1" t="s">
        <v>28</v>
      </c>
      <c r="K1535" s="4" t="s">
        <v>3088</v>
      </c>
      <c r="L1535" s="4" t="s">
        <v>10690</v>
      </c>
      <c r="M1535" s="18">
        <v>3</v>
      </c>
      <c r="P1535" s="56">
        <v>3</v>
      </c>
      <c r="Q1535" s="57">
        <v>0</v>
      </c>
      <c r="R1535" s="58">
        <v>0</v>
      </c>
      <c r="S1535" s="59">
        <v>3</v>
      </c>
      <c r="V1535" s="4" t="s">
        <v>10691</v>
      </c>
      <c r="AP1535" s="1"/>
    </row>
    <row r="1536" spans="1:42" ht="48" x14ac:dyDescent="0.2">
      <c r="A1536" s="1" t="s">
        <v>10683</v>
      </c>
      <c r="B1536" s="1" t="s">
        <v>10692</v>
      </c>
      <c r="C1536" s="1" t="s">
        <v>11009</v>
      </c>
      <c r="D1536" s="1">
        <v>4</v>
      </c>
      <c r="E1536" s="1">
        <v>3</v>
      </c>
      <c r="G1536" s="1" t="s">
        <v>2417</v>
      </c>
      <c r="H1536" s="1" t="s">
        <v>26</v>
      </c>
      <c r="I1536" s="1" t="s">
        <v>38</v>
      </c>
      <c r="J1536" s="1" t="s">
        <v>50</v>
      </c>
      <c r="K1536" s="4" t="s">
        <v>159</v>
      </c>
      <c r="L1536" s="4"/>
      <c r="M1536" s="18">
        <v>4</v>
      </c>
      <c r="P1536" s="56">
        <v>1</v>
      </c>
      <c r="Q1536" s="57">
        <v>3</v>
      </c>
      <c r="R1536" s="58">
        <v>1</v>
      </c>
      <c r="S1536" s="59">
        <v>4</v>
      </c>
      <c r="V1536" s="4" t="s">
        <v>10693</v>
      </c>
      <c r="AP1536" s="1"/>
    </row>
    <row r="1537" spans="1:42" ht="24" x14ac:dyDescent="0.2">
      <c r="A1537" s="1" t="s">
        <v>10683</v>
      </c>
      <c r="B1537" s="1" t="s">
        <v>10694</v>
      </c>
      <c r="C1537" s="1" t="s">
        <v>11009</v>
      </c>
      <c r="D1537" s="1">
        <v>5</v>
      </c>
      <c r="E1537" s="1">
        <v>3</v>
      </c>
      <c r="G1537" s="1" t="s">
        <v>3087</v>
      </c>
      <c r="H1537" s="1" t="s">
        <v>26</v>
      </c>
      <c r="I1537" s="1" t="s">
        <v>38</v>
      </c>
      <c r="J1537" s="1" t="s">
        <v>39</v>
      </c>
      <c r="K1537" s="4" t="s">
        <v>3088</v>
      </c>
      <c r="L1537" s="4" t="s">
        <v>10695</v>
      </c>
      <c r="M1537" s="18">
        <v>3</v>
      </c>
      <c r="P1537" s="56">
        <v>3</v>
      </c>
      <c r="Q1537" s="57">
        <v>2</v>
      </c>
      <c r="R1537" s="58">
        <v>3</v>
      </c>
      <c r="S1537" s="59">
        <v>3</v>
      </c>
      <c r="V1537" s="4" t="s">
        <v>10696</v>
      </c>
      <c r="AP1537" s="1"/>
    </row>
    <row r="1538" spans="1:42" ht="24" x14ac:dyDescent="0.2">
      <c r="A1538" s="1" t="s">
        <v>10683</v>
      </c>
      <c r="B1538" s="1" t="s">
        <v>10697</v>
      </c>
      <c r="C1538" s="1" t="s">
        <v>11009</v>
      </c>
      <c r="D1538" s="1">
        <v>6</v>
      </c>
      <c r="E1538" s="1">
        <v>3</v>
      </c>
      <c r="G1538" s="1" t="s">
        <v>4112</v>
      </c>
      <c r="H1538" s="1" t="s">
        <v>26</v>
      </c>
      <c r="I1538" s="1" t="s">
        <v>38</v>
      </c>
      <c r="J1538" s="1" t="s">
        <v>57</v>
      </c>
      <c r="K1538" s="4" t="s">
        <v>242</v>
      </c>
      <c r="L1538" s="4"/>
      <c r="M1538" s="18">
        <v>2</v>
      </c>
      <c r="P1538" s="56">
        <v>2</v>
      </c>
      <c r="Q1538" s="57">
        <v>0</v>
      </c>
      <c r="R1538" s="58">
        <v>0</v>
      </c>
      <c r="S1538" s="59">
        <v>2</v>
      </c>
      <c r="V1538" s="4" t="s">
        <v>10698</v>
      </c>
      <c r="AP1538" s="1"/>
    </row>
    <row r="1539" spans="1:42" ht="48" x14ac:dyDescent="0.2">
      <c r="A1539" s="1" t="s">
        <v>10683</v>
      </c>
      <c r="B1539" s="1" t="s">
        <v>10699</v>
      </c>
      <c r="C1539" s="1" t="s">
        <v>11009</v>
      </c>
      <c r="D1539" s="1">
        <v>7</v>
      </c>
      <c r="E1539" s="1">
        <v>3</v>
      </c>
      <c r="G1539" s="1" t="s">
        <v>10700</v>
      </c>
      <c r="I1539" s="1" t="s">
        <v>63</v>
      </c>
      <c r="J1539" s="1" t="s">
        <v>44</v>
      </c>
      <c r="K1539" s="4" t="s">
        <v>5385</v>
      </c>
      <c r="L1539" s="4"/>
      <c r="M1539" s="18">
        <v>1</v>
      </c>
      <c r="U1539" s="1">
        <v>1</v>
      </c>
      <c r="V1539" s="4" t="s">
        <v>10701</v>
      </c>
      <c r="AP1539" s="1"/>
    </row>
    <row r="1540" spans="1:42" ht="36" x14ac:dyDescent="0.2">
      <c r="A1540" s="1" t="s">
        <v>10683</v>
      </c>
      <c r="B1540" s="1" t="s">
        <v>10702</v>
      </c>
      <c r="C1540" s="1" t="s">
        <v>11009</v>
      </c>
      <c r="D1540" s="1">
        <v>8</v>
      </c>
      <c r="E1540" s="1">
        <v>3</v>
      </c>
      <c r="G1540" s="1" t="s">
        <v>10703</v>
      </c>
      <c r="H1540" s="1" t="s">
        <v>26</v>
      </c>
      <c r="I1540" s="1" t="s">
        <v>56</v>
      </c>
      <c r="J1540" s="1" t="s">
        <v>44</v>
      </c>
      <c r="K1540" s="4" t="s">
        <v>10704</v>
      </c>
      <c r="L1540" s="4" t="s">
        <v>10705</v>
      </c>
      <c r="M1540" s="18">
        <v>2</v>
      </c>
      <c r="V1540" s="4" t="s">
        <v>10706</v>
      </c>
      <c r="AP1540" s="1"/>
    </row>
    <row r="1541" spans="1:42" ht="24" x14ac:dyDescent="0.2">
      <c r="A1541" s="1" t="s">
        <v>10683</v>
      </c>
      <c r="B1541" s="1" t="s">
        <v>10707</v>
      </c>
      <c r="C1541" s="1" t="s">
        <v>11009</v>
      </c>
      <c r="D1541" s="1">
        <v>9</v>
      </c>
      <c r="E1541" s="1">
        <v>3</v>
      </c>
      <c r="G1541" s="1" t="s">
        <v>10708</v>
      </c>
      <c r="I1541" s="1" t="s">
        <v>56</v>
      </c>
      <c r="J1541" s="1" t="s">
        <v>44</v>
      </c>
      <c r="K1541" s="4" t="s">
        <v>3682</v>
      </c>
      <c r="L1541" s="4" t="s">
        <v>10709</v>
      </c>
      <c r="M1541" s="18">
        <v>1</v>
      </c>
      <c r="V1541" s="4" t="s">
        <v>10710</v>
      </c>
      <c r="AP1541" s="1"/>
    </row>
    <row r="1542" spans="1:42" ht="48" x14ac:dyDescent="0.2">
      <c r="A1542" s="1" t="s">
        <v>10683</v>
      </c>
      <c r="B1542" s="1" t="s">
        <v>10711</v>
      </c>
      <c r="C1542" s="1" t="s">
        <v>11009</v>
      </c>
      <c r="D1542" s="1">
        <v>10</v>
      </c>
      <c r="E1542" s="1">
        <v>3</v>
      </c>
      <c r="G1542" s="1" t="s">
        <v>10712</v>
      </c>
      <c r="H1542" s="1" t="s">
        <v>26</v>
      </c>
      <c r="I1542" s="1" t="s">
        <v>56</v>
      </c>
      <c r="J1542" s="1" t="s">
        <v>3533</v>
      </c>
      <c r="K1542" s="4" t="s">
        <v>10713</v>
      </c>
      <c r="L1542" s="4" t="s">
        <v>10714</v>
      </c>
      <c r="M1542" s="18">
        <v>2</v>
      </c>
      <c r="V1542" s="4" t="s">
        <v>10715</v>
      </c>
      <c r="AP1542" s="1"/>
    </row>
    <row r="1543" spans="1:42" ht="60" x14ac:dyDescent="0.2">
      <c r="A1543" s="1" t="s">
        <v>10683</v>
      </c>
      <c r="B1543" s="1" t="s">
        <v>10716</v>
      </c>
      <c r="C1543" s="1" t="s">
        <v>11009</v>
      </c>
      <c r="D1543" s="1">
        <v>11</v>
      </c>
      <c r="E1543" s="1">
        <v>1</v>
      </c>
      <c r="G1543" s="1" t="s">
        <v>4511</v>
      </c>
      <c r="H1543" s="1" t="s">
        <v>26</v>
      </c>
      <c r="I1543" s="1" t="s">
        <v>56</v>
      </c>
      <c r="J1543" s="1" t="s">
        <v>3498</v>
      </c>
      <c r="K1543" s="4" t="s">
        <v>3565</v>
      </c>
      <c r="L1543" s="4" t="s">
        <v>10717</v>
      </c>
      <c r="M1543" s="18">
        <v>2</v>
      </c>
      <c r="V1543" s="4" t="s">
        <v>10718</v>
      </c>
      <c r="X1543" s="1" t="s">
        <v>1681</v>
      </c>
      <c r="AP1543" s="1"/>
    </row>
    <row r="1544" spans="1:42" x14ac:dyDescent="0.2">
      <c r="A1544" s="1" t="s">
        <v>10683</v>
      </c>
      <c r="B1544" s="1" t="s">
        <v>10719</v>
      </c>
      <c r="C1544" s="1" t="s">
        <v>11009</v>
      </c>
      <c r="D1544" s="1">
        <v>12</v>
      </c>
      <c r="E1544" s="1">
        <v>1</v>
      </c>
      <c r="G1544" s="1" t="s">
        <v>4049</v>
      </c>
      <c r="H1544" s="1" t="s">
        <v>26</v>
      </c>
      <c r="I1544" s="1" t="s">
        <v>56</v>
      </c>
      <c r="J1544" s="1" t="s">
        <v>3498</v>
      </c>
      <c r="K1544" s="4" t="s">
        <v>10720</v>
      </c>
      <c r="L1544" s="4" t="s">
        <v>10714</v>
      </c>
      <c r="M1544" s="18">
        <v>1</v>
      </c>
      <c r="V1544" s="4" t="s">
        <v>4053</v>
      </c>
      <c r="X1544" s="1" t="s">
        <v>1681</v>
      </c>
      <c r="AP1544" s="1"/>
    </row>
    <row r="1545" spans="1:42" ht="36" x14ac:dyDescent="0.2">
      <c r="A1545" s="1" t="s">
        <v>10683</v>
      </c>
      <c r="B1545" s="1" t="s">
        <v>10721</v>
      </c>
      <c r="C1545" s="1" t="s">
        <v>11009</v>
      </c>
      <c r="D1545" s="1">
        <v>13</v>
      </c>
      <c r="E1545" s="1">
        <v>1</v>
      </c>
      <c r="G1545" s="1" t="s">
        <v>4398</v>
      </c>
      <c r="H1545" s="1" t="s">
        <v>26</v>
      </c>
      <c r="I1545" s="1" t="s">
        <v>56</v>
      </c>
      <c r="J1545" s="1" t="s">
        <v>3498</v>
      </c>
      <c r="K1545" s="4" t="s">
        <v>3565</v>
      </c>
      <c r="L1545" s="4" t="s">
        <v>10722</v>
      </c>
      <c r="M1545" s="18">
        <v>2</v>
      </c>
      <c r="V1545" s="4" t="s">
        <v>10723</v>
      </c>
      <c r="X1545" s="1" t="s">
        <v>1681</v>
      </c>
      <c r="AP1545" s="1"/>
    </row>
    <row r="1546" spans="1:42" ht="60" x14ac:dyDescent="0.2">
      <c r="A1546" s="1" t="s">
        <v>10683</v>
      </c>
      <c r="B1546" s="1" t="s">
        <v>10724</v>
      </c>
      <c r="C1546" s="1" t="s">
        <v>11009</v>
      </c>
      <c r="D1546" s="1">
        <v>14</v>
      </c>
      <c r="E1546" s="1">
        <v>1</v>
      </c>
      <c r="G1546" s="1" t="s">
        <v>10725</v>
      </c>
      <c r="H1546" s="1" t="s">
        <v>26</v>
      </c>
      <c r="I1546" s="1" t="s">
        <v>56</v>
      </c>
      <c r="J1546" s="1" t="s">
        <v>3498</v>
      </c>
      <c r="K1546" s="4" t="s">
        <v>3565</v>
      </c>
      <c r="L1546" s="4" t="s">
        <v>10726</v>
      </c>
      <c r="M1546" s="18">
        <v>3</v>
      </c>
      <c r="V1546" s="4" t="s">
        <v>10727</v>
      </c>
      <c r="X1546" s="1" t="s">
        <v>1681</v>
      </c>
      <c r="AP1546" s="1"/>
    </row>
    <row r="1547" spans="1:42" ht="36" x14ac:dyDescent="0.2">
      <c r="A1547" s="1" t="s">
        <v>10683</v>
      </c>
      <c r="B1547" s="1" t="s">
        <v>10728</v>
      </c>
      <c r="C1547" s="1" t="s">
        <v>11009</v>
      </c>
      <c r="D1547" s="1">
        <v>15</v>
      </c>
      <c r="E1547" s="1">
        <v>1</v>
      </c>
      <c r="G1547" s="1" t="s">
        <v>10729</v>
      </c>
      <c r="H1547" s="1" t="s">
        <v>26</v>
      </c>
      <c r="I1547" s="1" t="s">
        <v>56</v>
      </c>
      <c r="J1547" s="1" t="s">
        <v>3498</v>
      </c>
      <c r="K1547" s="4" t="s">
        <v>10730</v>
      </c>
      <c r="L1547" s="4" t="s">
        <v>10731</v>
      </c>
      <c r="M1547" s="18">
        <v>0</v>
      </c>
      <c r="U1547" s="1">
        <v>3</v>
      </c>
      <c r="V1547" s="4" t="s">
        <v>10732</v>
      </c>
      <c r="X1547" s="1" t="s">
        <v>1681</v>
      </c>
      <c r="AP1547" s="1"/>
    </row>
    <row r="1548" spans="1:42" ht="36" x14ac:dyDescent="0.2">
      <c r="A1548" s="1" t="s">
        <v>10683</v>
      </c>
      <c r="B1548" s="1" t="s">
        <v>10733</v>
      </c>
      <c r="C1548" s="1" t="s">
        <v>11009</v>
      </c>
      <c r="D1548" s="1">
        <v>16</v>
      </c>
      <c r="E1548" s="1">
        <v>1</v>
      </c>
      <c r="G1548" s="1" t="s">
        <v>10734</v>
      </c>
      <c r="H1548" s="1" t="s">
        <v>26</v>
      </c>
      <c r="I1548" s="1" t="s">
        <v>56</v>
      </c>
      <c r="J1548" s="1" t="s">
        <v>3498</v>
      </c>
      <c r="K1548" s="4" t="s">
        <v>10730</v>
      </c>
      <c r="L1548" s="4" t="s">
        <v>10731</v>
      </c>
      <c r="M1548" s="18">
        <v>0</v>
      </c>
      <c r="U1548" s="1">
        <v>3</v>
      </c>
      <c r="V1548" s="4" t="s">
        <v>10735</v>
      </c>
      <c r="X1548" s="1" t="s">
        <v>1681</v>
      </c>
      <c r="AP1548" s="1"/>
    </row>
    <row r="1549" spans="1:42" ht="36" x14ac:dyDescent="0.2">
      <c r="A1549" s="1" t="s">
        <v>10683</v>
      </c>
      <c r="B1549" s="1" t="s">
        <v>10736</v>
      </c>
      <c r="C1549" s="1" t="s">
        <v>11009</v>
      </c>
      <c r="D1549" s="1">
        <v>17</v>
      </c>
      <c r="E1549" s="1">
        <v>1</v>
      </c>
      <c r="G1549" s="1" t="s">
        <v>10737</v>
      </c>
      <c r="H1549" s="1" t="s">
        <v>26</v>
      </c>
      <c r="I1549" s="1" t="s">
        <v>56</v>
      </c>
      <c r="J1549" s="1" t="s">
        <v>3498</v>
      </c>
      <c r="K1549" s="4" t="s">
        <v>10730</v>
      </c>
      <c r="L1549" s="4" t="s">
        <v>10731</v>
      </c>
      <c r="M1549" s="18">
        <v>0</v>
      </c>
      <c r="U1549" s="1">
        <v>3</v>
      </c>
      <c r="V1549" s="4" t="s">
        <v>10738</v>
      </c>
      <c r="X1549" s="1" t="s">
        <v>1681</v>
      </c>
      <c r="AP1549" s="1"/>
    </row>
    <row r="1550" spans="1:42" ht="24" x14ac:dyDescent="0.2">
      <c r="A1550" s="1" t="s">
        <v>10683</v>
      </c>
      <c r="B1550" s="1" t="s">
        <v>10739</v>
      </c>
      <c r="C1550" s="1" t="s">
        <v>11009</v>
      </c>
      <c r="D1550" s="1">
        <v>18</v>
      </c>
      <c r="E1550" s="1">
        <v>1</v>
      </c>
      <c r="G1550" s="1" t="s">
        <v>10740</v>
      </c>
      <c r="H1550" s="1" t="s">
        <v>26</v>
      </c>
      <c r="I1550" s="1" t="s">
        <v>56</v>
      </c>
      <c r="J1550" s="1" t="s">
        <v>3498</v>
      </c>
      <c r="K1550" s="4" t="s">
        <v>10730</v>
      </c>
      <c r="L1550" s="4" t="s">
        <v>10731</v>
      </c>
      <c r="M1550" s="18">
        <v>0</v>
      </c>
      <c r="U1550" s="1">
        <v>3</v>
      </c>
      <c r="V1550" s="4" t="s">
        <v>10741</v>
      </c>
      <c r="X1550" s="1" t="s">
        <v>1681</v>
      </c>
      <c r="AP1550" s="1"/>
    </row>
    <row r="1551" spans="1:42" ht="60" x14ac:dyDescent="0.2">
      <c r="A1551" s="111" t="s">
        <v>10683</v>
      </c>
      <c r="B1551" s="111" t="s">
        <v>10742</v>
      </c>
      <c r="C1551" s="111" t="s">
        <v>11009</v>
      </c>
      <c r="D1551" s="111">
        <v>19</v>
      </c>
      <c r="E1551" s="111">
        <v>1</v>
      </c>
      <c r="F1551" s="111" t="s">
        <v>10743</v>
      </c>
      <c r="G1551" s="111" t="s">
        <v>10744</v>
      </c>
      <c r="I1551" s="1" t="s">
        <v>3482</v>
      </c>
      <c r="K1551" s="4"/>
      <c r="L1551" s="4" t="s">
        <v>3483</v>
      </c>
      <c r="V1551" s="4" t="s">
        <v>10745</v>
      </c>
      <c r="X1551" s="137" t="s">
        <v>10746</v>
      </c>
      <c r="Y1551" s="1" t="s">
        <v>10744</v>
      </c>
      <c r="AA1551" s="1" t="s">
        <v>3482</v>
      </c>
      <c r="AN1551" s="4" t="s">
        <v>10747</v>
      </c>
      <c r="AP1551" s="1"/>
    </row>
    <row r="1552" spans="1:42" ht="72" x14ac:dyDescent="0.2">
      <c r="A1552" s="1" t="s">
        <v>10683</v>
      </c>
      <c r="B1552" s="1" t="s">
        <v>10748</v>
      </c>
      <c r="C1552" s="1" t="s">
        <v>11009</v>
      </c>
      <c r="D1552" s="1">
        <v>20</v>
      </c>
      <c r="E1552" s="1">
        <v>1</v>
      </c>
      <c r="F1552" s="1" t="s">
        <v>10744</v>
      </c>
      <c r="G1552" s="1" t="s">
        <v>10749</v>
      </c>
      <c r="I1552" s="1" t="s">
        <v>125</v>
      </c>
      <c r="K1552" s="4"/>
      <c r="L1552" s="4"/>
      <c r="M1552" s="18">
        <v>1</v>
      </c>
      <c r="N1552" s="54" t="s">
        <v>9529</v>
      </c>
      <c r="V1552" s="4" t="s">
        <v>10750</v>
      </c>
      <c r="X1552" s="1" t="s">
        <v>4334</v>
      </c>
      <c r="Y1552" s="1" t="s">
        <v>10749</v>
      </c>
      <c r="AA1552" s="1" t="s">
        <v>125</v>
      </c>
      <c r="AE1552" s="1">
        <v>1</v>
      </c>
      <c r="AF1552" s="54" t="s">
        <v>9530</v>
      </c>
      <c r="AL1552" s="60" t="s">
        <v>8130</v>
      </c>
      <c r="AN1552" s="4" t="s">
        <v>10751</v>
      </c>
      <c r="AP1552" s="1"/>
    </row>
    <row r="1553" spans="1:42" ht="48" x14ac:dyDescent="0.2">
      <c r="A1553" s="1" t="s">
        <v>10683</v>
      </c>
      <c r="B1553" s="50" t="s">
        <v>10752</v>
      </c>
      <c r="C1553" s="1" t="s">
        <v>11009</v>
      </c>
      <c r="D1553" s="1">
        <v>21</v>
      </c>
      <c r="E1553" s="1">
        <v>1</v>
      </c>
      <c r="F1553" s="1" t="s">
        <v>10744</v>
      </c>
      <c r="G1553" s="1" t="s">
        <v>10753</v>
      </c>
      <c r="I1553" s="1" t="s">
        <v>125</v>
      </c>
      <c r="K1553" s="4"/>
      <c r="L1553" s="4"/>
      <c r="M1553" s="18">
        <v>2</v>
      </c>
      <c r="N1553" s="54" t="s">
        <v>9529</v>
      </c>
      <c r="V1553" s="4" t="s">
        <v>10754</v>
      </c>
      <c r="Y1553" s="1" t="s">
        <v>10753</v>
      </c>
      <c r="AA1553" s="1" t="s">
        <v>125</v>
      </c>
      <c r="AE1553" s="1">
        <v>2</v>
      </c>
      <c r="AF1553" s="54" t="s">
        <v>9530</v>
      </c>
      <c r="AL1553" s="60">
        <v>8</v>
      </c>
      <c r="AN1553" s="4" t="s">
        <v>10755</v>
      </c>
      <c r="AP1553" s="1"/>
    </row>
    <row r="1554" spans="1:42" ht="60" x14ac:dyDescent="0.2">
      <c r="A1554" s="1" t="s">
        <v>10683</v>
      </c>
      <c r="B1554" s="1" t="s">
        <v>10756</v>
      </c>
      <c r="C1554" s="1" t="s">
        <v>11009</v>
      </c>
      <c r="D1554" s="1">
        <v>22</v>
      </c>
      <c r="E1554" s="1">
        <v>1</v>
      </c>
      <c r="F1554" s="1" t="s">
        <v>10744</v>
      </c>
      <c r="G1554" s="1" t="s">
        <v>10757</v>
      </c>
      <c r="I1554" s="1" t="s">
        <v>125</v>
      </c>
      <c r="K1554" s="4"/>
      <c r="L1554" s="4"/>
      <c r="M1554" s="18">
        <v>3</v>
      </c>
      <c r="N1554" s="54" t="s">
        <v>9529</v>
      </c>
      <c r="V1554" s="4" t="s">
        <v>10758</v>
      </c>
      <c r="Y1554" s="1" t="s">
        <v>10757</v>
      </c>
      <c r="AA1554" s="1" t="s">
        <v>125</v>
      </c>
      <c r="AE1554" s="1">
        <v>3</v>
      </c>
      <c r="AF1554" s="54" t="s">
        <v>9530</v>
      </c>
      <c r="AL1554" s="60">
        <v>12</v>
      </c>
      <c r="AN1554" s="4" t="s">
        <v>10759</v>
      </c>
      <c r="AP1554" s="1"/>
    </row>
    <row r="1555" spans="1:42" ht="72" x14ac:dyDescent="0.2">
      <c r="A1555" s="1" t="s">
        <v>10683</v>
      </c>
      <c r="B1555" s="50" t="s">
        <v>10760</v>
      </c>
      <c r="C1555" s="1" t="s">
        <v>11009</v>
      </c>
      <c r="D1555" s="1">
        <v>23</v>
      </c>
      <c r="E1555" s="1">
        <v>1</v>
      </c>
      <c r="F1555" s="1" t="s">
        <v>10744</v>
      </c>
      <c r="G1555" s="1" t="s">
        <v>10761</v>
      </c>
      <c r="I1555" s="1" t="s">
        <v>125</v>
      </c>
      <c r="K1555" s="4"/>
      <c r="L1555" s="4"/>
      <c r="M1555" s="18">
        <v>4</v>
      </c>
      <c r="N1555" s="54" t="s">
        <v>9529</v>
      </c>
      <c r="V1555" s="4" t="s">
        <v>10762</v>
      </c>
      <c r="Y1555" s="1" t="s">
        <v>10761</v>
      </c>
      <c r="AA1555" s="1" t="s">
        <v>125</v>
      </c>
      <c r="AE1555" s="1">
        <v>4</v>
      </c>
      <c r="AF1555" s="54" t="s">
        <v>9530</v>
      </c>
      <c r="AL1555" s="60" t="s">
        <v>8130</v>
      </c>
      <c r="AN1555" s="4" t="s">
        <v>10763</v>
      </c>
      <c r="AP1555" s="1"/>
    </row>
    <row r="1556" spans="1:42" ht="48" x14ac:dyDescent="0.2">
      <c r="A1556" s="1" t="s">
        <v>10683</v>
      </c>
      <c r="B1556" s="1" t="s">
        <v>10764</v>
      </c>
      <c r="C1556" s="1" t="s">
        <v>11009</v>
      </c>
      <c r="D1556" s="1">
        <v>24</v>
      </c>
      <c r="E1556" s="1">
        <v>1</v>
      </c>
      <c r="F1556" s="1" t="s">
        <v>10744</v>
      </c>
      <c r="G1556" s="1" t="s">
        <v>10765</v>
      </c>
      <c r="H1556" s="1" t="s">
        <v>26</v>
      </c>
      <c r="I1556" s="1" t="s">
        <v>94</v>
      </c>
      <c r="K1556" s="4" t="s">
        <v>95</v>
      </c>
      <c r="L1556" s="4" t="s">
        <v>10766</v>
      </c>
      <c r="N1556" s="54">
        <v>50</v>
      </c>
      <c r="O1556" s="55">
        <v>5</v>
      </c>
      <c r="Q1556" s="57">
        <v>6</v>
      </c>
      <c r="R1556" s="58">
        <v>5</v>
      </c>
      <c r="S1556" s="59">
        <v>12</v>
      </c>
      <c r="V1556" s="4" t="s">
        <v>10767</v>
      </c>
      <c r="AP1556" s="1"/>
    </row>
    <row r="1557" spans="1:42" ht="36" x14ac:dyDescent="0.2">
      <c r="A1557" s="1" t="s">
        <v>10683</v>
      </c>
      <c r="B1557" s="1" t="s">
        <v>10768</v>
      </c>
      <c r="C1557" s="1" t="s">
        <v>11009</v>
      </c>
      <c r="D1557" s="1">
        <v>25</v>
      </c>
      <c r="E1557" s="1">
        <v>1</v>
      </c>
      <c r="F1557" s="1" t="s">
        <v>10744</v>
      </c>
      <c r="G1557" s="1" t="s">
        <v>10769</v>
      </c>
      <c r="H1557" s="1" t="s">
        <v>26</v>
      </c>
      <c r="I1557" s="1" t="s">
        <v>94</v>
      </c>
      <c r="K1557" s="4" t="s">
        <v>10770</v>
      </c>
      <c r="L1557" s="4" t="s">
        <v>3504</v>
      </c>
      <c r="N1557" s="54">
        <v>30</v>
      </c>
      <c r="O1557" s="55">
        <v>4</v>
      </c>
      <c r="Q1557" s="57">
        <v>5</v>
      </c>
      <c r="R1557" s="58">
        <v>3</v>
      </c>
      <c r="S1557" s="59">
        <v>6</v>
      </c>
      <c r="V1557" s="4" t="s">
        <v>10771</v>
      </c>
      <c r="AP1557" s="1"/>
    </row>
    <row r="1558" spans="1:42" ht="24" x14ac:dyDescent="0.2">
      <c r="A1558" s="1" t="s">
        <v>10683</v>
      </c>
      <c r="B1558" s="1" t="s">
        <v>10772</v>
      </c>
      <c r="C1558" s="1" t="s">
        <v>11009</v>
      </c>
      <c r="D1558" s="1">
        <v>26</v>
      </c>
      <c r="E1558" s="1">
        <v>4</v>
      </c>
      <c r="F1558" s="1" t="s">
        <v>10744</v>
      </c>
      <c r="G1558" s="1" t="s">
        <v>10773</v>
      </c>
      <c r="I1558" s="1" t="s">
        <v>94</v>
      </c>
      <c r="K1558" s="4" t="s">
        <v>10770</v>
      </c>
      <c r="L1558" s="4" t="s">
        <v>155</v>
      </c>
      <c r="N1558" s="54">
        <v>50</v>
      </c>
      <c r="O1558" s="55">
        <v>1</v>
      </c>
      <c r="Q1558" s="57">
        <v>4</v>
      </c>
      <c r="R1558" s="58">
        <v>1</v>
      </c>
      <c r="S1558" s="59">
        <v>3</v>
      </c>
      <c r="V1558" s="4" t="s">
        <v>10774</v>
      </c>
      <c r="W1558" s="4" t="s">
        <v>10775</v>
      </c>
      <c r="AP1558" s="1"/>
    </row>
    <row r="1559" spans="1:42" ht="24" x14ac:dyDescent="0.2">
      <c r="A1559" s="1" t="s">
        <v>10683</v>
      </c>
      <c r="B1559" s="1" t="s">
        <v>10776</v>
      </c>
      <c r="C1559" s="1" t="s">
        <v>11009</v>
      </c>
      <c r="D1559" s="1">
        <v>27</v>
      </c>
      <c r="E1559" s="1">
        <v>4</v>
      </c>
      <c r="F1559" s="1" t="s">
        <v>10744</v>
      </c>
      <c r="G1559" s="1" t="s">
        <v>10777</v>
      </c>
      <c r="I1559" s="1" t="s">
        <v>94</v>
      </c>
      <c r="K1559" s="4" t="s">
        <v>10770</v>
      </c>
      <c r="L1559" s="4"/>
      <c r="N1559" s="54">
        <v>38</v>
      </c>
      <c r="O1559" s="55">
        <v>2</v>
      </c>
      <c r="Q1559" s="57">
        <v>3</v>
      </c>
      <c r="R1559" s="58">
        <v>2</v>
      </c>
      <c r="S1559" s="59">
        <v>4</v>
      </c>
      <c r="V1559" s="4" t="s">
        <v>10778</v>
      </c>
      <c r="W1559" s="4" t="s">
        <v>10779</v>
      </c>
      <c r="AP1559" s="1"/>
    </row>
    <row r="1560" spans="1:42" ht="48" x14ac:dyDescent="0.2">
      <c r="A1560" s="1" t="s">
        <v>10683</v>
      </c>
      <c r="B1560" s="1" t="s">
        <v>10780</v>
      </c>
      <c r="C1560" s="1" t="s">
        <v>11009</v>
      </c>
      <c r="D1560" s="1">
        <v>28</v>
      </c>
      <c r="E1560" s="1">
        <v>2</v>
      </c>
      <c r="F1560" s="1" t="s">
        <v>10744</v>
      </c>
      <c r="G1560" s="1" t="s">
        <v>10781</v>
      </c>
      <c r="I1560" s="1" t="s">
        <v>94</v>
      </c>
      <c r="K1560" s="4" t="s">
        <v>95</v>
      </c>
      <c r="L1560" s="4" t="s">
        <v>3636</v>
      </c>
      <c r="N1560" s="54">
        <v>28</v>
      </c>
      <c r="O1560" s="55">
        <v>3</v>
      </c>
      <c r="Q1560" s="57">
        <v>1</v>
      </c>
      <c r="R1560" s="58">
        <v>1</v>
      </c>
      <c r="S1560" s="59">
        <v>2</v>
      </c>
      <c r="V1560" s="4" t="s">
        <v>10782</v>
      </c>
      <c r="AP1560" s="1"/>
    </row>
    <row r="1561" spans="1:42" ht="36" x14ac:dyDescent="0.2">
      <c r="A1561" s="1" t="s">
        <v>10683</v>
      </c>
      <c r="B1561" s="1" t="s">
        <v>10783</v>
      </c>
      <c r="C1561" s="1" t="s">
        <v>11009</v>
      </c>
      <c r="D1561" s="1">
        <v>29</v>
      </c>
      <c r="E1561" s="1">
        <v>1</v>
      </c>
      <c r="F1561" s="1" t="s">
        <v>10744</v>
      </c>
      <c r="G1561" s="1" t="s">
        <v>10784</v>
      </c>
      <c r="H1561" s="1" t="s">
        <v>26</v>
      </c>
      <c r="I1561" s="1" t="s">
        <v>104</v>
      </c>
      <c r="K1561" s="4" t="s">
        <v>1178</v>
      </c>
      <c r="L1561" s="4" t="s">
        <v>331</v>
      </c>
      <c r="O1561" s="55">
        <v>4</v>
      </c>
      <c r="T1561" s="60">
        <v>6</v>
      </c>
      <c r="U1561" s="1">
        <v>1</v>
      </c>
      <c r="V1561" s="4" t="s">
        <v>10785</v>
      </c>
      <c r="AP1561" s="1"/>
    </row>
    <row r="1562" spans="1:42" ht="60" x14ac:dyDescent="0.2">
      <c r="A1562" s="1" t="s">
        <v>10683</v>
      </c>
      <c r="B1562" s="1" t="s">
        <v>10786</v>
      </c>
      <c r="C1562" s="1" t="s">
        <v>11009</v>
      </c>
      <c r="D1562" s="1">
        <v>30</v>
      </c>
      <c r="E1562" s="1">
        <v>1</v>
      </c>
      <c r="F1562" s="1" t="s">
        <v>10744</v>
      </c>
      <c r="G1562" s="1" t="s">
        <v>5250</v>
      </c>
      <c r="H1562" s="1" t="s">
        <v>26</v>
      </c>
      <c r="I1562" s="1" t="s">
        <v>104</v>
      </c>
      <c r="K1562" s="4" t="s">
        <v>2756</v>
      </c>
      <c r="L1562" s="4" t="s">
        <v>331</v>
      </c>
      <c r="O1562" s="55">
        <v>1</v>
      </c>
      <c r="T1562" s="60">
        <v>9</v>
      </c>
      <c r="V1562" s="4" t="s">
        <v>10787</v>
      </c>
      <c r="AP1562" s="1"/>
    </row>
    <row r="1563" spans="1:42" ht="24" x14ac:dyDescent="0.2">
      <c r="A1563" s="1" t="s">
        <v>10683</v>
      </c>
      <c r="B1563" s="1" t="s">
        <v>10788</v>
      </c>
      <c r="C1563" s="1" t="s">
        <v>11009</v>
      </c>
      <c r="D1563" s="1">
        <v>31</v>
      </c>
      <c r="E1563" s="1">
        <v>1</v>
      </c>
      <c r="F1563" s="1" t="s">
        <v>10744</v>
      </c>
      <c r="G1563" s="1" t="s">
        <v>10789</v>
      </c>
      <c r="I1563" s="1" t="s">
        <v>104</v>
      </c>
      <c r="K1563" s="4" t="s">
        <v>1217</v>
      </c>
      <c r="L1563" s="4" t="s">
        <v>10790</v>
      </c>
      <c r="O1563" s="55">
        <v>3</v>
      </c>
      <c r="T1563" s="60">
        <v>6</v>
      </c>
      <c r="V1563" s="4" t="s">
        <v>10791</v>
      </c>
      <c r="AP1563" s="1"/>
    </row>
    <row r="1564" spans="1:42" ht="60" x14ac:dyDescent="0.2">
      <c r="A1564" s="1" t="s">
        <v>10683</v>
      </c>
      <c r="B1564" s="1" t="s">
        <v>10792</v>
      </c>
      <c r="C1564" s="1" t="s">
        <v>11009</v>
      </c>
      <c r="D1564" s="1">
        <v>32</v>
      </c>
      <c r="E1564" s="1">
        <v>3</v>
      </c>
      <c r="F1564" s="1" t="s">
        <v>10744</v>
      </c>
      <c r="G1564" s="1" t="s">
        <v>10793</v>
      </c>
      <c r="I1564" s="1" t="s">
        <v>104</v>
      </c>
      <c r="K1564" s="4" t="s">
        <v>1217</v>
      </c>
      <c r="L1564" s="4"/>
      <c r="O1564" s="55">
        <v>2</v>
      </c>
      <c r="T1564" s="60">
        <v>4</v>
      </c>
      <c r="V1564" s="4" t="s">
        <v>10794</v>
      </c>
      <c r="AP1564" s="1"/>
    </row>
    <row r="1565" spans="1:42" ht="84" x14ac:dyDescent="0.2">
      <c r="A1565" s="1" t="s">
        <v>10683</v>
      </c>
      <c r="B1565" s="1" t="s">
        <v>10795</v>
      </c>
      <c r="C1565" s="1" t="s">
        <v>11009</v>
      </c>
      <c r="D1565" s="1">
        <v>33</v>
      </c>
      <c r="E1565" s="1">
        <v>3</v>
      </c>
      <c r="F1565" s="1" t="s">
        <v>10744</v>
      </c>
      <c r="G1565" s="1" t="s">
        <v>10796</v>
      </c>
      <c r="I1565" s="1" t="s">
        <v>104</v>
      </c>
      <c r="K1565" s="4" t="s">
        <v>1217</v>
      </c>
      <c r="L1565" s="4"/>
      <c r="O1565" s="55">
        <v>4</v>
      </c>
      <c r="T1565" s="60">
        <v>5</v>
      </c>
      <c r="V1565" s="4" t="s">
        <v>10797</v>
      </c>
      <c r="AP1565" s="1"/>
    </row>
    <row r="1566" spans="1:42" ht="24" x14ac:dyDescent="0.2">
      <c r="A1566" s="1" t="s">
        <v>10683</v>
      </c>
      <c r="B1566" s="1" t="s">
        <v>10798</v>
      </c>
      <c r="C1566" s="1" t="s">
        <v>11009</v>
      </c>
      <c r="D1566" s="1">
        <v>34</v>
      </c>
      <c r="E1566" s="1">
        <v>3</v>
      </c>
      <c r="F1566" s="1" t="s">
        <v>10744</v>
      </c>
      <c r="G1566" s="1" t="s">
        <v>10799</v>
      </c>
      <c r="I1566" s="1" t="s">
        <v>104</v>
      </c>
      <c r="K1566" s="4" t="s">
        <v>1217</v>
      </c>
      <c r="L1566" s="4"/>
      <c r="O1566" s="55">
        <v>3</v>
      </c>
      <c r="T1566" s="60">
        <v>4</v>
      </c>
      <c r="V1566" s="4" t="s">
        <v>10800</v>
      </c>
      <c r="W1566" s="4" t="s">
        <v>10801</v>
      </c>
      <c r="AP1566" s="1"/>
    </row>
    <row r="1567" spans="1:42" ht="24" x14ac:dyDescent="0.2">
      <c r="A1567" s="1" t="s">
        <v>10683</v>
      </c>
      <c r="B1567" s="1" t="s">
        <v>10802</v>
      </c>
      <c r="C1567" s="1" t="s">
        <v>11009</v>
      </c>
      <c r="D1567" s="1">
        <v>35</v>
      </c>
      <c r="E1567" s="1">
        <v>2</v>
      </c>
      <c r="F1567" s="1" t="s">
        <v>10744</v>
      </c>
      <c r="G1567" s="1" t="s">
        <v>10803</v>
      </c>
      <c r="I1567" s="1" t="s">
        <v>82</v>
      </c>
      <c r="K1567" s="4"/>
      <c r="L1567" s="4"/>
      <c r="V1567" s="4" t="s">
        <v>10804</v>
      </c>
      <c r="W1567" s="4" t="s">
        <v>10805</v>
      </c>
      <c r="AP1567" s="1"/>
    </row>
    <row r="1568" spans="1:42" ht="48" x14ac:dyDescent="0.2">
      <c r="A1568" s="1" t="s">
        <v>10683</v>
      </c>
      <c r="B1568" s="1" t="s">
        <v>10806</v>
      </c>
      <c r="C1568" s="1" t="s">
        <v>11009</v>
      </c>
      <c r="D1568" s="1">
        <v>36</v>
      </c>
      <c r="E1568" s="1">
        <v>2</v>
      </c>
      <c r="F1568" s="1" t="s">
        <v>10744</v>
      </c>
      <c r="G1568" s="1" t="s">
        <v>9600</v>
      </c>
      <c r="I1568" s="1" t="s">
        <v>82</v>
      </c>
      <c r="K1568" s="4" t="s">
        <v>10807</v>
      </c>
      <c r="L1568" s="4"/>
      <c r="V1568" s="4" t="s">
        <v>10808</v>
      </c>
      <c r="AP1568" s="1"/>
    </row>
    <row r="1569" spans="1:42" ht="24" x14ac:dyDescent="0.2">
      <c r="A1569" s="1" t="s">
        <v>10683</v>
      </c>
      <c r="B1569" s="1" t="s">
        <v>10809</v>
      </c>
      <c r="C1569" s="1" t="s">
        <v>11009</v>
      </c>
      <c r="D1569" s="1">
        <v>37</v>
      </c>
      <c r="E1569" s="1">
        <v>2</v>
      </c>
      <c r="F1569" s="1" t="s">
        <v>10744</v>
      </c>
      <c r="G1569" s="1" t="s">
        <v>2141</v>
      </c>
      <c r="I1569" s="1" t="s">
        <v>82</v>
      </c>
      <c r="K1569" s="4" t="s">
        <v>10807</v>
      </c>
      <c r="L1569" s="4"/>
      <c r="V1569" s="4" t="s">
        <v>10810</v>
      </c>
      <c r="W1569" s="4" t="s">
        <v>3638</v>
      </c>
      <c r="AP1569" s="1"/>
    </row>
    <row r="1570" spans="1:42" ht="48" x14ac:dyDescent="0.2">
      <c r="A1570" s="1" t="s">
        <v>10683</v>
      </c>
      <c r="B1570" s="1" t="s">
        <v>10811</v>
      </c>
      <c r="C1570" s="1" t="s">
        <v>11009</v>
      </c>
      <c r="D1570" s="1">
        <v>38</v>
      </c>
      <c r="E1570" s="1">
        <v>3</v>
      </c>
      <c r="F1570" s="1" t="s">
        <v>10744</v>
      </c>
      <c r="G1570" s="1" t="s">
        <v>10812</v>
      </c>
      <c r="I1570" s="1" t="s">
        <v>82</v>
      </c>
      <c r="K1570" s="4"/>
      <c r="L1570" s="4" t="s">
        <v>3636</v>
      </c>
      <c r="V1570" s="4" t="s">
        <v>10813</v>
      </c>
      <c r="AP1570" s="1"/>
    </row>
    <row r="1571" spans="1:42" ht="60" x14ac:dyDescent="0.2">
      <c r="A1571" s="111" t="s">
        <v>10683</v>
      </c>
      <c r="B1571" s="111" t="s">
        <v>10814</v>
      </c>
      <c r="C1571" s="111" t="s">
        <v>11009</v>
      </c>
      <c r="D1571" s="111">
        <v>39</v>
      </c>
      <c r="E1571" s="111">
        <v>1</v>
      </c>
      <c r="F1571" s="111" t="s">
        <v>10815</v>
      </c>
      <c r="G1571" s="111" t="s">
        <v>10816</v>
      </c>
      <c r="I1571" s="1" t="s">
        <v>3482</v>
      </c>
      <c r="K1571" s="4"/>
      <c r="L1571" s="4" t="s">
        <v>3483</v>
      </c>
      <c r="V1571" s="4" t="s">
        <v>10817</v>
      </c>
      <c r="X1571" s="137" t="s">
        <v>3526</v>
      </c>
      <c r="Y1571" s="1" t="s">
        <v>10816</v>
      </c>
      <c r="AA1571" s="1" t="s">
        <v>3482</v>
      </c>
      <c r="AN1571" s="4" t="s">
        <v>10818</v>
      </c>
      <c r="AP1571" s="1"/>
    </row>
    <row r="1572" spans="1:42" ht="48" x14ac:dyDescent="0.2">
      <c r="A1572" s="1" t="s">
        <v>10683</v>
      </c>
      <c r="B1572" s="1" t="s">
        <v>10819</v>
      </c>
      <c r="C1572" s="1" t="s">
        <v>11009</v>
      </c>
      <c r="D1572" s="1">
        <v>40</v>
      </c>
      <c r="E1572" s="1">
        <v>1</v>
      </c>
      <c r="F1572" s="1" t="s">
        <v>10816</v>
      </c>
      <c r="G1572" s="1" t="s">
        <v>10820</v>
      </c>
      <c r="I1572" s="1" t="s">
        <v>125</v>
      </c>
      <c r="K1572" s="4"/>
      <c r="L1572" s="4"/>
      <c r="M1572" s="18">
        <v>1</v>
      </c>
      <c r="N1572" s="54" t="s">
        <v>9529</v>
      </c>
      <c r="V1572" s="4" t="s">
        <v>10821</v>
      </c>
      <c r="X1572" s="1" t="s">
        <v>10822</v>
      </c>
      <c r="Y1572" s="1" t="s">
        <v>10820</v>
      </c>
      <c r="AA1572" s="1" t="s">
        <v>125</v>
      </c>
      <c r="AE1572" s="1">
        <v>1</v>
      </c>
      <c r="AF1572" s="54" t="s">
        <v>9530</v>
      </c>
      <c r="AL1572" s="60">
        <v>14</v>
      </c>
      <c r="AN1572" s="4" t="s">
        <v>10823</v>
      </c>
      <c r="AP1572" s="1"/>
    </row>
    <row r="1573" spans="1:42" ht="84" x14ac:dyDescent="0.2">
      <c r="A1573" s="1" t="s">
        <v>10683</v>
      </c>
      <c r="B1573" s="1" t="s">
        <v>10824</v>
      </c>
      <c r="C1573" s="1" t="s">
        <v>11009</v>
      </c>
      <c r="D1573" s="1">
        <v>41</v>
      </c>
      <c r="E1573" s="1">
        <v>1</v>
      </c>
      <c r="F1573" s="1" t="s">
        <v>10816</v>
      </c>
      <c r="G1573" s="1" t="s">
        <v>10825</v>
      </c>
      <c r="I1573" s="1" t="s">
        <v>125</v>
      </c>
      <c r="K1573" s="4"/>
      <c r="L1573" s="4"/>
      <c r="M1573" s="18">
        <v>2</v>
      </c>
      <c r="N1573" s="54" t="s">
        <v>9529</v>
      </c>
      <c r="V1573" s="4" t="s">
        <v>10826</v>
      </c>
      <c r="Y1573" s="1" t="s">
        <v>10825</v>
      </c>
      <c r="AA1573" s="1" t="s">
        <v>125</v>
      </c>
      <c r="AE1573" s="1">
        <v>2</v>
      </c>
      <c r="AF1573" s="54" t="s">
        <v>9530</v>
      </c>
      <c r="AL1573" s="60">
        <v>9</v>
      </c>
      <c r="AN1573" s="4" t="s">
        <v>10827</v>
      </c>
      <c r="AP1573" s="1"/>
    </row>
    <row r="1574" spans="1:42" ht="48" x14ac:dyDescent="0.2">
      <c r="A1574" s="1" t="s">
        <v>10683</v>
      </c>
      <c r="B1574" s="1" t="s">
        <v>10828</v>
      </c>
      <c r="C1574" s="1" t="s">
        <v>11009</v>
      </c>
      <c r="D1574" s="1">
        <v>42</v>
      </c>
      <c r="E1574" s="1">
        <v>1</v>
      </c>
      <c r="F1574" s="1" t="s">
        <v>10816</v>
      </c>
      <c r="G1574" s="1" t="s">
        <v>10829</v>
      </c>
      <c r="I1574" s="1" t="s">
        <v>125</v>
      </c>
      <c r="K1574" s="4"/>
      <c r="L1574" s="4"/>
      <c r="M1574" s="18">
        <v>3</v>
      </c>
      <c r="N1574" s="54" t="s">
        <v>9529</v>
      </c>
      <c r="V1574" s="4" t="s">
        <v>10830</v>
      </c>
      <c r="Y1574" s="1" t="s">
        <v>10831</v>
      </c>
      <c r="AA1574" s="1" t="s">
        <v>125</v>
      </c>
      <c r="AE1574" s="1">
        <v>3</v>
      </c>
      <c r="AF1574" s="54" t="s">
        <v>9530</v>
      </c>
      <c r="AL1574" s="60">
        <v>15</v>
      </c>
      <c r="AN1574" s="4" t="s">
        <v>10832</v>
      </c>
      <c r="AP1574" s="1"/>
    </row>
    <row r="1575" spans="1:42" ht="72" x14ac:dyDescent="0.2">
      <c r="A1575" s="1" t="s">
        <v>10683</v>
      </c>
      <c r="B1575" s="1" t="s">
        <v>10833</v>
      </c>
      <c r="C1575" s="1" t="s">
        <v>11009</v>
      </c>
      <c r="D1575" s="1">
        <v>43</v>
      </c>
      <c r="E1575" s="1">
        <v>1</v>
      </c>
      <c r="F1575" s="1" t="s">
        <v>10816</v>
      </c>
      <c r="G1575" s="1" t="s">
        <v>10834</v>
      </c>
      <c r="I1575" s="1" t="s">
        <v>88</v>
      </c>
      <c r="K1575" s="4" t="s">
        <v>10835</v>
      </c>
      <c r="L1575" s="4"/>
      <c r="V1575" s="4" t="s">
        <v>10836</v>
      </c>
      <c r="AP1575" s="1"/>
    </row>
    <row r="1576" spans="1:42" ht="48" x14ac:dyDescent="0.2">
      <c r="A1576" s="1" t="s">
        <v>10683</v>
      </c>
      <c r="B1576" s="1" t="s">
        <v>10837</v>
      </c>
      <c r="C1576" s="1" t="s">
        <v>11009</v>
      </c>
      <c r="D1576" s="1">
        <v>44</v>
      </c>
      <c r="E1576" s="1">
        <v>1</v>
      </c>
      <c r="F1576" s="1" t="s">
        <v>10816</v>
      </c>
      <c r="G1576" s="1" t="s">
        <v>10838</v>
      </c>
      <c r="H1576" s="1" t="s">
        <v>26</v>
      </c>
      <c r="I1576" s="1" t="s">
        <v>94</v>
      </c>
      <c r="K1576" s="4" t="s">
        <v>10839</v>
      </c>
      <c r="L1576" s="4" t="s">
        <v>10840</v>
      </c>
      <c r="N1576" s="54">
        <v>50</v>
      </c>
      <c r="O1576" s="55">
        <v>5</v>
      </c>
      <c r="Q1576" s="57">
        <v>8</v>
      </c>
      <c r="R1576" s="58">
        <v>9</v>
      </c>
      <c r="S1576" s="59">
        <v>25</v>
      </c>
      <c r="U1576" s="1">
        <v>50</v>
      </c>
      <c r="V1576" s="4" t="s">
        <v>10841</v>
      </c>
      <c r="AP1576" s="1"/>
    </row>
    <row r="1577" spans="1:42" ht="24" x14ac:dyDescent="0.2">
      <c r="A1577" s="1" t="s">
        <v>10683</v>
      </c>
      <c r="B1577" s="1" t="s">
        <v>10842</v>
      </c>
      <c r="C1577" s="1" t="s">
        <v>11009</v>
      </c>
      <c r="D1577" s="1">
        <v>45</v>
      </c>
      <c r="E1577" s="1">
        <v>1</v>
      </c>
      <c r="F1577" s="1" t="s">
        <v>10816</v>
      </c>
      <c r="G1577" s="1" t="s">
        <v>10843</v>
      </c>
      <c r="I1577" s="1" t="s">
        <v>94</v>
      </c>
      <c r="K1577" s="4" t="s">
        <v>2266</v>
      </c>
      <c r="L1577" s="4" t="s">
        <v>10844</v>
      </c>
      <c r="N1577" s="54">
        <v>40</v>
      </c>
      <c r="O1577" s="55">
        <v>4</v>
      </c>
      <c r="Q1577" s="57">
        <v>4</v>
      </c>
      <c r="R1577" s="58">
        <v>3</v>
      </c>
      <c r="S1577" s="59">
        <v>6</v>
      </c>
      <c r="V1577" s="4" t="s">
        <v>10845</v>
      </c>
      <c r="AP1577" s="1"/>
    </row>
    <row r="1578" spans="1:42" ht="36" x14ac:dyDescent="0.2">
      <c r="A1578" s="1" t="s">
        <v>10683</v>
      </c>
      <c r="B1578" s="1" t="s">
        <v>10846</v>
      </c>
      <c r="C1578" s="1" t="s">
        <v>11009</v>
      </c>
      <c r="D1578" s="1">
        <v>46</v>
      </c>
      <c r="E1578" s="1">
        <v>2</v>
      </c>
      <c r="F1578" s="1" t="s">
        <v>10816</v>
      </c>
      <c r="G1578" s="1" t="s">
        <v>2804</v>
      </c>
      <c r="I1578" s="1" t="s">
        <v>94</v>
      </c>
      <c r="K1578" s="4" t="s">
        <v>287</v>
      </c>
      <c r="L1578" s="4" t="s">
        <v>3504</v>
      </c>
      <c r="N1578" s="54">
        <v>36</v>
      </c>
      <c r="O1578" s="55">
        <v>3</v>
      </c>
      <c r="Q1578" s="57">
        <v>6</v>
      </c>
      <c r="R1578" s="58">
        <v>4</v>
      </c>
      <c r="S1578" s="59">
        <v>6</v>
      </c>
      <c r="V1578" s="4" t="s">
        <v>10847</v>
      </c>
      <c r="AP1578" s="1"/>
    </row>
    <row r="1579" spans="1:42" ht="24" x14ac:dyDescent="0.2">
      <c r="A1579" s="1" t="s">
        <v>10683</v>
      </c>
      <c r="B1579" s="1" t="s">
        <v>10848</v>
      </c>
      <c r="C1579" s="1" t="s">
        <v>11009</v>
      </c>
      <c r="D1579" s="1">
        <v>47</v>
      </c>
      <c r="E1579" s="1">
        <v>3</v>
      </c>
      <c r="F1579" s="1" t="s">
        <v>10816</v>
      </c>
      <c r="G1579" s="1" t="s">
        <v>10849</v>
      </c>
      <c r="I1579" s="1" t="s">
        <v>94</v>
      </c>
      <c r="K1579" s="4" t="s">
        <v>2266</v>
      </c>
      <c r="L1579" s="4"/>
      <c r="N1579" s="54">
        <v>34</v>
      </c>
      <c r="O1579" s="55">
        <v>2</v>
      </c>
      <c r="Q1579" s="57">
        <v>4</v>
      </c>
      <c r="R1579" s="58">
        <v>2</v>
      </c>
      <c r="S1579" s="59">
        <v>5</v>
      </c>
      <c r="V1579" s="4" t="s">
        <v>10850</v>
      </c>
      <c r="W1579" s="4" t="s">
        <v>10851</v>
      </c>
      <c r="AP1579" s="1"/>
    </row>
    <row r="1580" spans="1:42" ht="24" x14ac:dyDescent="0.2">
      <c r="A1580" s="1" t="s">
        <v>10683</v>
      </c>
      <c r="B1580" s="1" t="s">
        <v>10852</v>
      </c>
      <c r="C1580" s="1" t="s">
        <v>11009</v>
      </c>
      <c r="D1580" s="1">
        <v>48</v>
      </c>
      <c r="E1580" s="1">
        <v>3</v>
      </c>
      <c r="F1580" s="1" t="s">
        <v>10816</v>
      </c>
      <c r="G1580" s="1" t="s">
        <v>10853</v>
      </c>
      <c r="I1580" s="1" t="s">
        <v>94</v>
      </c>
      <c r="K1580" s="4" t="s">
        <v>944</v>
      </c>
      <c r="L1580" s="4"/>
      <c r="N1580" s="54">
        <v>38</v>
      </c>
      <c r="O1580" s="55">
        <v>2</v>
      </c>
      <c r="Q1580" s="57">
        <v>3</v>
      </c>
      <c r="R1580" s="58">
        <v>1</v>
      </c>
      <c r="S1580" s="59">
        <v>3</v>
      </c>
      <c r="V1580" s="4" t="s">
        <v>10854</v>
      </c>
      <c r="W1580" s="4" t="s">
        <v>10855</v>
      </c>
      <c r="AP1580" s="1"/>
    </row>
    <row r="1581" spans="1:42" ht="36" x14ac:dyDescent="0.2">
      <c r="A1581" s="1" t="s">
        <v>10683</v>
      </c>
      <c r="B1581" s="1" t="s">
        <v>10856</v>
      </c>
      <c r="C1581" s="1" t="s">
        <v>11009</v>
      </c>
      <c r="D1581" s="1">
        <v>49</v>
      </c>
      <c r="E1581" s="1">
        <v>3</v>
      </c>
      <c r="F1581" s="1" t="s">
        <v>10816</v>
      </c>
      <c r="G1581" s="1" t="s">
        <v>10857</v>
      </c>
      <c r="I1581" s="1" t="s">
        <v>94</v>
      </c>
      <c r="K1581" s="4" t="s">
        <v>944</v>
      </c>
      <c r="L1581" s="4" t="s">
        <v>10858</v>
      </c>
      <c r="N1581" s="54">
        <v>42</v>
      </c>
      <c r="O1581" s="55" t="s">
        <v>113</v>
      </c>
      <c r="Q1581" s="57">
        <v>3</v>
      </c>
      <c r="R1581" s="58">
        <v>3</v>
      </c>
      <c r="S1581" s="59">
        <v>3</v>
      </c>
      <c r="V1581" s="4" t="s">
        <v>10859</v>
      </c>
      <c r="AP1581" s="1"/>
    </row>
    <row r="1582" spans="1:42" ht="48" x14ac:dyDescent="0.2">
      <c r="A1582" s="1" t="s">
        <v>10683</v>
      </c>
      <c r="B1582" s="1" t="s">
        <v>10860</v>
      </c>
      <c r="C1582" s="1" t="s">
        <v>11009</v>
      </c>
      <c r="D1582" s="1">
        <v>50</v>
      </c>
      <c r="E1582" s="1">
        <v>1</v>
      </c>
      <c r="F1582" s="1" t="s">
        <v>10816</v>
      </c>
      <c r="G1582" s="1" t="s">
        <v>10861</v>
      </c>
      <c r="H1582" s="1" t="s">
        <v>26</v>
      </c>
      <c r="I1582" s="1" t="s">
        <v>104</v>
      </c>
      <c r="K1582" s="4" t="s">
        <v>2706</v>
      </c>
      <c r="L1582" s="4" t="s">
        <v>331</v>
      </c>
      <c r="O1582" s="55">
        <v>5</v>
      </c>
      <c r="T1582" s="60">
        <v>5</v>
      </c>
      <c r="U1582" s="1">
        <v>5</v>
      </c>
      <c r="V1582" s="4" t="s">
        <v>10862</v>
      </c>
      <c r="AP1582" s="1"/>
    </row>
    <row r="1583" spans="1:42" ht="60" x14ac:dyDescent="0.2">
      <c r="A1583" s="1" t="s">
        <v>10683</v>
      </c>
      <c r="B1583" s="1" t="s">
        <v>10863</v>
      </c>
      <c r="C1583" s="1" t="s">
        <v>11009</v>
      </c>
      <c r="D1583" s="1">
        <v>51</v>
      </c>
      <c r="E1583" s="1">
        <v>1</v>
      </c>
      <c r="F1583" s="1" t="s">
        <v>10816</v>
      </c>
      <c r="G1583" s="1" t="s">
        <v>10864</v>
      </c>
      <c r="H1583" s="1" t="s">
        <v>26</v>
      </c>
      <c r="I1583" s="1" t="s">
        <v>104</v>
      </c>
      <c r="K1583" s="4" t="s">
        <v>1112</v>
      </c>
      <c r="L1583" s="4" t="s">
        <v>331</v>
      </c>
      <c r="O1583" s="55">
        <v>4</v>
      </c>
      <c r="T1583" s="60">
        <v>4</v>
      </c>
      <c r="U1583" s="1">
        <v>4</v>
      </c>
      <c r="V1583" s="4" t="s">
        <v>10865</v>
      </c>
      <c r="AP1583" s="1"/>
    </row>
    <row r="1584" spans="1:42" ht="36" x14ac:dyDescent="0.2">
      <c r="A1584" s="1" t="s">
        <v>10683</v>
      </c>
      <c r="B1584" s="1" t="s">
        <v>10866</v>
      </c>
      <c r="C1584" s="1" t="s">
        <v>11009</v>
      </c>
      <c r="D1584" s="1">
        <v>52</v>
      </c>
      <c r="E1584" s="1">
        <v>4</v>
      </c>
      <c r="F1584" s="1" t="s">
        <v>10816</v>
      </c>
      <c r="G1584" s="1" t="s">
        <v>10867</v>
      </c>
      <c r="I1584" s="1" t="s">
        <v>104</v>
      </c>
      <c r="K1584" s="4" t="s">
        <v>1112</v>
      </c>
      <c r="L1584" s="4"/>
      <c r="O1584" s="55">
        <v>2</v>
      </c>
      <c r="T1584" s="60">
        <v>4</v>
      </c>
      <c r="V1584" s="4" t="s">
        <v>10868</v>
      </c>
      <c r="W1584" s="4" t="s">
        <v>10869</v>
      </c>
      <c r="AP1584" s="1"/>
    </row>
    <row r="1585" spans="1:42" ht="24" x14ac:dyDescent="0.2">
      <c r="A1585" s="1" t="s">
        <v>10683</v>
      </c>
      <c r="B1585" s="1" t="s">
        <v>10870</v>
      </c>
      <c r="C1585" s="1" t="s">
        <v>11009</v>
      </c>
      <c r="D1585" s="1">
        <v>53</v>
      </c>
      <c r="E1585" s="1">
        <v>4</v>
      </c>
      <c r="F1585" s="1" t="s">
        <v>10816</v>
      </c>
      <c r="G1585" s="1" t="s">
        <v>10871</v>
      </c>
      <c r="I1585" s="1" t="s">
        <v>104</v>
      </c>
      <c r="K1585" s="4" t="s">
        <v>1112</v>
      </c>
      <c r="L1585" s="4"/>
      <c r="O1585" s="55">
        <v>1</v>
      </c>
      <c r="T1585" s="60">
        <v>6</v>
      </c>
      <c r="V1585" s="4" t="s">
        <v>10872</v>
      </c>
      <c r="W1585" s="4" t="s">
        <v>10873</v>
      </c>
      <c r="AP1585" s="1"/>
    </row>
    <row r="1586" spans="1:42" ht="36" x14ac:dyDescent="0.2">
      <c r="A1586" s="1" t="s">
        <v>10683</v>
      </c>
      <c r="B1586" s="1" t="s">
        <v>10874</v>
      </c>
      <c r="C1586" s="1" t="s">
        <v>11009</v>
      </c>
      <c r="D1586" s="1">
        <v>54</v>
      </c>
      <c r="E1586" s="1">
        <v>2</v>
      </c>
      <c r="F1586" s="1" t="s">
        <v>10816</v>
      </c>
      <c r="G1586" s="1" t="s">
        <v>10875</v>
      </c>
      <c r="I1586" s="1" t="s">
        <v>104</v>
      </c>
      <c r="K1586" s="4" t="s">
        <v>1112</v>
      </c>
      <c r="L1586" s="4"/>
      <c r="O1586" s="55">
        <v>4</v>
      </c>
      <c r="T1586" s="60">
        <v>2</v>
      </c>
      <c r="V1586" s="4" t="s">
        <v>10876</v>
      </c>
      <c r="AP1586" s="1"/>
    </row>
    <row r="1587" spans="1:42" ht="60" x14ac:dyDescent="0.2">
      <c r="A1587" s="1" t="s">
        <v>10683</v>
      </c>
      <c r="B1587" s="1" t="s">
        <v>10877</v>
      </c>
      <c r="C1587" s="1" t="s">
        <v>11009</v>
      </c>
      <c r="D1587" s="1">
        <v>55</v>
      </c>
      <c r="E1587" s="1">
        <v>2</v>
      </c>
      <c r="F1587" s="1" t="s">
        <v>10816</v>
      </c>
      <c r="G1587" s="1" t="s">
        <v>10878</v>
      </c>
      <c r="I1587" s="1" t="s">
        <v>104</v>
      </c>
      <c r="K1587" s="4" t="s">
        <v>1112</v>
      </c>
      <c r="L1587" s="4"/>
      <c r="O1587" s="55">
        <v>3</v>
      </c>
      <c r="T1587" s="60">
        <v>3</v>
      </c>
      <c r="V1587" s="4" t="s">
        <v>10879</v>
      </c>
      <c r="AP1587" s="1"/>
    </row>
    <row r="1588" spans="1:42" ht="48" x14ac:dyDescent="0.2">
      <c r="A1588" s="1" t="s">
        <v>10683</v>
      </c>
      <c r="B1588" s="1" t="s">
        <v>10880</v>
      </c>
      <c r="C1588" s="1" t="s">
        <v>11009</v>
      </c>
      <c r="D1588" s="1">
        <v>56</v>
      </c>
      <c r="E1588" s="1">
        <v>2</v>
      </c>
      <c r="F1588" s="1" t="s">
        <v>10816</v>
      </c>
      <c r="G1588" s="1" t="s">
        <v>10881</v>
      </c>
      <c r="I1588" s="1" t="s">
        <v>82</v>
      </c>
      <c r="K1588" s="4"/>
      <c r="L1588" s="4" t="s">
        <v>1233</v>
      </c>
      <c r="V1588" s="4" t="s">
        <v>10882</v>
      </c>
      <c r="AP1588" s="1"/>
    </row>
    <row r="1589" spans="1:42" ht="24" x14ac:dyDescent="0.2">
      <c r="A1589" s="1" t="s">
        <v>10683</v>
      </c>
      <c r="B1589" s="1" t="s">
        <v>10883</v>
      </c>
      <c r="C1589" s="1" t="s">
        <v>11009</v>
      </c>
      <c r="D1589" s="1">
        <v>57</v>
      </c>
      <c r="E1589" s="1">
        <v>3</v>
      </c>
      <c r="F1589" s="1" t="s">
        <v>10816</v>
      </c>
      <c r="G1589" s="1" t="s">
        <v>10884</v>
      </c>
      <c r="I1589" s="1" t="s">
        <v>82</v>
      </c>
      <c r="K1589" s="4"/>
      <c r="L1589" s="4"/>
      <c r="V1589" s="4" t="s">
        <v>10885</v>
      </c>
      <c r="W1589" s="4" t="s">
        <v>10886</v>
      </c>
      <c r="AP1589" s="1"/>
    </row>
    <row r="1590" spans="1:42" ht="36" x14ac:dyDescent="0.2">
      <c r="A1590" s="1" t="s">
        <v>10683</v>
      </c>
      <c r="B1590" s="1" t="s">
        <v>10887</v>
      </c>
      <c r="C1590" s="1" t="s">
        <v>11009</v>
      </c>
      <c r="D1590" s="1">
        <v>58</v>
      </c>
      <c r="E1590" s="1">
        <v>3</v>
      </c>
      <c r="F1590" s="1" t="s">
        <v>10816</v>
      </c>
      <c r="G1590" s="1" t="s">
        <v>10888</v>
      </c>
      <c r="I1590" s="1" t="s">
        <v>82</v>
      </c>
      <c r="K1590" s="4" t="s">
        <v>2713</v>
      </c>
      <c r="L1590" s="4" t="s">
        <v>3636</v>
      </c>
      <c r="V1590" s="4" t="s">
        <v>10889</v>
      </c>
      <c r="AP1590" s="1"/>
    </row>
    <row r="1591" spans="1:42" ht="24" x14ac:dyDescent="0.2">
      <c r="A1591" s="1" t="s">
        <v>10683</v>
      </c>
      <c r="B1591" s="1" t="s">
        <v>10890</v>
      </c>
      <c r="C1591" s="1" t="s">
        <v>11009</v>
      </c>
      <c r="D1591" s="1">
        <v>59</v>
      </c>
      <c r="E1591" s="1">
        <v>2</v>
      </c>
      <c r="F1591" s="1" t="s">
        <v>10816</v>
      </c>
      <c r="G1591" s="1" t="s">
        <v>10891</v>
      </c>
      <c r="I1591" s="1" t="s">
        <v>82</v>
      </c>
      <c r="K1591" s="4"/>
      <c r="L1591" s="4" t="s">
        <v>685</v>
      </c>
      <c r="V1591" s="4" t="s">
        <v>10892</v>
      </c>
      <c r="W1591" s="4" t="s">
        <v>10893</v>
      </c>
      <c r="AP1591" s="1"/>
    </row>
    <row r="1592" spans="1:42" ht="108" x14ac:dyDescent="0.2">
      <c r="A1592" s="111" t="s">
        <v>10683</v>
      </c>
      <c r="B1592" s="111" t="s">
        <v>10894</v>
      </c>
      <c r="C1592" s="111" t="s">
        <v>11009</v>
      </c>
      <c r="D1592" s="111">
        <v>60</v>
      </c>
      <c r="E1592" s="111">
        <v>1</v>
      </c>
      <c r="F1592" s="111" t="s">
        <v>10895</v>
      </c>
      <c r="G1592" s="111" t="s">
        <v>10896</v>
      </c>
      <c r="I1592" s="1" t="s">
        <v>3482</v>
      </c>
      <c r="K1592" s="4"/>
      <c r="L1592" s="4" t="s">
        <v>3483</v>
      </c>
      <c r="V1592" s="4" t="s">
        <v>10897</v>
      </c>
      <c r="X1592" s="137" t="s">
        <v>10898</v>
      </c>
      <c r="Y1592" s="1" t="s">
        <v>10896</v>
      </c>
      <c r="AA1592" s="1" t="s">
        <v>3482</v>
      </c>
      <c r="AN1592" s="4" t="s">
        <v>10899</v>
      </c>
      <c r="AP1592" s="1"/>
    </row>
    <row r="1593" spans="1:42" ht="36" x14ac:dyDescent="0.2">
      <c r="A1593" s="1" t="s">
        <v>10683</v>
      </c>
      <c r="B1593" s="1" t="s">
        <v>10900</v>
      </c>
      <c r="C1593" s="1" t="s">
        <v>11009</v>
      </c>
      <c r="D1593" s="1">
        <v>61</v>
      </c>
      <c r="E1593" s="1">
        <v>1</v>
      </c>
      <c r="F1593" s="1" t="s">
        <v>10896</v>
      </c>
      <c r="G1593" s="1" t="s">
        <v>10901</v>
      </c>
      <c r="I1593" s="1" t="s">
        <v>125</v>
      </c>
      <c r="K1593" s="4"/>
      <c r="L1593" s="4"/>
      <c r="M1593" s="18">
        <v>1</v>
      </c>
      <c r="N1593" s="54" t="s">
        <v>9529</v>
      </c>
      <c r="V1593" s="4" t="s">
        <v>10902</v>
      </c>
      <c r="X1593" s="1" t="s">
        <v>10903</v>
      </c>
      <c r="Y1593" s="1" t="s">
        <v>10901</v>
      </c>
      <c r="AA1593" s="1" t="s">
        <v>125</v>
      </c>
      <c r="AE1593" s="1">
        <v>1</v>
      </c>
      <c r="AF1593" s="54" t="s">
        <v>9530</v>
      </c>
      <c r="AL1593" s="60">
        <v>12</v>
      </c>
      <c r="AN1593" s="4" t="s">
        <v>10904</v>
      </c>
      <c r="AP1593" s="1"/>
    </row>
    <row r="1594" spans="1:42" ht="72" x14ac:dyDescent="0.2">
      <c r="A1594" s="1" t="s">
        <v>10683</v>
      </c>
      <c r="B1594" s="1" t="s">
        <v>10905</v>
      </c>
      <c r="C1594" s="1" t="s">
        <v>11009</v>
      </c>
      <c r="D1594" s="1">
        <v>62</v>
      </c>
      <c r="E1594" s="1">
        <v>1</v>
      </c>
      <c r="F1594" s="1" t="s">
        <v>10896</v>
      </c>
      <c r="G1594" s="1" t="s">
        <v>10906</v>
      </c>
      <c r="I1594" s="1" t="s">
        <v>125</v>
      </c>
      <c r="K1594" s="4"/>
      <c r="L1594" s="4"/>
      <c r="M1594" s="18">
        <v>2</v>
      </c>
      <c r="N1594" s="54" t="s">
        <v>9529</v>
      </c>
      <c r="V1594" s="4" t="s">
        <v>10907</v>
      </c>
      <c r="Y1594" s="1" t="s">
        <v>10906</v>
      </c>
      <c r="AA1594" s="1" t="s">
        <v>125</v>
      </c>
      <c r="AE1594" s="1">
        <v>2</v>
      </c>
      <c r="AF1594" s="54" t="s">
        <v>9530</v>
      </c>
      <c r="AL1594" s="60" t="s">
        <v>8130</v>
      </c>
      <c r="AN1594" s="4" t="s">
        <v>10908</v>
      </c>
      <c r="AP1594" s="1"/>
    </row>
    <row r="1595" spans="1:42" ht="84" x14ac:dyDescent="0.2">
      <c r="A1595" s="1" t="s">
        <v>10683</v>
      </c>
      <c r="B1595" s="1" t="s">
        <v>10909</v>
      </c>
      <c r="C1595" s="1" t="s">
        <v>11009</v>
      </c>
      <c r="D1595" s="1">
        <v>63</v>
      </c>
      <c r="E1595" s="1">
        <v>1</v>
      </c>
      <c r="F1595" s="1" t="s">
        <v>10896</v>
      </c>
      <c r="G1595" s="1" t="s">
        <v>10910</v>
      </c>
      <c r="I1595" s="1" t="s">
        <v>125</v>
      </c>
      <c r="K1595" s="4"/>
      <c r="L1595" s="4"/>
      <c r="M1595" s="18">
        <v>3</v>
      </c>
      <c r="N1595" s="54" t="s">
        <v>9529</v>
      </c>
      <c r="V1595" s="4" t="s">
        <v>10911</v>
      </c>
      <c r="Y1595" s="1" t="s">
        <v>10910</v>
      </c>
      <c r="AA1595" s="1" t="s">
        <v>125</v>
      </c>
      <c r="AE1595" s="1">
        <v>3</v>
      </c>
      <c r="AF1595" s="54" t="s">
        <v>9530</v>
      </c>
      <c r="AL1595" s="60" t="s">
        <v>8130</v>
      </c>
      <c r="AN1595" s="4" t="s">
        <v>10912</v>
      </c>
      <c r="AP1595" s="1"/>
    </row>
    <row r="1596" spans="1:42" ht="84" x14ac:dyDescent="0.2">
      <c r="A1596" s="1" t="s">
        <v>10683</v>
      </c>
      <c r="B1596" s="1" t="s">
        <v>10913</v>
      </c>
      <c r="C1596" s="1" t="s">
        <v>11009</v>
      </c>
      <c r="D1596" s="1">
        <v>64</v>
      </c>
      <c r="E1596" s="1">
        <v>1</v>
      </c>
      <c r="F1596" s="1" t="s">
        <v>10896</v>
      </c>
      <c r="G1596" s="1" t="s">
        <v>10914</v>
      </c>
      <c r="I1596" s="1" t="s">
        <v>125</v>
      </c>
      <c r="K1596" s="4"/>
      <c r="L1596" s="4"/>
      <c r="M1596" s="18">
        <v>3</v>
      </c>
      <c r="N1596" s="54" t="s">
        <v>9529</v>
      </c>
      <c r="V1596" s="4" t="s">
        <v>10911</v>
      </c>
      <c r="Y1596" s="1" t="s">
        <v>10914</v>
      </c>
      <c r="AA1596" s="1" t="s">
        <v>125</v>
      </c>
      <c r="AE1596" s="1">
        <v>3</v>
      </c>
      <c r="AF1596" s="54" t="s">
        <v>9530</v>
      </c>
      <c r="AL1596" s="60" t="s">
        <v>8130</v>
      </c>
      <c r="AN1596" s="4" t="s">
        <v>10915</v>
      </c>
      <c r="AP1596" s="1"/>
    </row>
    <row r="1597" spans="1:42" ht="84" x14ac:dyDescent="0.2">
      <c r="A1597" s="1" t="s">
        <v>10683</v>
      </c>
      <c r="B1597" s="1" t="s">
        <v>10916</v>
      </c>
      <c r="C1597" s="1" t="s">
        <v>11009</v>
      </c>
      <c r="D1597" s="1">
        <v>65</v>
      </c>
      <c r="E1597" s="1">
        <v>1</v>
      </c>
      <c r="F1597" s="1" t="s">
        <v>10896</v>
      </c>
      <c r="G1597" s="1" t="s">
        <v>10917</v>
      </c>
      <c r="I1597" s="1" t="s">
        <v>125</v>
      </c>
      <c r="K1597" s="4"/>
      <c r="L1597" s="4"/>
      <c r="M1597" s="18">
        <v>3</v>
      </c>
      <c r="N1597" s="54" t="s">
        <v>9529</v>
      </c>
      <c r="V1597" s="4" t="s">
        <v>10911</v>
      </c>
      <c r="Y1597" s="1" t="s">
        <v>10917</v>
      </c>
      <c r="AA1597" s="1" t="s">
        <v>125</v>
      </c>
      <c r="AE1597" s="1">
        <v>3</v>
      </c>
      <c r="AF1597" s="54" t="s">
        <v>9530</v>
      </c>
      <c r="AL1597" s="60" t="s">
        <v>8130</v>
      </c>
      <c r="AN1597" s="4" t="s">
        <v>10918</v>
      </c>
      <c r="AP1597" s="1"/>
    </row>
    <row r="1598" spans="1:42" ht="84" x14ac:dyDescent="0.2">
      <c r="A1598" s="1" t="s">
        <v>10683</v>
      </c>
      <c r="B1598" s="1" t="s">
        <v>10919</v>
      </c>
      <c r="C1598" s="1" t="s">
        <v>11009</v>
      </c>
      <c r="D1598" s="1">
        <v>66</v>
      </c>
      <c r="E1598" s="1">
        <v>1</v>
      </c>
      <c r="F1598" s="1" t="s">
        <v>10896</v>
      </c>
      <c r="G1598" s="1" t="s">
        <v>10920</v>
      </c>
      <c r="I1598" s="1" t="s">
        <v>125</v>
      </c>
      <c r="K1598" s="4"/>
      <c r="L1598" s="4"/>
      <c r="M1598" s="18">
        <v>3</v>
      </c>
      <c r="N1598" s="54" t="s">
        <v>9529</v>
      </c>
      <c r="V1598" s="4" t="s">
        <v>10911</v>
      </c>
      <c r="Y1598" s="1" t="s">
        <v>10920</v>
      </c>
      <c r="AA1598" s="1" t="s">
        <v>125</v>
      </c>
      <c r="AE1598" s="1">
        <v>3</v>
      </c>
      <c r="AF1598" s="54" t="s">
        <v>9530</v>
      </c>
      <c r="AL1598" s="60" t="s">
        <v>8130</v>
      </c>
      <c r="AN1598" s="4" t="s">
        <v>10921</v>
      </c>
      <c r="AP1598" s="1"/>
    </row>
    <row r="1599" spans="1:42" ht="84" x14ac:dyDescent="0.2">
      <c r="A1599" s="1" t="s">
        <v>10683</v>
      </c>
      <c r="B1599" s="1" t="s">
        <v>10922</v>
      </c>
      <c r="C1599" s="1" t="s">
        <v>11009</v>
      </c>
      <c r="D1599" s="1">
        <v>67</v>
      </c>
      <c r="E1599" s="1">
        <v>1</v>
      </c>
      <c r="F1599" s="1" t="s">
        <v>10896</v>
      </c>
      <c r="G1599" s="1" t="s">
        <v>10923</v>
      </c>
      <c r="I1599" s="1" t="s">
        <v>125</v>
      </c>
      <c r="K1599" s="4"/>
      <c r="L1599" s="4"/>
      <c r="M1599" s="18">
        <v>4</v>
      </c>
      <c r="N1599" s="54" t="s">
        <v>9529</v>
      </c>
      <c r="V1599" s="4" t="s">
        <v>10924</v>
      </c>
      <c r="Y1599" s="1" t="s">
        <v>10923</v>
      </c>
      <c r="AA1599" s="1" t="s">
        <v>125</v>
      </c>
      <c r="AE1599" s="1">
        <v>4</v>
      </c>
      <c r="AF1599" s="54" t="s">
        <v>9530</v>
      </c>
      <c r="AL1599" s="60">
        <v>16</v>
      </c>
      <c r="AN1599" s="4" t="s">
        <v>10925</v>
      </c>
      <c r="AP1599" s="1"/>
    </row>
    <row r="1600" spans="1:42" ht="36" x14ac:dyDescent="0.2">
      <c r="A1600" s="138" t="s">
        <v>10683</v>
      </c>
      <c r="B1600" s="138" t="s">
        <v>10926</v>
      </c>
      <c r="C1600" s="138" t="s">
        <v>11009</v>
      </c>
      <c r="D1600" s="138">
        <v>68</v>
      </c>
      <c r="E1600" s="138">
        <v>1</v>
      </c>
      <c r="F1600" s="138" t="s">
        <v>10896</v>
      </c>
      <c r="G1600" s="138" t="s">
        <v>10927</v>
      </c>
      <c r="I1600" s="1" t="s">
        <v>88</v>
      </c>
      <c r="K1600" s="4" t="s">
        <v>1149</v>
      </c>
      <c r="L1600" s="4" t="s">
        <v>10928</v>
      </c>
      <c r="V1600" s="4" t="s">
        <v>10929</v>
      </c>
      <c r="AP1600" s="1"/>
    </row>
    <row r="1601" spans="1:42" ht="24" x14ac:dyDescent="0.2">
      <c r="A1601" s="1" t="s">
        <v>10683</v>
      </c>
      <c r="B1601" s="1" t="s">
        <v>10930</v>
      </c>
      <c r="C1601" s="1" t="s">
        <v>11009</v>
      </c>
      <c r="D1601" s="1">
        <v>69</v>
      </c>
      <c r="E1601" s="1">
        <v>2</v>
      </c>
      <c r="F1601" s="1" t="s">
        <v>10896</v>
      </c>
      <c r="G1601" s="1" t="s">
        <v>10931</v>
      </c>
      <c r="I1601" s="1" t="s">
        <v>94</v>
      </c>
      <c r="K1601" s="4" t="s">
        <v>10932</v>
      </c>
      <c r="L1601" s="4" t="s">
        <v>10933</v>
      </c>
      <c r="N1601" s="54">
        <v>36</v>
      </c>
      <c r="O1601" s="55">
        <v>3</v>
      </c>
      <c r="Q1601" s="57">
        <v>5</v>
      </c>
      <c r="R1601" s="58">
        <v>2</v>
      </c>
      <c r="S1601" s="59">
        <v>3</v>
      </c>
      <c r="V1601" s="4" t="s">
        <v>10934</v>
      </c>
      <c r="W1601" s="4" t="s">
        <v>3638</v>
      </c>
      <c r="AP1601" s="1"/>
    </row>
    <row r="1602" spans="1:42" ht="36" x14ac:dyDescent="0.2">
      <c r="A1602" s="1" t="s">
        <v>10683</v>
      </c>
      <c r="B1602" s="1" t="s">
        <v>10935</v>
      </c>
      <c r="C1602" s="1" t="s">
        <v>11009</v>
      </c>
      <c r="D1602" s="1">
        <v>70</v>
      </c>
      <c r="E1602" s="1">
        <v>4</v>
      </c>
      <c r="F1602" s="1" t="s">
        <v>10896</v>
      </c>
      <c r="G1602" s="1" t="s">
        <v>10936</v>
      </c>
      <c r="I1602" s="1" t="s">
        <v>94</v>
      </c>
      <c r="K1602" s="4" t="s">
        <v>10932</v>
      </c>
      <c r="L1602" s="4" t="s">
        <v>10937</v>
      </c>
      <c r="N1602" s="54">
        <v>44</v>
      </c>
      <c r="O1602" s="55" t="s">
        <v>113</v>
      </c>
      <c r="Q1602" s="57">
        <v>4</v>
      </c>
      <c r="R1602" s="58">
        <v>1</v>
      </c>
      <c r="S1602" s="59">
        <v>4</v>
      </c>
      <c r="V1602" s="4" t="s">
        <v>10938</v>
      </c>
      <c r="AP1602" s="1"/>
    </row>
    <row r="1603" spans="1:42" ht="24" x14ac:dyDescent="0.2">
      <c r="A1603" s="1" t="s">
        <v>10683</v>
      </c>
      <c r="B1603" s="1" t="s">
        <v>10939</v>
      </c>
      <c r="C1603" s="1" t="s">
        <v>11009</v>
      </c>
      <c r="D1603" s="1">
        <v>71</v>
      </c>
      <c r="E1603" s="1">
        <v>3</v>
      </c>
      <c r="F1603" s="1" t="s">
        <v>10896</v>
      </c>
      <c r="G1603" s="1" t="s">
        <v>10940</v>
      </c>
      <c r="I1603" s="1" t="s">
        <v>94</v>
      </c>
      <c r="K1603" s="4" t="s">
        <v>10932</v>
      </c>
      <c r="L1603" s="4" t="s">
        <v>10941</v>
      </c>
      <c r="N1603" s="54">
        <v>33</v>
      </c>
      <c r="O1603" s="55">
        <v>1</v>
      </c>
      <c r="Q1603" s="57">
        <v>3</v>
      </c>
      <c r="R1603" s="58">
        <v>1</v>
      </c>
      <c r="S1603" s="59">
        <v>3</v>
      </c>
      <c r="V1603" s="4" t="s">
        <v>10942</v>
      </c>
      <c r="W1603" s="4" t="s">
        <v>3571</v>
      </c>
      <c r="AP1603" s="1"/>
    </row>
    <row r="1604" spans="1:42" ht="24" x14ac:dyDescent="0.2">
      <c r="A1604" s="1" t="s">
        <v>10683</v>
      </c>
      <c r="B1604" s="1" t="s">
        <v>10943</v>
      </c>
      <c r="C1604" s="1" t="s">
        <v>11009</v>
      </c>
      <c r="D1604" s="1">
        <v>72</v>
      </c>
      <c r="E1604" s="1">
        <v>3</v>
      </c>
      <c r="F1604" s="1" t="s">
        <v>10896</v>
      </c>
      <c r="G1604" s="1" t="s">
        <v>10944</v>
      </c>
      <c r="I1604" s="1" t="s">
        <v>94</v>
      </c>
      <c r="K1604" s="4" t="s">
        <v>10932</v>
      </c>
      <c r="L1604" s="4" t="s">
        <v>10945</v>
      </c>
      <c r="N1604" s="54">
        <v>28</v>
      </c>
      <c r="O1604" s="55">
        <v>2</v>
      </c>
      <c r="Q1604" s="57">
        <v>4</v>
      </c>
      <c r="R1604" s="58">
        <v>1</v>
      </c>
      <c r="S1604" s="59">
        <v>3</v>
      </c>
      <c r="V1604" s="4" t="s">
        <v>10946</v>
      </c>
      <c r="AP1604" s="1"/>
    </row>
    <row r="1605" spans="1:42" ht="36" x14ac:dyDescent="0.2">
      <c r="A1605" s="1" t="s">
        <v>10683</v>
      </c>
      <c r="B1605" s="1" t="s">
        <v>10947</v>
      </c>
      <c r="C1605" s="1" t="s">
        <v>11009</v>
      </c>
      <c r="D1605" s="1">
        <v>73</v>
      </c>
      <c r="E1605" s="1">
        <v>1</v>
      </c>
      <c r="F1605" s="1" t="s">
        <v>10896</v>
      </c>
      <c r="G1605" s="1" t="s">
        <v>10948</v>
      </c>
      <c r="H1605" s="1" t="s">
        <v>26</v>
      </c>
      <c r="I1605" s="1" t="s">
        <v>104</v>
      </c>
      <c r="K1605" s="4" t="s">
        <v>10949</v>
      </c>
      <c r="L1605" s="4" t="s">
        <v>331</v>
      </c>
      <c r="O1605" s="55">
        <v>2</v>
      </c>
      <c r="T1605" s="60">
        <v>4</v>
      </c>
      <c r="U1605" s="1">
        <v>1</v>
      </c>
      <c r="V1605" s="4" t="s">
        <v>10950</v>
      </c>
      <c r="AP1605" s="1"/>
    </row>
    <row r="1606" spans="1:42" ht="48" x14ac:dyDescent="0.2">
      <c r="A1606" s="1" t="s">
        <v>10683</v>
      </c>
      <c r="B1606" s="1" t="s">
        <v>10951</v>
      </c>
      <c r="C1606" s="1" t="s">
        <v>11009</v>
      </c>
      <c r="D1606" s="1">
        <v>74</v>
      </c>
      <c r="E1606" s="1">
        <v>1</v>
      </c>
      <c r="F1606" s="1" t="s">
        <v>10896</v>
      </c>
      <c r="G1606" s="1" t="s">
        <v>10952</v>
      </c>
      <c r="H1606" s="1" t="s">
        <v>26</v>
      </c>
      <c r="I1606" s="1" t="s">
        <v>104</v>
      </c>
      <c r="K1606" s="4" t="s">
        <v>1217</v>
      </c>
      <c r="L1606" s="4" t="s">
        <v>331</v>
      </c>
      <c r="O1606" s="55">
        <v>1</v>
      </c>
      <c r="T1606" s="60">
        <v>6</v>
      </c>
      <c r="U1606" s="1">
        <v>1</v>
      </c>
      <c r="V1606" s="4" t="s">
        <v>10953</v>
      </c>
      <c r="AP1606" s="1"/>
    </row>
    <row r="1607" spans="1:42" ht="24" x14ac:dyDescent="0.2">
      <c r="A1607" s="1" t="s">
        <v>10683</v>
      </c>
      <c r="B1607" s="1" t="s">
        <v>10954</v>
      </c>
      <c r="C1607" s="1" t="s">
        <v>11009</v>
      </c>
      <c r="D1607" s="1">
        <v>75</v>
      </c>
      <c r="E1607" s="1">
        <v>1</v>
      </c>
      <c r="F1607" s="1" t="s">
        <v>10896</v>
      </c>
      <c r="G1607" s="1" t="s">
        <v>10955</v>
      </c>
      <c r="H1607" s="1" t="s">
        <v>26</v>
      </c>
      <c r="I1607" s="1" t="s">
        <v>104</v>
      </c>
      <c r="K1607" s="4" t="s">
        <v>3548</v>
      </c>
      <c r="L1607" s="4" t="s">
        <v>10956</v>
      </c>
      <c r="O1607" s="55" t="s">
        <v>113</v>
      </c>
      <c r="T1607" s="60">
        <v>2</v>
      </c>
      <c r="U1607" s="1">
        <v>1</v>
      </c>
      <c r="V1607" s="4" t="s">
        <v>10957</v>
      </c>
      <c r="AP1607" s="1"/>
    </row>
    <row r="1608" spans="1:42" ht="24" x14ac:dyDescent="0.2">
      <c r="A1608" s="1" t="s">
        <v>10683</v>
      </c>
      <c r="B1608" s="1" t="s">
        <v>10958</v>
      </c>
      <c r="C1608" s="1" t="s">
        <v>11009</v>
      </c>
      <c r="D1608" s="1">
        <v>76</v>
      </c>
      <c r="E1608" s="1">
        <v>1</v>
      </c>
      <c r="F1608" s="1" t="s">
        <v>10896</v>
      </c>
      <c r="G1608" s="1" t="s">
        <v>10959</v>
      </c>
      <c r="H1608" s="1" t="s">
        <v>26</v>
      </c>
      <c r="I1608" s="1" t="s">
        <v>104</v>
      </c>
      <c r="K1608" s="4" t="s">
        <v>3548</v>
      </c>
      <c r="L1608" s="4" t="s">
        <v>331</v>
      </c>
      <c r="O1608" s="55">
        <v>3</v>
      </c>
      <c r="T1608" s="60">
        <v>4</v>
      </c>
      <c r="U1608" s="1">
        <v>1</v>
      </c>
      <c r="V1608" s="4" t="s">
        <v>10960</v>
      </c>
      <c r="AP1608" s="1"/>
    </row>
    <row r="1609" spans="1:42" ht="36" x14ac:dyDescent="0.2">
      <c r="A1609" s="1" t="s">
        <v>10683</v>
      </c>
      <c r="B1609" s="1" t="s">
        <v>10961</v>
      </c>
      <c r="C1609" s="1" t="s">
        <v>11009</v>
      </c>
      <c r="D1609" s="1">
        <v>77</v>
      </c>
      <c r="E1609" s="1">
        <v>4</v>
      </c>
      <c r="F1609" s="1" t="s">
        <v>10896</v>
      </c>
      <c r="G1609" s="1" t="s">
        <v>10962</v>
      </c>
      <c r="I1609" s="1" t="s">
        <v>104</v>
      </c>
      <c r="K1609" s="4" t="s">
        <v>3548</v>
      </c>
      <c r="L1609" s="4"/>
      <c r="O1609" s="55">
        <v>2</v>
      </c>
      <c r="T1609" s="60">
        <v>5</v>
      </c>
      <c r="V1609" s="4" t="s">
        <v>10963</v>
      </c>
      <c r="AP1609" s="1"/>
    </row>
    <row r="1610" spans="1:42" ht="24" x14ac:dyDescent="0.2">
      <c r="A1610" s="1" t="s">
        <v>10683</v>
      </c>
      <c r="B1610" s="1" t="s">
        <v>10964</v>
      </c>
      <c r="C1610" s="1" t="s">
        <v>11009</v>
      </c>
      <c r="D1610" s="1">
        <v>78</v>
      </c>
      <c r="E1610" s="1">
        <v>3</v>
      </c>
      <c r="F1610" s="1" t="s">
        <v>10896</v>
      </c>
      <c r="G1610" s="1" t="s">
        <v>10965</v>
      </c>
      <c r="I1610" s="1" t="s">
        <v>104</v>
      </c>
      <c r="K1610" s="4" t="s">
        <v>10966</v>
      </c>
      <c r="L1610" s="4" t="s">
        <v>10967</v>
      </c>
      <c r="O1610" s="55">
        <v>3</v>
      </c>
      <c r="T1610" s="60">
        <v>4</v>
      </c>
      <c r="V1610" s="4" t="s">
        <v>10968</v>
      </c>
      <c r="AP1610" s="1"/>
    </row>
    <row r="1611" spans="1:42" ht="36" x14ac:dyDescent="0.2">
      <c r="A1611" s="1" t="s">
        <v>10683</v>
      </c>
      <c r="B1611" s="1" t="s">
        <v>10969</v>
      </c>
      <c r="C1611" s="1" t="s">
        <v>11009</v>
      </c>
      <c r="D1611" s="1">
        <v>79</v>
      </c>
      <c r="E1611" s="1">
        <v>3</v>
      </c>
      <c r="F1611" s="1" t="s">
        <v>10896</v>
      </c>
      <c r="G1611" s="1" t="s">
        <v>10970</v>
      </c>
      <c r="I1611" s="1" t="s">
        <v>104</v>
      </c>
      <c r="K1611" s="4" t="s">
        <v>3735</v>
      </c>
      <c r="L1611" s="4"/>
      <c r="O1611" s="55">
        <v>3</v>
      </c>
      <c r="T1611" s="60">
        <v>3</v>
      </c>
      <c r="V1611" s="4" t="s">
        <v>10971</v>
      </c>
      <c r="W1611" s="4" t="s">
        <v>10972</v>
      </c>
      <c r="AP1611" s="1"/>
    </row>
    <row r="1612" spans="1:42" ht="24" x14ac:dyDescent="0.2">
      <c r="A1612" s="1" t="s">
        <v>10683</v>
      </c>
      <c r="B1612" s="1" t="s">
        <v>10973</v>
      </c>
      <c r="C1612" s="1" t="s">
        <v>11009</v>
      </c>
      <c r="D1612" s="1">
        <v>80</v>
      </c>
      <c r="E1612" s="1">
        <v>2</v>
      </c>
      <c r="F1612" s="1" t="s">
        <v>10896</v>
      </c>
      <c r="G1612" s="1" t="s">
        <v>10974</v>
      </c>
      <c r="I1612" s="1" t="s">
        <v>82</v>
      </c>
      <c r="K1612" s="4"/>
      <c r="L1612" s="4" t="s">
        <v>3636</v>
      </c>
      <c r="V1612" s="4" t="s">
        <v>10975</v>
      </c>
      <c r="W1612" s="4" t="s">
        <v>10976</v>
      </c>
      <c r="AP1612" s="1"/>
    </row>
    <row r="1613" spans="1:42" ht="36" x14ac:dyDescent="0.2">
      <c r="A1613" s="1" t="s">
        <v>10683</v>
      </c>
      <c r="B1613" s="1" t="s">
        <v>10977</v>
      </c>
      <c r="C1613" s="1" t="s">
        <v>11009</v>
      </c>
      <c r="D1613" s="1">
        <v>81</v>
      </c>
      <c r="E1613" s="1">
        <v>2</v>
      </c>
      <c r="F1613" s="1" t="s">
        <v>10896</v>
      </c>
      <c r="G1613" s="1" t="s">
        <v>10978</v>
      </c>
      <c r="I1613" s="1" t="s">
        <v>82</v>
      </c>
      <c r="K1613" s="4"/>
      <c r="L1613" s="4"/>
      <c r="V1613" s="4" t="s">
        <v>10979</v>
      </c>
      <c r="W1613" s="4" t="s">
        <v>10980</v>
      </c>
      <c r="AP1613" s="1"/>
    </row>
    <row r="1614" spans="1:42" ht="36" x14ac:dyDescent="0.2">
      <c r="A1614" s="1" t="s">
        <v>10683</v>
      </c>
      <c r="B1614" s="1" t="s">
        <v>10981</v>
      </c>
      <c r="C1614" s="1" t="s">
        <v>11009</v>
      </c>
      <c r="D1614" s="1">
        <v>82</v>
      </c>
      <c r="E1614" s="1">
        <v>3</v>
      </c>
      <c r="F1614" s="1" t="s">
        <v>10896</v>
      </c>
      <c r="G1614" s="1" t="s">
        <v>10982</v>
      </c>
      <c r="I1614" s="1" t="s">
        <v>82</v>
      </c>
      <c r="K1614" s="4"/>
      <c r="L1614" s="4"/>
      <c r="V1614" s="4" t="s">
        <v>10983</v>
      </c>
      <c r="W1614" s="4" t="s">
        <v>10972</v>
      </c>
      <c r="AP1614" s="1"/>
    </row>
    <row r="1615" spans="1:42" ht="72" x14ac:dyDescent="0.2">
      <c r="A1615" s="1" t="s">
        <v>10683</v>
      </c>
      <c r="B1615" s="1" t="s">
        <v>10984</v>
      </c>
      <c r="C1615" s="1" t="s">
        <v>11009</v>
      </c>
      <c r="D1615" s="1">
        <v>83</v>
      </c>
      <c r="E1615" s="1">
        <v>1</v>
      </c>
      <c r="F1615" s="1" t="s">
        <v>10896</v>
      </c>
      <c r="G1615" s="1" t="s">
        <v>10985</v>
      </c>
      <c r="I1615" s="1" t="s">
        <v>82</v>
      </c>
      <c r="K1615" s="4" t="s">
        <v>3236</v>
      </c>
      <c r="L1615" s="4"/>
      <c r="V1615" s="4" t="s">
        <v>10986</v>
      </c>
      <c r="AP1615" s="1"/>
    </row>
    <row r="1616" spans="1:42" ht="48" x14ac:dyDescent="0.2">
      <c r="A1616" s="111" t="s">
        <v>10683</v>
      </c>
      <c r="B1616" s="111" t="s">
        <v>10987</v>
      </c>
      <c r="C1616" s="111" t="s">
        <v>11009</v>
      </c>
      <c r="D1616" s="111">
        <v>84</v>
      </c>
      <c r="E1616" s="111">
        <v>1</v>
      </c>
      <c r="F1616" s="111" t="s">
        <v>10744</v>
      </c>
      <c r="G1616" s="111" t="s">
        <v>10988</v>
      </c>
      <c r="I1616" s="1" t="s">
        <v>82</v>
      </c>
      <c r="J1616" s="1" t="s">
        <v>3458</v>
      </c>
      <c r="K1616" s="4" t="s">
        <v>3236</v>
      </c>
      <c r="L1616" s="4" t="s">
        <v>3530</v>
      </c>
      <c r="V1616" s="4" t="s">
        <v>10989</v>
      </c>
      <c r="AP1616" s="1"/>
    </row>
    <row r="1617" spans="1:42" ht="24" x14ac:dyDescent="0.2">
      <c r="A1617" s="1" t="s">
        <v>10683</v>
      </c>
      <c r="B1617" s="1" t="s">
        <v>10990</v>
      </c>
      <c r="C1617" s="1" t="s">
        <v>11009</v>
      </c>
      <c r="D1617" s="1">
        <v>85</v>
      </c>
      <c r="E1617" s="1">
        <v>1</v>
      </c>
      <c r="F1617" s="1" t="s">
        <v>10816</v>
      </c>
      <c r="G1617" s="1" t="s">
        <v>2872</v>
      </c>
      <c r="I1617" s="1" t="s">
        <v>82</v>
      </c>
      <c r="J1617" s="1" t="s">
        <v>3458</v>
      </c>
      <c r="K1617" s="4"/>
      <c r="L1617" s="4" t="s">
        <v>698</v>
      </c>
      <c r="V1617" s="4" t="s">
        <v>10991</v>
      </c>
      <c r="W1617" s="4" t="s">
        <v>623</v>
      </c>
      <c r="AP1617" s="1"/>
    </row>
    <row r="1618" spans="1:42" ht="24" x14ac:dyDescent="0.2">
      <c r="A1618" s="1" t="s">
        <v>10683</v>
      </c>
      <c r="B1618" s="1" t="s">
        <v>10992</v>
      </c>
      <c r="C1618" s="1" t="s">
        <v>11009</v>
      </c>
      <c r="D1618" s="1">
        <v>86</v>
      </c>
      <c r="E1618" s="1">
        <v>1</v>
      </c>
      <c r="F1618" s="1" t="s">
        <v>10816</v>
      </c>
      <c r="G1618" s="1" t="s">
        <v>9573</v>
      </c>
      <c r="I1618" s="1" t="s">
        <v>82</v>
      </c>
      <c r="J1618" s="1" t="s">
        <v>3458</v>
      </c>
      <c r="K1618" s="4"/>
      <c r="L1618" s="4" t="s">
        <v>698</v>
      </c>
      <c r="V1618" s="4" t="s">
        <v>10993</v>
      </c>
      <c r="W1618" s="4" t="s">
        <v>3638</v>
      </c>
      <c r="AP1618" s="1"/>
    </row>
    <row r="1619" spans="1:42" ht="72" x14ac:dyDescent="0.2">
      <c r="A1619" s="1" t="s">
        <v>10683</v>
      </c>
      <c r="B1619" s="1" t="s">
        <v>10994</v>
      </c>
      <c r="C1619" s="1" t="s">
        <v>11009</v>
      </c>
      <c r="D1619" s="1">
        <v>87</v>
      </c>
      <c r="E1619" s="1">
        <v>1</v>
      </c>
      <c r="F1619" s="1" t="s">
        <v>10816</v>
      </c>
      <c r="G1619" s="1" t="s">
        <v>10995</v>
      </c>
      <c r="I1619" s="1" t="s">
        <v>88</v>
      </c>
      <c r="J1619" s="1" t="s">
        <v>3458</v>
      </c>
      <c r="K1619" s="4" t="s">
        <v>10996</v>
      </c>
      <c r="L1619" s="4"/>
      <c r="V1619" s="4" t="s">
        <v>10997</v>
      </c>
      <c r="X1619" s="1" t="s">
        <v>1629</v>
      </c>
      <c r="AP1619" s="1"/>
    </row>
    <row r="1620" spans="1:42" ht="48" x14ac:dyDescent="0.2">
      <c r="A1620" s="1" t="s">
        <v>10683</v>
      </c>
      <c r="B1620" s="1" t="s">
        <v>10998</v>
      </c>
      <c r="C1620" s="1" t="s">
        <v>11009</v>
      </c>
      <c r="D1620" s="1">
        <v>88</v>
      </c>
      <c r="E1620" s="1">
        <v>1</v>
      </c>
      <c r="F1620" s="1" t="s">
        <v>10816</v>
      </c>
      <c r="G1620" s="1" t="s">
        <v>10999</v>
      </c>
      <c r="I1620" s="1" t="s">
        <v>88</v>
      </c>
      <c r="J1620" s="1" t="s">
        <v>3458</v>
      </c>
      <c r="K1620" s="4" t="s">
        <v>11000</v>
      </c>
      <c r="L1620" s="4"/>
      <c r="V1620" s="4" t="s">
        <v>11001</v>
      </c>
      <c r="X1620" s="1" t="s">
        <v>1629</v>
      </c>
      <c r="AP1620" s="1"/>
    </row>
    <row r="1621" spans="1:42" ht="24" x14ac:dyDescent="0.2">
      <c r="A1621" s="1" t="s">
        <v>10683</v>
      </c>
      <c r="B1621" s="1" t="s">
        <v>11002</v>
      </c>
      <c r="C1621" s="1" t="s">
        <v>11009</v>
      </c>
      <c r="D1621" s="1">
        <v>89</v>
      </c>
      <c r="E1621" s="1">
        <v>1</v>
      </c>
      <c r="F1621" s="1" t="s">
        <v>10896</v>
      </c>
      <c r="G1621" s="1" t="s">
        <v>3018</v>
      </c>
      <c r="I1621" s="1" t="s">
        <v>82</v>
      </c>
      <c r="J1621" s="1" t="s">
        <v>3458</v>
      </c>
      <c r="K1621" s="4"/>
      <c r="L1621" s="4" t="s">
        <v>3530</v>
      </c>
      <c r="V1621" s="4" t="s">
        <v>11003</v>
      </c>
      <c r="AP1621" s="1"/>
    </row>
    <row r="1622" spans="1:42" ht="36" x14ac:dyDescent="0.2">
      <c r="A1622" s="1" t="s">
        <v>10683</v>
      </c>
      <c r="B1622" s="1" t="s">
        <v>11004</v>
      </c>
      <c r="C1622" s="1" t="s">
        <v>11009</v>
      </c>
      <c r="D1622" s="1">
        <v>90</v>
      </c>
      <c r="E1622" s="1">
        <v>1</v>
      </c>
      <c r="F1622" s="1" t="s">
        <v>10896</v>
      </c>
      <c r="G1622" s="1" t="s">
        <v>11005</v>
      </c>
      <c r="I1622" s="1" t="s">
        <v>82</v>
      </c>
      <c r="J1622" s="1" t="s">
        <v>3458</v>
      </c>
      <c r="K1622" s="4" t="s">
        <v>10996</v>
      </c>
      <c r="L1622" s="4" t="s">
        <v>3530</v>
      </c>
      <c r="V1622" s="4" t="s">
        <v>11006</v>
      </c>
      <c r="AP1622" s="1"/>
    </row>
    <row r="1623" spans="1:42" ht="72" x14ac:dyDescent="0.2">
      <c r="A1623" s="1" t="s">
        <v>10683</v>
      </c>
      <c r="B1623" s="1" t="s">
        <v>11007</v>
      </c>
      <c r="C1623" s="1" t="s">
        <v>11009</v>
      </c>
      <c r="D1623" s="1">
        <v>91</v>
      </c>
      <c r="E1623" s="1">
        <v>1</v>
      </c>
      <c r="G1623" s="1" t="s">
        <v>3712</v>
      </c>
      <c r="H1623" s="1" t="s">
        <v>26</v>
      </c>
      <c r="I1623" s="1" t="s">
        <v>88</v>
      </c>
      <c r="K1623" s="4" t="s">
        <v>3713</v>
      </c>
      <c r="L1623" s="4"/>
      <c r="V1623" s="4" t="s">
        <v>11008</v>
      </c>
      <c r="X1623" s="1" t="s">
        <v>1681</v>
      </c>
      <c r="AP1623" s="1"/>
    </row>
    <row r="1624" spans="1:42" x14ac:dyDescent="0.2">
      <c r="A1624" s="115" t="s">
        <v>2100</v>
      </c>
      <c r="B1624" s="115" t="s">
        <v>2101</v>
      </c>
      <c r="C1624" s="115" t="s">
        <v>5723</v>
      </c>
      <c r="D1624" s="116">
        <v>1</v>
      </c>
      <c r="E1624" s="115"/>
      <c r="F1624" s="115"/>
      <c r="G1624" s="115" t="s">
        <v>2102</v>
      </c>
      <c r="I1624" s="1" t="s">
        <v>27</v>
      </c>
      <c r="J1624" s="1" t="s">
        <v>57</v>
      </c>
      <c r="K1624" s="1" t="s">
        <v>2103</v>
      </c>
      <c r="M1624" s="18">
        <v>9</v>
      </c>
      <c r="AL1624" s="60" t="s">
        <v>30</v>
      </c>
    </row>
    <row r="1625" spans="1:42" x14ac:dyDescent="0.2">
      <c r="A1625" s="1" t="s">
        <v>2100</v>
      </c>
      <c r="B1625" s="1" t="s">
        <v>2104</v>
      </c>
      <c r="C1625" s="1" t="s">
        <v>5723</v>
      </c>
      <c r="D1625" s="48">
        <v>2</v>
      </c>
      <c r="G1625" s="1" t="s">
        <v>2105</v>
      </c>
      <c r="I1625" s="1" t="s">
        <v>27</v>
      </c>
      <c r="J1625" s="1" t="s">
        <v>39</v>
      </c>
      <c r="K1625" s="1" t="s">
        <v>2106</v>
      </c>
      <c r="AL1625" s="60" t="s">
        <v>30</v>
      </c>
    </row>
    <row r="1626" spans="1:42" x14ac:dyDescent="0.2">
      <c r="A1626" s="1" t="s">
        <v>2100</v>
      </c>
      <c r="B1626" s="1" t="s">
        <v>2126</v>
      </c>
      <c r="C1626" s="1" t="s">
        <v>5723</v>
      </c>
      <c r="D1626" s="48">
        <v>3</v>
      </c>
      <c r="E1626" s="1">
        <v>1</v>
      </c>
      <c r="F1626" s="1" t="s">
        <v>2109</v>
      </c>
      <c r="G1626" s="1" t="s">
        <v>2127</v>
      </c>
      <c r="I1626" s="1" t="s">
        <v>94</v>
      </c>
      <c r="K1626" s="1" t="s">
        <v>2117</v>
      </c>
      <c r="U1626" s="1">
        <v>4</v>
      </c>
      <c r="AL1626" s="60" t="s">
        <v>30</v>
      </c>
    </row>
    <row r="1627" spans="1:42" x14ac:dyDescent="0.2">
      <c r="A1627" s="1" t="s">
        <v>2100</v>
      </c>
      <c r="B1627" s="1" t="s">
        <v>2132</v>
      </c>
      <c r="C1627" s="1" t="s">
        <v>5723</v>
      </c>
      <c r="D1627" s="48">
        <v>4</v>
      </c>
      <c r="E1627" s="1">
        <v>2</v>
      </c>
      <c r="F1627" s="1" t="s">
        <v>2109</v>
      </c>
      <c r="G1627" s="1" t="s">
        <v>2133</v>
      </c>
      <c r="I1627" s="1" t="s">
        <v>94</v>
      </c>
      <c r="K1627" s="1" t="s">
        <v>95</v>
      </c>
      <c r="AL1627" s="60" t="s">
        <v>30</v>
      </c>
    </row>
    <row r="1628" spans="1:42" x14ac:dyDescent="0.2">
      <c r="A1628" s="1" t="s">
        <v>2100</v>
      </c>
      <c r="B1628" s="1" t="s">
        <v>2130</v>
      </c>
      <c r="C1628" s="1" t="s">
        <v>5723</v>
      </c>
      <c r="D1628" s="48">
        <v>5</v>
      </c>
      <c r="E1628" s="1">
        <v>1</v>
      </c>
      <c r="F1628" s="1" t="s">
        <v>2109</v>
      </c>
      <c r="G1628" s="1" t="s">
        <v>2131</v>
      </c>
      <c r="I1628" s="1" t="s">
        <v>94</v>
      </c>
      <c r="K1628" s="1" t="s">
        <v>576</v>
      </c>
      <c r="AL1628" s="60" t="s">
        <v>30</v>
      </c>
    </row>
    <row r="1629" spans="1:42" x14ac:dyDescent="0.2">
      <c r="A1629" s="1" t="s">
        <v>2100</v>
      </c>
      <c r="B1629" s="1" t="s">
        <v>2115</v>
      </c>
      <c r="C1629" s="1" t="s">
        <v>5723</v>
      </c>
      <c r="D1629" s="48">
        <v>6</v>
      </c>
      <c r="E1629" s="1">
        <v>3</v>
      </c>
      <c r="F1629" s="1" t="s">
        <v>2109</v>
      </c>
      <c r="G1629" s="1" t="s">
        <v>2116</v>
      </c>
      <c r="I1629" s="1" t="s">
        <v>94</v>
      </c>
      <c r="K1629" s="1" t="s">
        <v>2117</v>
      </c>
      <c r="AL1629" s="60" t="s">
        <v>30</v>
      </c>
    </row>
    <row r="1630" spans="1:42" x14ac:dyDescent="0.2">
      <c r="A1630" s="1" t="s">
        <v>2100</v>
      </c>
      <c r="B1630" s="1" t="s">
        <v>2136</v>
      </c>
      <c r="C1630" s="1" t="s">
        <v>5723</v>
      </c>
      <c r="D1630" s="48">
        <v>7</v>
      </c>
      <c r="E1630" s="1">
        <v>1</v>
      </c>
      <c r="F1630" s="1" t="s">
        <v>2109</v>
      </c>
      <c r="G1630" s="1" t="s">
        <v>2137</v>
      </c>
      <c r="I1630" s="1" t="s">
        <v>94</v>
      </c>
      <c r="K1630" s="1" t="s">
        <v>2117</v>
      </c>
      <c r="AL1630" s="60" t="s">
        <v>30</v>
      </c>
    </row>
    <row r="1631" spans="1:42" x14ac:dyDescent="0.2">
      <c r="A1631" s="1" t="s">
        <v>2100</v>
      </c>
      <c r="B1631" s="1" t="s">
        <v>2110</v>
      </c>
      <c r="C1631" s="1" t="s">
        <v>5723</v>
      </c>
      <c r="D1631" s="48">
        <v>8</v>
      </c>
      <c r="E1631" s="1">
        <v>2</v>
      </c>
      <c r="F1631" s="1" t="s">
        <v>2109</v>
      </c>
      <c r="G1631" s="1" t="s">
        <v>2111</v>
      </c>
      <c r="I1631" s="1" t="s">
        <v>94</v>
      </c>
      <c r="K1631" s="1" t="s">
        <v>2112</v>
      </c>
      <c r="AL1631" s="60" t="s">
        <v>30</v>
      </c>
    </row>
    <row r="1632" spans="1:42" x14ac:dyDescent="0.2">
      <c r="A1632" s="1" t="s">
        <v>2100</v>
      </c>
      <c r="B1632" s="1" t="s">
        <v>2138</v>
      </c>
      <c r="C1632" s="1" t="s">
        <v>5723</v>
      </c>
      <c r="D1632" s="48">
        <v>9</v>
      </c>
      <c r="E1632" s="1">
        <v>4</v>
      </c>
      <c r="F1632" s="1" t="s">
        <v>2109</v>
      </c>
      <c r="G1632" s="1" t="s">
        <v>2139</v>
      </c>
      <c r="I1632" s="1" t="s">
        <v>94</v>
      </c>
      <c r="K1632" s="1" t="s">
        <v>2117</v>
      </c>
      <c r="U1632" s="1">
        <v>3</v>
      </c>
      <c r="AL1632" s="60" t="s">
        <v>30</v>
      </c>
    </row>
    <row r="1633" spans="1:38" x14ac:dyDescent="0.2">
      <c r="A1633" s="1" t="s">
        <v>2100</v>
      </c>
      <c r="B1633" s="1" t="s">
        <v>2128</v>
      </c>
      <c r="C1633" s="1" t="s">
        <v>5723</v>
      </c>
      <c r="D1633" s="48">
        <v>10</v>
      </c>
      <c r="E1633" s="1">
        <v>3</v>
      </c>
      <c r="F1633" s="1" t="s">
        <v>2109</v>
      </c>
      <c r="G1633" s="1" t="s">
        <v>2129</v>
      </c>
      <c r="I1633" s="1" t="s">
        <v>104</v>
      </c>
      <c r="K1633" s="1" t="s">
        <v>2120</v>
      </c>
      <c r="O1633" s="55">
        <v>2</v>
      </c>
      <c r="T1633" s="60">
        <v>2</v>
      </c>
      <c r="AL1633" s="60" t="s">
        <v>30</v>
      </c>
    </row>
    <row r="1634" spans="1:38" x14ac:dyDescent="0.2">
      <c r="A1634" s="1" t="s">
        <v>2100</v>
      </c>
      <c r="B1634" s="1" t="s">
        <v>2118</v>
      </c>
      <c r="C1634" s="1" t="s">
        <v>5723</v>
      </c>
      <c r="D1634" s="48">
        <v>11</v>
      </c>
      <c r="E1634" s="1">
        <v>2</v>
      </c>
      <c r="F1634" s="1" t="s">
        <v>2109</v>
      </c>
      <c r="G1634" s="1" t="s">
        <v>2119</v>
      </c>
      <c r="I1634" s="1" t="s">
        <v>104</v>
      </c>
      <c r="K1634" s="1" t="s">
        <v>2120</v>
      </c>
      <c r="O1634" s="55" t="s">
        <v>113</v>
      </c>
      <c r="T1634" s="60">
        <v>4</v>
      </c>
      <c r="AL1634" s="60" t="s">
        <v>30</v>
      </c>
    </row>
    <row r="1635" spans="1:38" x14ac:dyDescent="0.2">
      <c r="A1635" s="1" t="s">
        <v>2100</v>
      </c>
      <c r="B1635" s="1" t="s">
        <v>2142</v>
      </c>
      <c r="C1635" s="1" t="s">
        <v>5723</v>
      </c>
      <c r="D1635" s="48">
        <v>12</v>
      </c>
      <c r="E1635" s="1">
        <v>1</v>
      </c>
      <c r="F1635" s="1" t="s">
        <v>2109</v>
      </c>
      <c r="G1635" s="1" t="s">
        <v>2143</v>
      </c>
      <c r="I1635" s="1" t="s">
        <v>104</v>
      </c>
      <c r="K1635" s="1" t="s">
        <v>2120</v>
      </c>
      <c r="O1635" s="55">
        <v>3</v>
      </c>
      <c r="T1635" s="60">
        <v>6</v>
      </c>
      <c r="U1635" s="1">
        <v>4</v>
      </c>
      <c r="AL1635" s="60" t="s">
        <v>30</v>
      </c>
    </row>
    <row r="1636" spans="1:38" x14ac:dyDescent="0.2">
      <c r="A1636" s="1" t="s">
        <v>2100</v>
      </c>
      <c r="B1636" s="1" t="s">
        <v>2123</v>
      </c>
      <c r="C1636" s="1" t="s">
        <v>5723</v>
      </c>
      <c r="D1636" s="48">
        <v>13</v>
      </c>
      <c r="E1636" s="1">
        <v>2</v>
      </c>
      <c r="F1636" s="1" t="s">
        <v>2109</v>
      </c>
      <c r="G1636" s="1" t="s">
        <v>2124</v>
      </c>
      <c r="I1636" s="1" t="s">
        <v>104</v>
      </c>
      <c r="K1636" s="1" t="s">
        <v>2125</v>
      </c>
      <c r="O1636" s="55">
        <v>1</v>
      </c>
      <c r="T1636" s="60">
        <v>1</v>
      </c>
      <c r="AL1636" s="60" t="s">
        <v>30</v>
      </c>
    </row>
    <row r="1637" spans="1:38" x14ac:dyDescent="0.2">
      <c r="A1637" s="1" t="s">
        <v>2100</v>
      </c>
      <c r="B1637" s="1" t="s">
        <v>2107</v>
      </c>
      <c r="C1637" s="1" t="s">
        <v>5723</v>
      </c>
      <c r="D1637" s="48">
        <v>14</v>
      </c>
      <c r="E1637" s="1">
        <v>4</v>
      </c>
      <c r="F1637" s="1" t="s">
        <v>2109</v>
      </c>
      <c r="G1637" s="1" t="s">
        <v>2108</v>
      </c>
      <c r="I1637" s="1" t="s">
        <v>88</v>
      </c>
      <c r="K1637" s="1" t="s">
        <v>196</v>
      </c>
      <c r="AL1637" s="60" t="s">
        <v>30</v>
      </c>
    </row>
    <row r="1638" spans="1:38" x14ac:dyDescent="0.2">
      <c r="A1638" s="1" t="s">
        <v>2100</v>
      </c>
      <c r="B1638" s="1" t="s">
        <v>2121</v>
      </c>
      <c r="C1638" s="1" t="s">
        <v>5723</v>
      </c>
      <c r="D1638" s="48">
        <v>15</v>
      </c>
      <c r="E1638" s="1">
        <v>1</v>
      </c>
      <c r="F1638" s="1" t="s">
        <v>2109</v>
      </c>
      <c r="G1638" s="1" t="s">
        <v>2122</v>
      </c>
      <c r="I1638" s="1" t="s">
        <v>88</v>
      </c>
      <c r="K1638" s="1" t="s">
        <v>324</v>
      </c>
      <c r="AL1638" s="60" t="s">
        <v>30</v>
      </c>
    </row>
    <row r="1639" spans="1:38" x14ac:dyDescent="0.2">
      <c r="A1639" s="1" t="s">
        <v>2100</v>
      </c>
      <c r="B1639" s="1" t="s">
        <v>2144</v>
      </c>
      <c r="C1639" s="1" t="s">
        <v>5723</v>
      </c>
      <c r="D1639" s="48">
        <v>16</v>
      </c>
      <c r="E1639" s="1">
        <v>1</v>
      </c>
      <c r="F1639" s="1" t="s">
        <v>2109</v>
      </c>
      <c r="G1639" s="1" t="s">
        <v>9574</v>
      </c>
      <c r="I1639" s="1" t="s">
        <v>125</v>
      </c>
      <c r="M1639" s="18">
        <v>1</v>
      </c>
      <c r="N1639" s="54" t="s">
        <v>9529</v>
      </c>
      <c r="X1639" s="1" t="s">
        <v>2145</v>
      </c>
      <c r="Y1639" s="1" t="s">
        <v>9574</v>
      </c>
      <c r="AA1639" s="1" t="s">
        <v>125</v>
      </c>
      <c r="AE1639" s="1">
        <v>1</v>
      </c>
      <c r="AF1639" s="54" t="s">
        <v>9530</v>
      </c>
      <c r="AL1639" s="60" t="s">
        <v>243</v>
      </c>
    </row>
    <row r="1640" spans="1:38" x14ac:dyDescent="0.2">
      <c r="A1640" s="1" t="s">
        <v>2100</v>
      </c>
      <c r="B1640" s="1" t="s">
        <v>2146</v>
      </c>
      <c r="C1640" s="1" t="s">
        <v>5723</v>
      </c>
      <c r="D1640" s="48">
        <v>17</v>
      </c>
      <c r="E1640" s="1">
        <v>1</v>
      </c>
      <c r="F1640" s="1" t="s">
        <v>2109</v>
      </c>
      <c r="G1640" s="1" t="s">
        <v>9633</v>
      </c>
      <c r="I1640" s="1" t="s">
        <v>125</v>
      </c>
      <c r="M1640" s="18">
        <v>2</v>
      </c>
      <c r="N1640" s="54" t="s">
        <v>9529</v>
      </c>
      <c r="Y1640" s="1" t="s">
        <v>9633</v>
      </c>
      <c r="AA1640" s="1" t="s">
        <v>125</v>
      </c>
      <c r="AE1640" s="1">
        <v>2</v>
      </c>
      <c r="AF1640" s="54" t="s">
        <v>9530</v>
      </c>
      <c r="AL1640" s="60" t="s">
        <v>166</v>
      </c>
    </row>
    <row r="1641" spans="1:38" x14ac:dyDescent="0.2">
      <c r="A1641" s="1" t="s">
        <v>2100</v>
      </c>
      <c r="B1641" s="1" t="s">
        <v>2147</v>
      </c>
      <c r="C1641" s="1" t="s">
        <v>5723</v>
      </c>
      <c r="D1641" s="48">
        <v>18</v>
      </c>
      <c r="E1641" s="1">
        <v>1</v>
      </c>
      <c r="F1641" s="1" t="s">
        <v>2109</v>
      </c>
      <c r="G1641" s="1" t="s">
        <v>9693</v>
      </c>
      <c r="I1641" s="1" t="s">
        <v>125</v>
      </c>
      <c r="M1641" s="18">
        <v>3</v>
      </c>
      <c r="N1641" s="54" t="s">
        <v>9529</v>
      </c>
      <c r="Y1641" s="1" t="s">
        <v>9693</v>
      </c>
      <c r="AA1641" s="1" t="s">
        <v>125</v>
      </c>
      <c r="AE1641" s="1">
        <v>3</v>
      </c>
      <c r="AF1641" s="54" t="s">
        <v>9530</v>
      </c>
      <c r="AL1641" s="60" t="s">
        <v>341</v>
      </c>
    </row>
    <row r="1642" spans="1:38" x14ac:dyDescent="0.2">
      <c r="A1642" s="1" t="s">
        <v>2100</v>
      </c>
      <c r="B1642" s="1" t="s">
        <v>2140</v>
      </c>
      <c r="C1642" s="1" t="s">
        <v>5723</v>
      </c>
      <c r="D1642" s="48">
        <v>19</v>
      </c>
      <c r="E1642" s="1">
        <v>3</v>
      </c>
      <c r="F1642" s="1" t="s">
        <v>2109</v>
      </c>
      <c r="G1642" s="1" t="s">
        <v>2141</v>
      </c>
      <c r="I1642" s="1" t="s">
        <v>82</v>
      </c>
      <c r="AL1642" s="60" t="s">
        <v>30</v>
      </c>
    </row>
    <row r="1643" spans="1:38" x14ac:dyDescent="0.2">
      <c r="A1643" s="1" t="s">
        <v>2100</v>
      </c>
      <c r="B1643" s="1" t="s">
        <v>2113</v>
      </c>
      <c r="C1643" s="1" t="s">
        <v>5723</v>
      </c>
      <c r="D1643" s="48">
        <v>20</v>
      </c>
      <c r="E1643" s="1">
        <v>2</v>
      </c>
      <c r="F1643" s="1" t="s">
        <v>2109</v>
      </c>
      <c r="G1643" s="1" t="s">
        <v>2114</v>
      </c>
      <c r="I1643" s="1" t="s">
        <v>82</v>
      </c>
      <c r="AL1643" s="60" t="s">
        <v>30</v>
      </c>
    </row>
    <row r="1644" spans="1:38" x14ac:dyDescent="0.2">
      <c r="A1644" s="1" t="s">
        <v>2100</v>
      </c>
      <c r="B1644" s="1" t="s">
        <v>2134</v>
      </c>
      <c r="C1644" s="1" t="s">
        <v>5723</v>
      </c>
      <c r="D1644" s="48">
        <v>21</v>
      </c>
      <c r="E1644" s="1">
        <v>2</v>
      </c>
      <c r="F1644" s="1" t="s">
        <v>2109</v>
      </c>
      <c r="G1644" s="1" t="s">
        <v>2135</v>
      </c>
      <c r="I1644" s="1" t="s">
        <v>82</v>
      </c>
      <c r="AL1644" s="60" t="s">
        <v>30</v>
      </c>
    </row>
    <row r="1645" spans="1:38" x14ac:dyDescent="0.2">
      <c r="A1645" s="115" t="s">
        <v>1869</v>
      </c>
      <c r="B1645" s="115" t="s">
        <v>1897</v>
      </c>
      <c r="C1645" s="115" t="s">
        <v>5724</v>
      </c>
      <c r="D1645" s="116">
        <v>1</v>
      </c>
      <c r="E1645" s="115"/>
      <c r="F1645" s="115" t="s">
        <v>1871</v>
      </c>
      <c r="G1645" s="115" t="s">
        <v>1898</v>
      </c>
      <c r="I1645" s="1" t="s">
        <v>27</v>
      </c>
      <c r="J1645" s="1" t="s">
        <v>50</v>
      </c>
      <c r="K1645" s="1" t="s">
        <v>368</v>
      </c>
      <c r="M1645" s="18">
        <v>10</v>
      </c>
      <c r="P1645" s="56">
        <v>1</v>
      </c>
      <c r="Q1645" s="57">
        <v>3</v>
      </c>
      <c r="R1645" s="58">
        <v>2</v>
      </c>
      <c r="S1645" s="59">
        <v>4</v>
      </c>
      <c r="AL1645" s="60" t="s">
        <v>30</v>
      </c>
    </row>
    <row r="1646" spans="1:38" x14ac:dyDescent="0.2">
      <c r="A1646" s="1" t="s">
        <v>1869</v>
      </c>
      <c r="B1646" s="1" t="s">
        <v>1889</v>
      </c>
      <c r="C1646" s="1" t="s">
        <v>5724</v>
      </c>
      <c r="D1646" s="48">
        <v>2</v>
      </c>
      <c r="E1646" s="1">
        <v>1</v>
      </c>
      <c r="F1646" s="1" t="s">
        <v>1871</v>
      </c>
      <c r="G1646" s="1" t="s">
        <v>1890</v>
      </c>
      <c r="I1646" s="1" t="s">
        <v>94</v>
      </c>
      <c r="K1646" s="1" t="s">
        <v>1877</v>
      </c>
      <c r="N1646" s="54">
        <v>40</v>
      </c>
      <c r="O1646" s="55">
        <v>0</v>
      </c>
      <c r="Q1646" s="57">
        <v>6</v>
      </c>
      <c r="R1646" s="58">
        <v>3</v>
      </c>
      <c r="S1646" s="59">
        <v>5</v>
      </c>
      <c r="U1646" s="1">
        <v>5</v>
      </c>
      <c r="AL1646" s="60" t="s">
        <v>30</v>
      </c>
    </row>
    <row r="1647" spans="1:38" x14ac:dyDescent="0.2">
      <c r="A1647" s="1" t="s">
        <v>1869</v>
      </c>
      <c r="B1647" s="1" t="s">
        <v>1884</v>
      </c>
      <c r="C1647" s="1" t="s">
        <v>5724</v>
      </c>
      <c r="D1647" s="48">
        <v>3</v>
      </c>
      <c r="E1647" s="1">
        <v>3</v>
      </c>
      <c r="F1647" s="1" t="s">
        <v>1871</v>
      </c>
      <c r="G1647" s="1" t="s">
        <v>1885</v>
      </c>
      <c r="I1647" s="1" t="s">
        <v>94</v>
      </c>
      <c r="K1647" s="1" t="s">
        <v>1886</v>
      </c>
      <c r="N1647" s="54">
        <v>22</v>
      </c>
      <c r="O1647" s="55">
        <v>1</v>
      </c>
      <c r="Q1647" s="57">
        <v>3</v>
      </c>
      <c r="R1647" s="58">
        <v>2</v>
      </c>
      <c r="S1647" s="59">
        <v>4</v>
      </c>
      <c r="AL1647" s="60" t="s">
        <v>30</v>
      </c>
    </row>
    <row r="1648" spans="1:38" x14ac:dyDescent="0.2">
      <c r="A1648" s="1" t="s">
        <v>1869</v>
      </c>
      <c r="B1648" s="1" t="s">
        <v>1887</v>
      </c>
      <c r="C1648" s="1" t="s">
        <v>5724</v>
      </c>
      <c r="D1648" s="48">
        <v>4</v>
      </c>
      <c r="E1648" s="1">
        <v>3</v>
      </c>
      <c r="F1648" s="1" t="s">
        <v>1871</v>
      </c>
      <c r="G1648" s="1" t="s">
        <v>1888</v>
      </c>
      <c r="I1648" s="1" t="s">
        <v>94</v>
      </c>
      <c r="K1648" s="1" t="s">
        <v>1877</v>
      </c>
      <c r="N1648" s="54">
        <v>30</v>
      </c>
      <c r="O1648" s="55">
        <v>3</v>
      </c>
      <c r="Q1648" s="57">
        <v>2</v>
      </c>
      <c r="R1648" s="58">
        <v>0</v>
      </c>
      <c r="S1648" s="59">
        <v>3</v>
      </c>
      <c r="AL1648" s="60" t="s">
        <v>30</v>
      </c>
    </row>
    <row r="1649" spans="1:38" x14ac:dyDescent="0.2">
      <c r="A1649" s="1" t="s">
        <v>1869</v>
      </c>
      <c r="B1649" s="1" t="s">
        <v>1895</v>
      </c>
      <c r="C1649" s="1" t="s">
        <v>5724</v>
      </c>
      <c r="D1649" s="48">
        <v>5</v>
      </c>
      <c r="E1649" s="1">
        <v>2</v>
      </c>
      <c r="F1649" s="1" t="s">
        <v>1871</v>
      </c>
      <c r="G1649" s="1" t="s">
        <v>1896</v>
      </c>
      <c r="I1649" s="1" t="s">
        <v>94</v>
      </c>
      <c r="K1649" s="1" t="s">
        <v>1877</v>
      </c>
      <c r="N1649" s="54">
        <v>28</v>
      </c>
      <c r="O1649" s="55">
        <v>2</v>
      </c>
      <c r="Q1649" s="57">
        <v>2</v>
      </c>
      <c r="R1649" s="58">
        <v>1</v>
      </c>
      <c r="S1649" s="59">
        <v>3</v>
      </c>
      <c r="AL1649" s="60" t="s">
        <v>30</v>
      </c>
    </row>
    <row r="1650" spans="1:38" x14ac:dyDescent="0.2">
      <c r="A1650" s="1" t="s">
        <v>1869</v>
      </c>
      <c r="B1650" s="1" t="s">
        <v>1875</v>
      </c>
      <c r="C1650" s="1" t="s">
        <v>5724</v>
      </c>
      <c r="D1650" s="48">
        <v>6</v>
      </c>
      <c r="E1650" s="1">
        <v>1</v>
      </c>
      <c r="F1650" s="1" t="s">
        <v>1871</v>
      </c>
      <c r="G1650" s="1" t="s">
        <v>1876</v>
      </c>
      <c r="I1650" s="1" t="s">
        <v>94</v>
      </c>
      <c r="K1650" s="1" t="s">
        <v>1877</v>
      </c>
      <c r="N1650" s="54">
        <v>34</v>
      </c>
      <c r="O1650" s="55">
        <v>3</v>
      </c>
      <c r="Q1650" s="57">
        <v>4</v>
      </c>
      <c r="R1650" s="58">
        <v>3</v>
      </c>
      <c r="S1650" s="59">
        <v>6</v>
      </c>
      <c r="U1650" s="1">
        <v>5</v>
      </c>
      <c r="AL1650" s="60" t="s">
        <v>30</v>
      </c>
    </row>
    <row r="1651" spans="1:38" x14ac:dyDescent="0.2">
      <c r="A1651" s="1" t="s">
        <v>1869</v>
      </c>
      <c r="B1651" s="1" t="s">
        <v>1880</v>
      </c>
      <c r="C1651" s="1" t="s">
        <v>5724</v>
      </c>
      <c r="D1651" s="48">
        <v>7</v>
      </c>
      <c r="E1651" s="1">
        <v>2</v>
      </c>
      <c r="F1651" s="1" t="s">
        <v>1871</v>
      </c>
      <c r="G1651" s="1" t="s">
        <v>1881</v>
      </c>
      <c r="I1651" s="1" t="s">
        <v>104</v>
      </c>
      <c r="K1651" s="1" t="s">
        <v>105</v>
      </c>
      <c r="O1651" s="55">
        <v>3</v>
      </c>
      <c r="T1651" s="60">
        <v>4</v>
      </c>
      <c r="AL1651" s="60" t="s">
        <v>30</v>
      </c>
    </row>
    <row r="1652" spans="1:38" x14ac:dyDescent="0.2">
      <c r="A1652" s="1" t="s">
        <v>1869</v>
      </c>
      <c r="B1652" s="1" t="s">
        <v>1878</v>
      </c>
      <c r="C1652" s="1" t="s">
        <v>5724</v>
      </c>
      <c r="D1652" s="48">
        <v>8</v>
      </c>
      <c r="E1652" s="1">
        <v>2</v>
      </c>
      <c r="F1652" s="1" t="s">
        <v>1871</v>
      </c>
      <c r="G1652" s="1" t="s">
        <v>1879</v>
      </c>
      <c r="I1652" s="1" t="s">
        <v>104</v>
      </c>
      <c r="K1652" s="1" t="s">
        <v>105</v>
      </c>
      <c r="O1652" s="55">
        <v>1</v>
      </c>
      <c r="T1652" s="60">
        <v>3</v>
      </c>
      <c r="AL1652" s="60" t="s">
        <v>30</v>
      </c>
    </row>
    <row r="1653" spans="1:38" x14ac:dyDescent="0.2">
      <c r="A1653" s="1" t="s">
        <v>1869</v>
      </c>
      <c r="B1653" s="1" t="s">
        <v>1873</v>
      </c>
      <c r="C1653" s="1" t="s">
        <v>5724</v>
      </c>
      <c r="D1653" s="48">
        <v>9</v>
      </c>
      <c r="E1653" s="1">
        <v>8</v>
      </c>
      <c r="F1653" s="1" t="s">
        <v>1871</v>
      </c>
      <c r="G1653" s="1" t="s">
        <v>1874</v>
      </c>
      <c r="I1653" s="1" t="s">
        <v>88</v>
      </c>
      <c r="K1653" s="1" t="s">
        <v>89</v>
      </c>
      <c r="AL1653" s="60" t="s">
        <v>30</v>
      </c>
    </row>
    <row r="1654" spans="1:38" x14ac:dyDescent="0.2">
      <c r="A1654" s="1" t="s">
        <v>1869</v>
      </c>
      <c r="B1654" s="1" t="s">
        <v>1870</v>
      </c>
      <c r="C1654" s="1" t="s">
        <v>5724</v>
      </c>
      <c r="D1654" s="48">
        <v>10</v>
      </c>
      <c r="E1654" s="1">
        <v>1</v>
      </c>
      <c r="F1654" s="1" t="s">
        <v>1871</v>
      </c>
      <c r="G1654" s="1" t="s">
        <v>9575</v>
      </c>
      <c r="I1654" s="1" t="s">
        <v>125</v>
      </c>
      <c r="M1654" s="18">
        <v>1</v>
      </c>
      <c r="N1654" s="54" t="s">
        <v>9529</v>
      </c>
      <c r="X1654" s="1" t="s">
        <v>1872</v>
      </c>
      <c r="Y1654" s="1" t="s">
        <v>9575</v>
      </c>
      <c r="AA1654" s="1" t="s">
        <v>125</v>
      </c>
      <c r="AE1654" s="1">
        <v>1</v>
      </c>
      <c r="AF1654" s="54" t="s">
        <v>9530</v>
      </c>
      <c r="AL1654" s="60" t="s">
        <v>34</v>
      </c>
    </row>
    <row r="1655" spans="1:38" x14ac:dyDescent="0.2">
      <c r="A1655" s="1" t="s">
        <v>1869</v>
      </c>
      <c r="B1655" s="1" t="s">
        <v>1894</v>
      </c>
      <c r="C1655" s="1" t="s">
        <v>5724</v>
      </c>
      <c r="D1655" s="48">
        <v>11</v>
      </c>
      <c r="E1655" s="1">
        <v>1</v>
      </c>
      <c r="F1655" s="1" t="s">
        <v>1871</v>
      </c>
      <c r="G1655" s="1" t="s">
        <v>9634</v>
      </c>
      <c r="I1655" s="1" t="s">
        <v>125</v>
      </c>
      <c r="M1655" s="18">
        <v>2</v>
      </c>
      <c r="N1655" s="54" t="s">
        <v>9529</v>
      </c>
      <c r="Y1655" s="1" t="s">
        <v>9634</v>
      </c>
      <c r="AA1655" s="1" t="s">
        <v>125</v>
      </c>
      <c r="AE1655" s="1">
        <v>2</v>
      </c>
      <c r="AF1655" s="54" t="s">
        <v>9530</v>
      </c>
      <c r="AL1655" s="60" t="s">
        <v>341</v>
      </c>
    </row>
    <row r="1656" spans="1:38" x14ac:dyDescent="0.2">
      <c r="A1656" s="1" t="s">
        <v>1869</v>
      </c>
      <c r="B1656" s="1" t="s">
        <v>1891</v>
      </c>
      <c r="C1656" s="1" t="s">
        <v>5724</v>
      </c>
      <c r="D1656" s="48">
        <v>12</v>
      </c>
      <c r="E1656" s="1">
        <v>1</v>
      </c>
      <c r="F1656" s="1" t="s">
        <v>1871</v>
      </c>
      <c r="G1656" s="1" t="s">
        <v>9694</v>
      </c>
      <c r="I1656" s="1" t="s">
        <v>125</v>
      </c>
      <c r="M1656" s="18">
        <v>3</v>
      </c>
      <c r="N1656" s="54" t="s">
        <v>9529</v>
      </c>
      <c r="Y1656" s="1" t="s">
        <v>9694</v>
      </c>
      <c r="AA1656" s="1" t="s">
        <v>125</v>
      </c>
      <c r="AE1656" s="1">
        <v>3</v>
      </c>
      <c r="AF1656" s="54" t="s">
        <v>9530</v>
      </c>
      <c r="AL1656" s="60" t="s">
        <v>5621</v>
      </c>
    </row>
    <row r="1657" spans="1:38" x14ac:dyDescent="0.2">
      <c r="A1657" s="1" t="s">
        <v>1869</v>
      </c>
      <c r="B1657" s="1" t="s">
        <v>1882</v>
      </c>
      <c r="C1657" s="1" t="s">
        <v>5724</v>
      </c>
      <c r="D1657" s="48">
        <v>13</v>
      </c>
      <c r="E1657" s="1">
        <v>2</v>
      </c>
      <c r="F1657" s="1" t="s">
        <v>1871</v>
      </c>
      <c r="G1657" s="1" t="s">
        <v>1883</v>
      </c>
      <c r="I1657" s="1" t="s">
        <v>82</v>
      </c>
      <c r="AL1657" s="60" t="s">
        <v>30</v>
      </c>
    </row>
    <row r="1658" spans="1:38" x14ac:dyDescent="0.2">
      <c r="A1658" s="1" t="s">
        <v>1869</v>
      </c>
      <c r="B1658" s="1" t="s">
        <v>1892</v>
      </c>
      <c r="C1658" s="1" t="s">
        <v>5724</v>
      </c>
      <c r="D1658" s="48">
        <v>14</v>
      </c>
      <c r="E1658" s="1">
        <v>2</v>
      </c>
      <c r="F1658" s="1" t="s">
        <v>1871</v>
      </c>
      <c r="G1658" s="1" t="s">
        <v>1893</v>
      </c>
      <c r="I1658" s="1" t="s">
        <v>82</v>
      </c>
      <c r="AL1658" s="60" t="s">
        <v>30</v>
      </c>
    </row>
    <row r="1659" spans="1:38" x14ac:dyDescent="0.2">
      <c r="A1659" s="115" t="s">
        <v>1620</v>
      </c>
      <c r="B1659" s="115" t="s">
        <v>1652</v>
      </c>
      <c r="C1659" s="115" t="s">
        <v>5722</v>
      </c>
      <c r="D1659" s="116">
        <v>1</v>
      </c>
      <c r="E1659" s="115">
        <v>1</v>
      </c>
      <c r="F1659" s="115"/>
      <c r="G1659" s="115" t="s">
        <v>1653</v>
      </c>
      <c r="I1659" s="1" t="s">
        <v>94</v>
      </c>
      <c r="AL1659" s="60" t="s">
        <v>30</v>
      </c>
    </row>
    <row r="1660" spans="1:38" x14ac:dyDescent="0.2">
      <c r="A1660" s="1" t="s">
        <v>1620</v>
      </c>
      <c r="B1660" s="1" t="s">
        <v>1636</v>
      </c>
      <c r="C1660" s="1" t="s">
        <v>5722</v>
      </c>
      <c r="D1660" s="48">
        <v>2</v>
      </c>
      <c r="E1660" s="1">
        <v>2</v>
      </c>
      <c r="G1660" s="1" t="s">
        <v>1637</v>
      </c>
      <c r="I1660" s="1" t="s">
        <v>94</v>
      </c>
      <c r="AL1660" s="60" t="s">
        <v>30</v>
      </c>
    </row>
    <row r="1661" spans="1:38" x14ac:dyDescent="0.2">
      <c r="A1661" s="1" t="s">
        <v>1620</v>
      </c>
      <c r="B1661" s="1" t="s">
        <v>1662</v>
      </c>
      <c r="C1661" s="1" t="s">
        <v>5722</v>
      </c>
      <c r="D1661" s="48">
        <v>3</v>
      </c>
      <c r="E1661" s="1">
        <v>4</v>
      </c>
      <c r="G1661" s="1" t="s">
        <v>1663</v>
      </c>
      <c r="I1661" s="1" t="s">
        <v>94</v>
      </c>
      <c r="AL1661" s="60" t="s">
        <v>30</v>
      </c>
    </row>
    <row r="1662" spans="1:38" x14ac:dyDescent="0.2">
      <c r="A1662" s="1" t="s">
        <v>1620</v>
      </c>
      <c r="B1662" s="1" t="s">
        <v>1630</v>
      </c>
      <c r="C1662" s="1" t="s">
        <v>5722</v>
      </c>
      <c r="D1662" s="48">
        <v>4</v>
      </c>
      <c r="E1662" s="1">
        <v>3</v>
      </c>
      <c r="G1662" s="1" t="s">
        <v>1631</v>
      </c>
      <c r="I1662" s="1" t="s">
        <v>94</v>
      </c>
      <c r="AL1662" s="60" t="s">
        <v>30</v>
      </c>
    </row>
    <row r="1663" spans="1:38" x14ac:dyDescent="0.2">
      <c r="A1663" s="1" t="s">
        <v>1620</v>
      </c>
      <c r="B1663" s="1" t="s">
        <v>1623</v>
      </c>
      <c r="C1663" s="1" t="s">
        <v>5722</v>
      </c>
      <c r="D1663" s="48">
        <v>5</v>
      </c>
      <c r="E1663" s="1">
        <v>4</v>
      </c>
      <c r="G1663" s="1" t="s">
        <v>1624</v>
      </c>
      <c r="I1663" s="1" t="s">
        <v>94</v>
      </c>
      <c r="AL1663" s="60" t="s">
        <v>30</v>
      </c>
    </row>
    <row r="1664" spans="1:38" x14ac:dyDescent="0.2">
      <c r="A1664" s="1" t="s">
        <v>1620</v>
      </c>
      <c r="B1664" s="1" t="s">
        <v>1658</v>
      </c>
      <c r="C1664" s="1" t="s">
        <v>5722</v>
      </c>
      <c r="D1664" s="48">
        <v>6</v>
      </c>
      <c r="E1664" s="1">
        <v>4</v>
      </c>
      <c r="G1664" s="1" t="s">
        <v>1659</v>
      </c>
      <c r="I1664" s="1" t="s">
        <v>94</v>
      </c>
      <c r="AL1664" s="60" t="s">
        <v>30</v>
      </c>
    </row>
    <row r="1665" spans="1:38" x14ac:dyDescent="0.2">
      <c r="A1665" s="1" t="s">
        <v>1620</v>
      </c>
      <c r="B1665" s="1" t="s">
        <v>1632</v>
      </c>
      <c r="C1665" s="1" t="s">
        <v>5722</v>
      </c>
      <c r="D1665" s="48">
        <v>7</v>
      </c>
      <c r="E1665" s="1">
        <v>3</v>
      </c>
      <c r="F1665" s="1" t="s">
        <v>5328</v>
      </c>
      <c r="G1665" s="1" t="s">
        <v>1633</v>
      </c>
      <c r="I1665" s="1" t="s">
        <v>104</v>
      </c>
      <c r="O1665" s="55">
        <v>1</v>
      </c>
      <c r="T1665" s="60">
        <v>6</v>
      </c>
      <c r="AL1665" s="60" t="s">
        <v>30</v>
      </c>
    </row>
    <row r="1666" spans="1:38" x14ac:dyDescent="0.2">
      <c r="A1666" s="1" t="s">
        <v>1620</v>
      </c>
      <c r="B1666" s="1" t="s">
        <v>1650</v>
      </c>
      <c r="C1666" s="1" t="s">
        <v>5722</v>
      </c>
      <c r="D1666" s="48">
        <v>8</v>
      </c>
      <c r="E1666" s="1">
        <v>2</v>
      </c>
      <c r="F1666" s="1" t="s">
        <v>5328</v>
      </c>
      <c r="G1666" s="1" t="s">
        <v>1651</v>
      </c>
      <c r="I1666" s="1" t="s">
        <v>104</v>
      </c>
      <c r="O1666" s="55">
        <v>1</v>
      </c>
      <c r="T1666" s="60">
        <v>3</v>
      </c>
      <c r="AL1666" s="60" t="s">
        <v>30</v>
      </c>
    </row>
    <row r="1667" spans="1:38" x14ac:dyDescent="0.2">
      <c r="A1667" s="1" t="s">
        <v>1620</v>
      </c>
      <c r="B1667" s="1" t="s">
        <v>1625</v>
      </c>
      <c r="C1667" s="1" t="s">
        <v>5722</v>
      </c>
      <c r="D1667" s="48">
        <v>9</v>
      </c>
      <c r="E1667" s="1">
        <v>2</v>
      </c>
      <c r="F1667" s="1" t="s">
        <v>5328</v>
      </c>
      <c r="G1667" s="1" t="s">
        <v>1626</v>
      </c>
      <c r="I1667" s="1" t="s">
        <v>104</v>
      </c>
      <c r="O1667" s="55">
        <v>5</v>
      </c>
      <c r="T1667" s="60">
        <v>5</v>
      </c>
      <c r="AL1667" s="60" t="s">
        <v>30</v>
      </c>
    </row>
    <row r="1668" spans="1:38" x14ac:dyDescent="0.2">
      <c r="A1668" s="1" t="s">
        <v>1620</v>
      </c>
      <c r="B1668" s="1" t="s">
        <v>1642</v>
      </c>
      <c r="C1668" s="1" t="s">
        <v>5722</v>
      </c>
      <c r="D1668" s="48">
        <v>10</v>
      </c>
      <c r="E1668" s="1">
        <v>2</v>
      </c>
      <c r="F1668" s="1" t="s">
        <v>5328</v>
      </c>
      <c r="G1668" s="1" t="s">
        <v>1643</v>
      </c>
      <c r="I1668" s="1" t="s">
        <v>104</v>
      </c>
      <c r="O1668" s="55">
        <v>2</v>
      </c>
      <c r="T1668" s="60">
        <v>2</v>
      </c>
      <c r="AL1668" s="60" t="s">
        <v>30</v>
      </c>
    </row>
    <row r="1669" spans="1:38" x14ac:dyDescent="0.2">
      <c r="A1669" s="1" t="s">
        <v>1620</v>
      </c>
      <c r="B1669" s="1" t="s">
        <v>1656</v>
      </c>
      <c r="C1669" s="1" t="s">
        <v>5722</v>
      </c>
      <c r="D1669" s="48">
        <v>11</v>
      </c>
      <c r="E1669" s="1">
        <v>3</v>
      </c>
      <c r="F1669" s="1" t="s">
        <v>5328</v>
      </c>
      <c r="G1669" s="1" t="s">
        <v>1657</v>
      </c>
      <c r="I1669" s="1" t="s">
        <v>104</v>
      </c>
      <c r="O1669" s="55">
        <v>3</v>
      </c>
      <c r="T1669" s="60">
        <v>3</v>
      </c>
      <c r="AL1669" s="60" t="s">
        <v>30</v>
      </c>
    </row>
    <row r="1670" spans="1:38" x14ac:dyDescent="0.2">
      <c r="A1670" s="1" t="s">
        <v>1620</v>
      </c>
      <c r="B1670" s="1" t="s">
        <v>1666</v>
      </c>
      <c r="C1670" s="1" t="s">
        <v>5722</v>
      </c>
      <c r="D1670" s="48">
        <v>12</v>
      </c>
      <c r="E1670" s="1">
        <v>1</v>
      </c>
      <c r="G1670" s="1" t="s">
        <v>1667</v>
      </c>
      <c r="I1670" s="1" t="s">
        <v>88</v>
      </c>
      <c r="AL1670" s="60" t="s">
        <v>30</v>
      </c>
    </row>
    <row r="1671" spans="1:38" x14ac:dyDescent="0.2">
      <c r="A1671" s="1" t="s">
        <v>1620</v>
      </c>
      <c r="B1671" s="1" t="s">
        <v>1640</v>
      </c>
      <c r="C1671" s="1" t="s">
        <v>5722</v>
      </c>
      <c r="D1671" s="48">
        <v>13</v>
      </c>
      <c r="E1671" s="1">
        <v>2</v>
      </c>
      <c r="G1671" s="1" t="s">
        <v>1641</v>
      </c>
      <c r="I1671" s="1" t="s">
        <v>88</v>
      </c>
      <c r="AL1671" s="60" t="s">
        <v>30</v>
      </c>
    </row>
    <row r="1672" spans="1:38" x14ac:dyDescent="0.2">
      <c r="A1672" s="1" t="s">
        <v>1620</v>
      </c>
      <c r="B1672" s="1" t="s">
        <v>1634</v>
      </c>
      <c r="C1672" s="1" t="s">
        <v>5722</v>
      </c>
      <c r="D1672" s="48">
        <v>14</v>
      </c>
      <c r="E1672" s="1">
        <v>1</v>
      </c>
      <c r="G1672" s="1" t="s">
        <v>1635</v>
      </c>
      <c r="I1672" s="1" t="s">
        <v>125</v>
      </c>
      <c r="M1672" s="18">
        <v>1</v>
      </c>
      <c r="N1672" s="54" t="s">
        <v>9529</v>
      </c>
      <c r="Y1672" s="1" t="s">
        <v>1635</v>
      </c>
      <c r="AA1672" s="1" t="s">
        <v>125</v>
      </c>
      <c r="AE1672" s="1">
        <v>1</v>
      </c>
      <c r="AF1672" s="54" t="s">
        <v>9530</v>
      </c>
      <c r="AL1672" s="60" t="s">
        <v>666</v>
      </c>
    </row>
    <row r="1673" spans="1:38" x14ac:dyDescent="0.2">
      <c r="A1673" s="1" t="s">
        <v>1620</v>
      </c>
      <c r="B1673" s="1" t="s">
        <v>1627</v>
      </c>
      <c r="C1673" s="1" t="s">
        <v>5722</v>
      </c>
      <c r="D1673" s="48">
        <v>15</v>
      </c>
      <c r="E1673" s="1">
        <v>1</v>
      </c>
      <c r="G1673" s="1" t="s">
        <v>1628</v>
      </c>
      <c r="I1673" s="1" t="s">
        <v>125</v>
      </c>
      <c r="M1673" s="18">
        <v>2</v>
      </c>
      <c r="N1673" s="54" t="s">
        <v>9529</v>
      </c>
      <c r="X1673" s="1" t="s">
        <v>1629</v>
      </c>
      <c r="Y1673" s="1" t="s">
        <v>1628</v>
      </c>
      <c r="AA1673" s="1" t="s">
        <v>125</v>
      </c>
      <c r="AE1673" s="1">
        <v>2</v>
      </c>
      <c r="AF1673" s="54" t="s">
        <v>9530</v>
      </c>
      <c r="AL1673" s="60" t="s">
        <v>346</v>
      </c>
    </row>
    <row r="1674" spans="1:38" x14ac:dyDescent="0.2">
      <c r="A1674" s="1" t="s">
        <v>1620</v>
      </c>
      <c r="B1674" s="1" t="s">
        <v>1648</v>
      </c>
      <c r="C1674" s="1" t="s">
        <v>5722</v>
      </c>
      <c r="D1674" s="48">
        <v>16</v>
      </c>
      <c r="E1674" s="1">
        <v>1</v>
      </c>
      <c r="G1674" s="1" t="s">
        <v>1649</v>
      </c>
      <c r="I1674" s="1" t="s">
        <v>125</v>
      </c>
      <c r="M1674" s="18">
        <v>3</v>
      </c>
      <c r="N1674" s="54" t="s">
        <v>9529</v>
      </c>
      <c r="Y1674" s="1" t="s">
        <v>1649</v>
      </c>
      <c r="AA1674" s="1" t="s">
        <v>125</v>
      </c>
      <c r="AE1674" s="1">
        <v>3</v>
      </c>
      <c r="AF1674" s="54" t="s">
        <v>9530</v>
      </c>
      <c r="AL1674" s="60" t="s">
        <v>166</v>
      </c>
    </row>
    <row r="1675" spans="1:38" x14ac:dyDescent="0.2">
      <c r="A1675" s="1" t="s">
        <v>1620</v>
      </c>
      <c r="B1675" s="1" t="s">
        <v>1664</v>
      </c>
      <c r="C1675" s="1" t="s">
        <v>5722</v>
      </c>
      <c r="D1675" s="48">
        <v>17</v>
      </c>
      <c r="E1675" s="1">
        <v>1</v>
      </c>
      <c r="G1675" s="1" t="s">
        <v>1665</v>
      </c>
      <c r="I1675" s="1" t="s">
        <v>125</v>
      </c>
      <c r="M1675" s="18">
        <v>4</v>
      </c>
      <c r="N1675" s="54" t="s">
        <v>9529</v>
      </c>
      <c r="Y1675" s="1" t="s">
        <v>1665</v>
      </c>
      <c r="AA1675" s="1" t="s">
        <v>125</v>
      </c>
      <c r="AE1675" s="1">
        <v>4</v>
      </c>
      <c r="AF1675" s="54" t="s">
        <v>9530</v>
      </c>
      <c r="AL1675" s="60" t="s">
        <v>36</v>
      </c>
    </row>
    <row r="1676" spans="1:38" x14ac:dyDescent="0.2">
      <c r="A1676" s="1" t="s">
        <v>1620</v>
      </c>
      <c r="B1676" s="1" t="s">
        <v>1644</v>
      </c>
      <c r="C1676" s="1" t="s">
        <v>5722</v>
      </c>
      <c r="D1676" s="48">
        <v>18</v>
      </c>
      <c r="E1676" s="1">
        <v>1</v>
      </c>
      <c r="G1676" s="1" t="s">
        <v>1645</v>
      </c>
      <c r="I1676" s="1" t="s">
        <v>125</v>
      </c>
      <c r="M1676" s="18">
        <v>5</v>
      </c>
      <c r="N1676" s="54" t="s">
        <v>9529</v>
      </c>
      <c r="Y1676" s="1" t="s">
        <v>1645</v>
      </c>
      <c r="AA1676" s="1" t="s">
        <v>125</v>
      </c>
      <c r="AE1676" s="1">
        <v>5</v>
      </c>
      <c r="AF1676" s="54" t="s">
        <v>9530</v>
      </c>
      <c r="AL1676" s="60" t="s">
        <v>67</v>
      </c>
    </row>
    <row r="1677" spans="1:38" x14ac:dyDescent="0.2">
      <c r="A1677" s="1" t="s">
        <v>1620</v>
      </c>
      <c r="B1677" s="1" t="s">
        <v>1638</v>
      </c>
      <c r="C1677" s="1" t="s">
        <v>5722</v>
      </c>
      <c r="D1677" s="48">
        <v>19</v>
      </c>
      <c r="E1677" s="1">
        <v>2</v>
      </c>
      <c r="G1677" s="1" t="s">
        <v>1639</v>
      </c>
      <c r="I1677" s="1" t="s">
        <v>82</v>
      </c>
      <c r="AL1677" s="60" t="s">
        <v>30</v>
      </c>
    </row>
    <row r="1678" spans="1:38" x14ac:dyDescent="0.2">
      <c r="A1678" s="1" t="s">
        <v>1620</v>
      </c>
      <c r="B1678" s="1" t="s">
        <v>1660</v>
      </c>
      <c r="C1678" s="1" t="s">
        <v>5722</v>
      </c>
      <c r="D1678" s="48">
        <v>20</v>
      </c>
      <c r="E1678" s="1">
        <v>3</v>
      </c>
      <c r="G1678" s="1" t="s">
        <v>1661</v>
      </c>
      <c r="I1678" s="1" t="s">
        <v>82</v>
      </c>
      <c r="AL1678" s="60" t="s">
        <v>30</v>
      </c>
    </row>
    <row r="1679" spans="1:38" x14ac:dyDescent="0.2">
      <c r="A1679" s="1" t="s">
        <v>1620</v>
      </c>
      <c r="B1679" s="1" t="s">
        <v>1621</v>
      </c>
      <c r="C1679" s="1" t="s">
        <v>5722</v>
      </c>
      <c r="D1679" s="48">
        <v>21</v>
      </c>
      <c r="E1679" s="1">
        <v>3</v>
      </c>
      <c r="G1679" s="1" t="s">
        <v>1622</v>
      </c>
      <c r="I1679" s="1" t="s">
        <v>82</v>
      </c>
      <c r="AL1679" s="60" t="s">
        <v>30</v>
      </c>
    </row>
    <row r="1680" spans="1:38" x14ac:dyDescent="0.2">
      <c r="A1680" s="1" t="s">
        <v>1620</v>
      </c>
      <c r="B1680" s="1" t="s">
        <v>1654</v>
      </c>
      <c r="C1680" s="1" t="s">
        <v>5722</v>
      </c>
      <c r="D1680" s="48">
        <v>22</v>
      </c>
      <c r="E1680" s="1">
        <v>4</v>
      </c>
      <c r="G1680" s="1" t="s">
        <v>1655</v>
      </c>
      <c r="I1680" s="1" t="s">
        <v>82</v>
      </c>
      <c r="AL1680" s="60" t="s">
        <v>30</v>
      </c>
    </row>
    <row r="1681" spans="1:40" x14ac:dyDescent="0.2">
      <c r="A1681" s="1" t="s">
        <v>1620</v>
      </c>
      <c r="B1681" s="1" t="s">
        <v>1646</v>
      </c>
      <c r="C1681" s="1" t="s">
        <v>5722</v>
      </c>
      <c r="D1681" s="48">
        <v>23</v>
      </c>
      <c r="E1681" s="1">
        <v>2</v>
      </c>
      <c r="G1681" s="1" t="s">
        <v>1647</v>
      </c>
      <c r="I1681" s="1" t="s">
        <v>82</v>
      </c>
      <c r="AL1681" s="60" t="s">
        <v>30</v>
      </c>
    </row>
    <row r="1682" spans="1:40" ht="24" x14ac:dyDescent="0.2">
      <c r="A1682" s="115" t="s">
        <v>874</v>
      </c>
      <c r="B1682" s="115" t="s">
        <v>887</v>
      </c>
      <c r="C1682" s="115" t="s">
        <v>5725</v>
      </c>
      <c r="D1682" s="116">
        <v>1</v>
      </c>
      <c r="E1682" s="115"/>
      <c r="F1682" s="115" t="s">
        <v>877</v>
      </c>
      <c r="G1682" s="115" t="s">
        <v>888</v>
      </c>
      <c r="H1682" s="1" t="s">
        <v>26</v>
      </c>
      <c r="I1682" s="1" t="s">
        <v>27</v>
      </c>
      <c r="J1682" s="1" t="s">
        <v>28</v>
      </c>
      <c r="K1682" s="1" t="s">
        <v>358</v>
      </c>
      <c r="M1682" s="18">
        <v>11</v>
      </c>
      <c r="P1682" s="56">
        <v>2</v>
      </c>
      <c r="Q1682" s="57">
        <v>2</v>
      </c>
      <c r="R1682" s="58">
        <v>2</v>
      </c>
      <c r="S1682" s="59">
        <v>5</v>
      </c>
      <c r="V1682" s="4" t="s">
        <v>889</v>
      </c>
      <c r="AL1682" s="60" t="s">
        <v>30</v>
      </c>
    </row>
    <row r="1683" spans="1:40" ht="60" x14ac:dyDescent="0.2">
      <c r="A1683" s="1" t="s">
        <v>874</v>
      </c>
      <c r="B1683" s="1" t="s">
        <v>890</v>
      </c>
      <c r="C1683" s="1" t="s">
        <v>5725</v>
      </c>
      <c r="D1683" s="48">
        <v>2</v>
      </c>
      <c r="F1683" s="1" t="s">
        <v>877</v>
      </c>
      <c r="G1683" s="1" t="s">
        <v>891</v>
      </c>
      <c r="I1683" s="1" t="s">
        <v>104</v>
      </c>
      <c r="K1683" s="1" t="s">
        <v>892</v>
      </c>
      <c r="O1683" s="55">
        <v>1</v>
      </c>
      <c r="T1683" s="60">
        <v>2</v>
      </c>
      <c r="U1683" s="1">
        <v>2</v>
      </c>
      <c r="V1683" s="4" t="s">
        <v>893</v>
      </c>
      <c r="AL1683" s="60" t="s">
        <v>30</v>
      </c>
    </row>
    <row r="1684" spans="1:40" ht="84" x14ac:dyDescent="0.2">
      <c r="A1684" s="1" t="s">
        <v>874</v>
      </c>
      <c r="B1684" s="1" t="s">
        <v>883</v>
      </c>
      <c r="C1684" s="1" t="s">
        <v>5725</v>
      </c>
      <c r="D1684" s="48">
        <v>3</v>
      </c>
      <c r="F1684" s="1" t="s">
        <v>877</v>
      </c>
      <c r="G1684" s="1" t="s">
        <v>884</v>
      </c>
      <c r="I1684" s="1" t="s">
        <v>88</v>
      </c>
      <c r="K1684" s="1" t="s">
        <v>885</v>
      </c>
      <c r="U1684" s="1">
        <v>1</v>
      </c>
      <c r="V1684" s="4" t="s">
        <v>886</v>
      </c>
      <c r="AL1684" s="60" t="s">
        <v>30</v>
      </c>
    </row>
    <row r="1685" spans="1:40" ht="36" x14ac:dyDescent="0.2">
      <c r="A1685" s="1" t="s">
        <v>874</v>
      </c>
      <c r="B1685" s="1" t="s">
        <v>880</v>
      </c>
      <c r="C1685" s="1" t="s">
        <v>5725</v>
      </c>
      <c r="D1685" s="48">
        <v>4</v>
      </c>
      <c r="F1685" s="1" t="s">
        <v>877</v>
      </c>
      <c r="G1685" s="1" t="s">
        <v>9576</v>
      </c>
      <c r="I1685" s="1" t="s">
        <v>125</v>
      </c>
      <c r="M1685" s="18">
        <v>1</v>
      </c>
      <c r="N1685" s="54" t="s">
        <v>9529</v>
      </c>
      <c r="V1685" s="4" t="s">
        <v>881</v>
      </c>
      <c r="X1685" s="1" t="s">
        <v>878</v>
      </c>
      <c r="Y1685" s="1" t="s">
        <v>9576</v>
      </c>
      <c r="AA1685" s="1" t="s">
        <v>125</v>
      </c>
      <c r="AE1685" s="1">
        <v>1</v>
      </c>
      <c r="AF1685" s="54" t="s">
        <v>9530</v>
      </c>
      <c r="AL1685" s="60" t="s">
        <v>275</v>
      </c>
      <c r="AN1685" s="4" t="s">
        <v>882</v>
      </c>
    </row>
    <row r="1686" spans="1:40" ht="48" x14ac:dyDescent="0.2">
      <c r="A1686" s="1" t="s">
        <v>874</v>
      </c>
      <c r="B1686" s="1" t="s">
        <v>875</v>
      </c>
      <c r="C1686" s="1" t="s">
        <v>5725</v>
      </c>
      <c r="D1686" s="48">
        <v>5</v>
      </c>
      <c r="F1686" s="1" t="s">
        <v>877</v>
      </c>
      <c r="G1686" s="1" t="s">
        <v>9635</v>
      </c>
      <c r="I1686" s="1" t="s">
        <v>125</v>
      </c>
      <c r="M1686" s="18">
        <v>2</v>
      </c>
      <c r="N1686" s="54" t="s">
        <v>9529</v>
      </c>
      <c r="V1686" s="4" t="s">
        <v>876</v>
      </c>
      <c r="X1686" s="1" t="s">
        <v>7847</v>
      </c>
      <c r="Y1686" s="1" t="s">
        <v>9635</v>
      </c>
      <c r="AA1686" s="1" t="s">
        <v>125</v>
      </c>
      <c r="AE1686" s="1">
        <v>2</v>
      </c>
      <c r="AF1686" s="54" t="s">
        <v>9530</v>
      </c>
      <c r="AL1686" s="60" t="s">
        <v>32</v>
      </c>
      <c r="AN1686" s="4" t="s">
        <v>879</v>
      </c>
    </row>
    <row r="1687" spans="1:40" ht="108" x14ac:dyDescent="0.2">
      <c r="A1687" s="1" t="s">
        <v>874</v>
      </c>
      <c r="B1687" s="1" t="s">
        <v>894</v>
      </c>
      <c r="C1687" s="1" t="s">
        <v>5725</v>
      </c>
      <c r="D1687" s="48">
        <v>6</v>
      </c>
      <c r="F1687" s="1" t="s">
        <v>877</v>
      </c>
      <c r="G1687" s="1" t="s">
        <v>9695</v>
      </c>
      <c r="I1687" s="1" t="s">
        <v>125</v>
      </c>
      <c r="M1687" s="18">
        <v>3</v>
      </c>
      <c r="N1687" s="54" t="s">
        <v>9529</v>
      </c>
      <c r="V1687" s="4" t="s">
        <v>895</v>
      </c>
      <c r="X1687" s="1" t="s">
        <v>2066</v>
      </c>
      <c r="Y1687" s="1" t="s">
        <v>9695</v>
      </c>
      <c r="AA1687" s="1" t="s">
        <v>125</v>
      </c>
      <c r="AE1687" s="1">
        <v>3</v>
      </c>
      <c r="AF1687" s="54" t="s">
        <v>9530</v>
      </c>
      <c r="AL1687" s="60" t="s">
        <v>34</v>
      </c>
      <c r="AN1687" s="4" t="s">
        <v>896</v>
      </c>
    </row>
    <row r="1688" spans="1:40" ht="96" x14ac:dyDescent="0.2">
      <c r="A1688" s="115" t="s">
        <v>1597</v>
      </c>
      <c r="B1688" s="115" t="s">
        <v>1616</v>
      </c>
      <c r="C1688" s="115" t="s">
        <v>5726</v>
      </c>
      <c r="D1688" s="116">
        <v>1</v>
      </c>
      <c r="E1688" s="115">
        <v>1</v>
      </c>
      <c r="F1688" s="115" t="s">
        <v>1602</v>
      </c>
      <c r="G1688" s="115" t="s">
        <v>1617</v>
      </c>
      <c r="H1688" s="1" t="s">
        <v>26</v>
      </c>
      <c r="I1688" s="1" t="s">
        <v>94</v>
      </c>
      <c r="K1688" s="1" t="s">
        <v>1618</v>
      </c>
      <c r="N1688" s="54">
        <v>44</v>
      </c>
      <c r="O1688" s="55" t="s">
        <v>113</v>
      </c>
      <c r="Q1688" s="57" t="s">
        <v>113</v>
      </c>
      <c r="R1688" s="58">
        <v>5</v>
      </c>
      <c r="S1688" s="59">
        <v>9</v>
      </c>
      <c r="U1688" s="1">
        <v>4</v>
      </c>
      <c r="V1688" s="4" t="s">
        <v>1619</v>
      </c>
      <c r="AL1688" s="60" t="s">
        <v>30</v>
      </c>
    </row>
    <row r="1689" spans="1:40" ht="72" x14ac:dyDescent="0.2">
      <c r="A1689" s="1" t="s">
        <v>1597</v>
      </c>
      <c r="B1689" s="1" t="s">
        <v>1607</v>
      </c>
      <c r="C1689" s="1" t="s">
        <v>5726</v>
      </c>
      <c r="D1689" s="48">
        <v>2</v>
      </c>
      <c r="E1689" s="1">
        <v>1</v>
      </c>
      <c r="F1689" s="1" t="s">
        <v>1602</v>
      </c>
      <c r="G1689" s="1" t="s">
        <v>1608</v>
      </c>
      <c r="I1689" s="1" t="s">
        <v>104</v>
      </c>
      <c r="K1689" s="1" t="s">
        <v>1600</v>
      </c>
      <c r="O1689" s="55" t="s">
        <v>113</v>
      </c>
      <c r="T1689" s="60">
        <v>6</v>
      </c>
      <c r="U1689" s="1">
        <v>2</v>
      </c>
      <c r="V1689" s="4" t="s">
        <v>1609</v>
      </c>
      <c r="AL1689" s="60" t="s">
        <v>30</v>
      </c>
    </row>
    <row r="1690" spans="1:40" ht="72" x14ac:dyDescent="0.2">
      <c r="A1690" s="1" t="s">
        <v>1597</v>
      </c>
      <c r="B1690" s="1" t="s">
        <v>1613</v>
      </c>
      <c r="C1690" s="1" t="s">
        <v>5726</v>
      </c>
      <c r="D1690" s="48">
        <v>3</v>
      </c>
      <c r="E1690" s="1">
        <v>1</v>
      </c>
      <c r="F1690" s="1" t="s">
        <v>1602</v>
      </c>
      <c r="G1690" s="1" t="s">
        <v>1614</v>
      </c>
      <c r="I1690" s="1" t="s">
        <v>104</v>
      </c>
      <c r="K1690" s="1" t="s">
        <v>1600</v>
      </c>
      <c r="O1690" s="55" t="s">
        <v>113</v>
      </c>
      <c r="T1690" s="60">
        <v>6</v>
      </c>
      <c r="U1690" s="1">
        <v>2</v>
      </c>
      <c r="V1690" s="4" t="s">
        <v>1615</v>
      </c>
      <c r="AL1690" s="60" t="s">
        <v>30</v>
      </c>
    </row>
    <row r="1691" spans="1:40" ht="72" x14ac:dyDescent="0.2">
      <c r="A1691" s="1" t="s">
        <v>1597</v>
      </c>
      <c r="B1691" s="1" t="s">
        <v>1598</v>
      </c>
      <c r="C1691" s="1" t="s">
        <v>5726</v>
      </c>
      <c r="D1691" s="48">
        <v>4</v>
      </c>
      <c r="E1691" s="1">
        <v>1</v>
      </c>
      <c r="F1691" s="1" t="s">
        <v>1602</v>
      </c>
      <c r="G1691" s="1" t="s">
        <v>1599</v>
      </c>
      <c r="I1691" s="1" t="s">
        <v>104</v>
      </c>
      <c r="K1691" s="1" t="s">
        <v>1600</v>
      </c>
      <c r="O1691" s="55" t="s">
        <v>113</v>
      </c>
      <c r="T1691" s="60">
        <v>6</v>
      </c>
      <c r="U1691" s="1">
        <v>2</v>
      </c>
      <c r="V1691" s="4" t="s">
        <v>1601</v>
      </c>
      <c r="AL1691" s="60" t="s">
        <v>30</v>
      </c>
    </row>
    <row r="1692" spans="1:40" ht="84" x14ac:dyDescent="0.2">
      <c r="A1692" s="1" t="s">
        <v>1597</v>
      </c>
      <c r="B1692" s="1" t="s">
        <v>1610</v>
      </c>
      <c r="C1692" s="1" t="s">
        <v>5726</v>
      </c>
      <c r="D1692" s="48">
        <v>5</v>
      </c>
      <c r="E1692" s="1">
        <v>1</v>
      </c>
      <c r="F1692" s="1" t="s">
        <v>1602</v>
      </c>
      <c r="G1692" s="1" t="s">
        <v>1611</v>
      </c>
      <c r="I1692" s="1" t="s">
        <v>104</v>
      </c>
      <c r="K1692" s="1" t="s">
        <v>1600</v>
      </c>
      <c r="O1692" s="55" t="s">
        <v>113</v>
      </c>
      <c r="T1692" s="60">
        <v>6</v>
      </c>
      <c r="U1692" s="1">
        <v>2</v>
      </c>
      <c r="V1692" s="4" t="s">
        <v>1612</v>
      </c>
      <c r="AL1692" s="60" t="s">
        <v>30</v>
      </c>
    </row>
    <row r="1693" spans="1:40" ht="96" x14ac:dyDescent="0.2">
      <c r="A1693" s="1" t="s">
        <v>1597</v>
      </c>
      <c r="B1693" s="1" t="s">
        <v>1603</v>
      </c>
      <c r="C1693" s="1" t="s">
        <v>5726</v>
      </c>
      <c r="D1693" s="48">
        <v>6</v>
      </c>
      <c r="E1693" s="1">
        <v>1</v>
      </c>
      <c r="F1693" s="1" t="s">
        <v>1602</v>
      </c>
      <c r="G1693" s="1" t="s">
        <v>9577</v>
      </c>
      <c r="I1693" s="1" t="s">
        <v>125</v>
      </c>
      <c r="M1693" s="18">
        <v>1</v>
      </c>
      <c r="N1693" s="54" t="s">
        <v>9529</v>
      </c>
      <c r="V1693" s="4" t="s">
        <v>1604</v>
      </c>
      <c r="X1693" s="1" t="s">
        <v>1605</v>
      </c>
      <c r="Y1693" s="1" t="s">
        <v>9577</v>
      </c>
      <c r="AA1693" s="1" t="s">
        <v>125</v>
      </c>
      <c r="AE1693" s="1">
        <v>1</v>
      </c>
      <c r="AF1693" s="54" t="s">
        <v>9530</v>
      </c>
      <c r="AL1693" s="60" t="s">
        <v>337</v>
      </c>
      <c r="AN1693" s="4" t="s">
        <v>1606</v>
      </c>
    </row>
    <row r="1694" spans="1:40" x14ac:dyDescent="0.2">
      <c r="A1694" s="115" t="s">
        <v>2148</v>
      </c>
      <c r="B1694" s="115" t="s">
        <v>2176</v>
      </c>
      <c r="C1694" s="115" t="s">
        <v>5727</v>
      </c>
      <c r="D1694" s="116">
        <v>1</v>
      </c>
      <c r="E1694" s="115"/>
      <c r="F1694" s="115" t="s">
        <v>1671</v>
      </c>
      <c r="G1694" s="115" t="s">
        <v>2177</v>
      </c>
      <c r="I1694" s="1" t="s">
        <v>94</v>
      </c>
      <c r="K1694" s="1" t="s">
        <v>2178</v>
      </c>
      <c r="N1694" s="54">
        <v>40</v>
      </c>
      <c r="O1694" s="55">
        <v>4</v>
      </c>
      <c r="Q1694" s="57">
        <v>4</v>
      </c>
      <c r="R1694" s="58">
        <v>2</v>
      </c>
      <c r="S1694" s="59">
        <v>7</v>
      </c>
      <c r="U1694" s="1">
        <v>2</v>
      </c>
      <c r="V1694" s="4" t="s">
        <v>2179</v>
      </c>
      <c r="AL1694" s="60" t="s">
        <v>30</v>
      </c>
    </row>
    <row r="1695" spans="1:40" ht="24" x14ac:dyDescent="0.2">
      <c r="A1695" s="1" t="s">
        <v>2148</v>
      </c>
      <c r="B1695" s="1" t="s">
        <v>2172</v>
      </c>
      <c r="C1695" s="1" t="s">
        <v>5727</v>
      </c>
      <c r="D1695" s="48">
        <v>2</v>
      </c>
      <c r="F1695" s="1" t="s">
        <v>1671</v>
      </c>
      <c r="G1695" s="1" t="s">
        <v>2173</v>
      </c>
      <c r="I1695" s="1" t="s">
        <v>94</v>
      </c>
      <c r="K1695" s="1" t="s">
        <v>2174</v>
      </c>
      <c r="N1695" s="54">
        <v>45</v>
      </c>
      <c r="O1695" s="55">
        <v>1</v>
      </c>
      <c r="Q1695" s="57">
        <v>2</v>
      </c>
      <c r="R1695" s="58">
        <v>3</v>
      </c>
      <c r="S1695" s="59">
        <v>11</v>
      </c>
      <c r="U1695" s="1">
        <v>5</v>
      </c>
      <c r="V1695" s="4" t="s">
        <v>2175</v>
      </c>
      <c r="AL1695" s="60" t="s">
        <v>30</v>
      </c>
    </row>
    <row r="1696" spans="1:40" ht="72" x14ac:dyDescent="0.2">
      <c r="A1696" s="1" t="s">
        <v>2148</v>
      </c>
      <c r="B1696" s="1" t="s">
        <v>2153</v>
      </c>
      <c r="C1696" s="1" t="s">
        <v>5727</v>
      </c>
      <c r="D1696" s="48">
        <v>3</v>
      </c>
      <c r="F1696" s="1" t="s">
        <v>1671</v>
      </c>
      <c r="G1696" s="1" t="s">
        <v>2154</v>
      </c>
      <c r="I1696" s="1" t="s">
        <v>88</v>
      </c>
      <c r="K1696" s="1" t="s">
        <v>2155</v>
      </c>
      <c r="L1696" s="2" t="s">
        <v>704</v>
      </c>
      <c r="V1696" s="4" t="s">
        <v>2156</v>
      </c>
      <c r="AL1696" s="60" t="s">
        <v>30</v>
      </c>
    </row>
    <row r="1697" spans="1:40" ht="96" x14ac:dyDescent="0.2">
      <c r="A1697" s="1" t="s">
        <v>2148</v>
      </c>
      <c r="B1697" s="1" t="s">
        <v>2149</v>
      </c>
      <c r="C1697" s="1" t="s">
        <v>5727</v>
      </c>
      <c r="D1697" s="48">
        <v>4</v>
      </c>
      <c r="F1697" s="1" t="s">
        <v>1671</v>
      </c>
      <c r="G1697" s="1" t="s">
        <v>9578</v>
      </c>
      <c r="I1697" s="1" t="s">
        <v>125</v>
      </c>
      <c r="M1697" s="18">
        <v>1</v>
      </c>
      <c r="N1697" s="54" t="s">
        <v>9529</v>
      </c>
      <c r="V1697" s="4" t="s">
        <v>2150</v>
      </c>
      <c r="X1697" s="1" t="s">
        <v>2151</v>
      </c>
      <c r="Y1697" s="1" t="s">
        <v>9578</v>
      </c>
      <c r="AA1697" s="1" t="s">
        <v>125</v>
      </c>
      <c r="AE1697" s="1">
        <v>1</v>
      </c>
      <c r="AF1697" s="54" t="s">
        <v>9530</v>
      </c>
      <c r="AL1697" s="60" t="s">
        <v>34</v>
      </c>
      <c r="AN1697" s="4" t="s">
        <v>2152</v>
      </c>
    </row>
    <row r="1698" spans="1:40" ht="36" x14ac:dyDescent="0.2">
      <c r="A1698" s="1" t="s">
        <v>2148</v>
      </c>
      <c r="B1698" s="1" t="s">
        <v>2157</v>
      </c>
      <c r="C1698" s="1" t="s">
        <v>5727</v>
      </c>
      <c r="D1698" s="48">
        <v>5</v>
      </c>
      <c r="F1698" s="1" t="s">
        <v>1671</v>
      </c>
      <c r="G1698" s="1" t="s">
        <v>9578</v>
      </c>
      <c r="I1698" s="1" t="s">
        <v>125</v>
      </c>
      <c r="M1698" s="18">
        <v>2</v>
      </c>
      <c r="N1698" s="54" t="s">
        <v>9529</v>
      </c>
      <c r="V1698" s="4" t="s">
        <v>2158</v>
      </c>
      <c r="Y1698" s="1" t="s">
        <v>9654</v>
      </c>
      <c r="AA1698" s="1" t="s">
        <v>125</v>
      </c>
      <c r="AE1698" s="1">
        <v>2</v>
      </c>
      <c r="AF1698" s="54" t="s">
        <v>9530</v>
      </c>
      <c r="AL1698" s="60" t="s">
        <v>32</v>
      </c>
      <c r="AN1698" s="4" t="s">
        <v>2159</v>
      </c>
    </row>
    <row r="1699" spans="1:40" ht="48" x14ac:dyDescent="0.2">
      <c r="A1699" s="1" t="s">
        <v>2148</v>
      </c>
      <c r="B1699" s="1" t="s">
        <v>2160</v>
      </c>
      <c r="C1699" s="1" t="s">
        <v>5727</v>
      </c>
      <c r="D1699" s="48">
        <v>6</v>
      </c>
      <c r="F1699" s="1" t="s">
        <v>1671</v>
      </c>
      <c r="G1699" s="1" t="s">
        <v>9578</v>
      </c>
      <c r="I1699" s="1" t="s">
        <v>125</v>
      </c>
      <c r="M1699" s="18">
        <v>2</v>
      </c>
      <c r="N1699" s="54" t="s">
        <v>9529</v>
      </c>
      <c r="V1699" s="4" t="s">
        <v>2158</v>
      </c>
      <c r="Y1699" s="1" t="s">
        <v>9655</v>
      </c>
      <c r="AA1699" s="1" t="s">
        <v>125</v>
      </c>
      <c r="AE1699" s="1">
        <v>2</v>
      </c>
      <c r="AF1699" s="54" t="s">
        <v>9530</v>
      </c>
      <c r="AL1699" s="60" t="s">
        <v>166</v>
      </c>
      <c r="AN1699" s="4" t="s">
        <v>2161</v>
      </c>
    </row>
    <row r="1700" spans="1:40" ht="60" x14ac:dyDescent="0.2">
      <c r="A1700" s="1" t="s">
        <v>2148</v>
      </c>
      <c r="B1700" s="1" t="s">
        <v>2162</v>
      </c>
      <c r="C1700" s="1" t="s">
        <v>5727</v>
      </c>
      <c r="D1700" s="48">
        <v>7</v>
      </c>
      <c r="F1700" s="1" t="s">
        <v>1671</v>
      </c>
      <c r="G1700" s="1" t="s">
        <v>9578</v>
      </c>
      <c r="I1700" s="1" t="s">
        <v>125</v>
      </c>
      <c r="M1700" s="18">
        <v>2</v>
      </c>
      <c r="N1700" s="54" t="s">
        <v>9529</v>
      </c>
      <c r="V1700" s="4" t="s">
        <v>2158</v>
      </c>
      <c r="Y1700" s="1" t="s">
        <v>9656</v>
      </c>
      <c r="AA1700" s="1" t="s">
        <v>125</v>
      </c>
      <c r="AE1700" s="1">
        <v>2</v>
      </c>
      <c r="AF1700" s="54" t="s">
        <v>9530</v>
      </c>
      <c r="AL1700" s="60" t="s">
        <v>33</v>
      </c>
      <c r="AN1700" s="4" t="s">
        <v>2163</v>
      </c>
    </row>
    <row r="1701" spans="1:40" ht="60" x14ac:dyDescent="0.2">
      <c r="A1701" s="1" t="s">
        <v>2148</v>
      </c>
      <c r="B1701" s="1" t="s">
        <v>2164</v>
      </c>
      <c r="C1701" s="1" t="s">
        <v>5727</v>
      </c>
      <c r="D1701" s="48">
        <v>8</v>
      </c>
      <c r="F1701" s="1" t="s">
        <v>1671</v>
      </c>
      <c r="G1701" s="1" t="s">
        <v>9578</v>
      </c>
      <c r="I1701" s="1" t="s">
        <v>125</v>
      </c>
      <c r="M1701" s="18">
        <v>2</v>
      </c>
      <c r="N1701" s="54" t="s">
        <v>9529</v>
      </c>
      <c r="V1701" s="4" t="s">
        <v>2158</v>
      </c>
      <c r="Y1701" s="1" t="s">
        <v>9657</v>
      </c>
      <c r="AA1701" s="1" t="s">
        <v>125</v>
      </c>
      <c r="AE1701" s="1">
        <v>2</v>
      </c>
      <c r="AF1701" s="54" t="s">
        <v>9530</v>
      </c>
      <c r="AL1701" s="60" t="s">
        <v>34</v>
      </c>
      <c r="AN1701" s="4" t="s">
        <v>2165</v>
      </c>
    </row>
    <row r="1702" spans="1:40" ht="96" x14ac:dyDescent="0.2">
      <c r="A1702" s="1" t="s">
        <v>2148</v>
      </c>
      <c r="B1702" s="1" t="s">
        <v>2166</v>
      </c>
      <c r="C1702" s="1" t="s">
        <v>5727</v>
      </c>
      <c r="D1702" s="48">
        <v>9</v>
      </c>
      <c r="F1702" s="1" t="s">
        <v>1671</v>
      </c>
      <c r="G1702" s="1" t="s">
        <v>9578</v>
      </c>
      <c r="I1702" s="1" t="s">
        <v>125</v>
      </c>
      <c r="M1702" s="18">
        <v>2</v>
      </c>
      <c r="N1702" s="54" t="s">
        <v>9529</v>
      </c>
      <c r="V1702" s="4" t="s">
        <v>2158</v>
      </c>
      <c r="Y1702" s="1" t="s">
        <v>9554</v>
      </c>
      <c r="AA1702" s="1" t="s">
        <v>125</v>
      </c>
      <c r="AE1702" s="1">
        <v>2</v>
      </c>
      <c r="AF1702" s="54" t="s">
        <v>9530</v>
      </c>
      <c r="AL1702" s="60" t="s">
        <v>36</v>
      </c>
      <c r="AN1702" s="4" t="s">
        <v>2167</v>
      </c>
    </row>
    <row r="1703" spans="1:40" ht="72" x14ac:dyDescent="0.2">
      <c r="A1703" s="1" t="s">
        <v>2148</v>
      </c>
      <c r="B1703" s="1" t="s">
        <v>2168</v>
      </c>
      <c r="C1703" s="1" t="s">
        <v>5727</v>
      </c>
      <c r="D1703" s="48">
        <v>10</v>
      </c>
      <c r="F1703" s="1" t="s">
        <v>1671</v>
      </c>
      <c r="G1703" s="1" t="s">
        <v>9578</v>
      </c>
      <c r="I1703" s="1" t="s">
        <v>125</v>
      </c>
      <c r="M1703" s="18">
        <v>2</v>
      </c>
      <c r="N1703" s="54" t="s">
        <v>9529</v>
      </c>
      <c r="V1703" s="4" t="s">
        <v>2158</v>
      </c>
      <c r="Y1703" s="1" t="s">
        <v>9658</v>
      </c>
      <c r="AA1703" s="1" t="s">
        <v>125</v>
      </c>
      <c r="AE1703" s="1">
        <v>2</v>
      </c>
      <c r="AF1703" s="54" t="s">
        <v>9530</v>
      </c>
      <c r="AL1703" s="60" t="s">
        <v>34</v>
      </c>
      <c r="AN1703" s="4" t="s">
        <v>2169</v>
      </c>
    </row>
    <row r="1704" spans="1:40" ht="60" x14ac:dyDescent="0.2">
      <c r="A1704" s="1" t="s">
        <v>2148</v>
      </c>
      <c r="B1704" s="1" t="s">
        <v>2170</v>
      </c>
      <c r="C1704" s="1" t="s">
        <v>5727</v>
      </c>
      <c r="D1704" s="48">
        <v>11</v>
      </c>
      <c r="F1704" s="1" t="s">
        <v>1671</v>
      </c>
      <c r="G1704" s="1" t="s">
        <v>9578</v>
      </c>
      <c r="I1704" s="1" t="s">
        <v>125</v>
      </c>
      <c r="M1704" s="18">
        <v>2</v>
      </c>
      <c r="N1704" s="54" t="s">
        <v>9529</v>
      </c>
      <c r="V1704" s="4" t="s">
        <v>2158</v>
      </c>
      <c r="Y1704" s="1" t="s">
        <v>9659</v>
      </c>
      <c r="AA1704" s="1" t="s">
        <v>125</v>
      </c>
      <c r="AE1704" s="1">
        <v>2</v>
      </c>
      <c r="AF1704" s="54" t="s">
        <v>9530</v>
      </c>
      <c r="AL1704" s="60" t="s">
        <v>46</v>
      </c>
      <c r="AN1704" s="4" t="s">
        <v>2171</v>
      </c>
    </row>
    <row r="1705" spans="1:40" ht="84" x14ac:dyDescent="0.2">
      <c r="A1705" s="1" t="s">
        <v>2148</v>
      </c>
      <c r="B1705" s="1" t="s">
        <v>2180</v>
      </c>
      <c r="C1705" s="1" t="s">
        <v>5727</v>
      </c>
      <c r="D1705" s="48">
        <v>12</v>
      </c>
      <c r="F1705" s="1" t="s">
        <v>1671</v>
      </c>
      <c r="G1705" s="1" t="s">
        <v>9578</v>
      </c>
      <c r="I1705" s="1" t="s">
        <v>125</v>
      </c>
      <c r="M1705" s="18">
        <v>3</v>
      </c>
      <c r="N1705" s="54" t="s">
        <v>9529</v>
      </c>
      <c r="V1705" s="4" t="s">
        <v>2181</v>
      </c>
      <c r="Y1705" s="1" t="s">
        <v>9707</v>
      </c>
      <c r="AA1705" s="1" t="s">
        <v>125</v>
      </c>
      <c r="AE1705" s="1">
        <v>3</v>
      </c>
      <c r="AF1705" s="54" t="s">
        <v>9530</v>
      </c>
      <c r="AL1705" s="60" t="s">
        <v>33</v>
      </c>
      <c r="AN1705" s="4" t="s">
        <v>2182</v>
      </c>
    </row>
    <row r="1706" spans="1:40" x14ac:dyDescent="0.2">
      <c r="A1706" s="115" t="s">
        <v>1899</v>
      </c>
      <c r="B1706" s="115" t="s">
        <v>1987</v>
      </c>
      <c r="C1706" s="115" t="s">
        <v>5728</v>
      </c>
      <c r="D1706" s="116">
        <v>1</v>
      </c>
      <c r="E1706" s="115">
        <v>3</v>
      </c>
      <c r="F1706" s="115" t="s">
        <v>1908</v>
      </c>
      <c r="G1706" s="115" t="s">
        <v>1988</v>
      </c>
      <c r="I1706" s="1" t="s">
        <v>94</v>
      </c>
      <c r="K1706" s="1" t="s">
        <v>1989</v>
      </c>
      <c r="L1706" s="2" t="s">
        <v>1990</v>
      </c>
      <c r="N1706" s="54">
        <v>34</v>
      </c>
      <c r="O1706" s="55">
        <v>2</v>
      </c>
      <c r="Q1706" s="57">
        <v>2</v>
      </c>
      <c r="R1706" s="58">
        <v>2</v>
      </c>
      <c r="S1706" s="59">
        <v>3</v>
      </c>
      <c r="AL1706" s="60" t="s">
        <v>30</v>
      </c>
    </row>
    <row r="1707" spans="1:40" x14ac:dyDescent="0.2">
      <c r="A1707" s="1" t="s">
        <v>1899</v>
      </c>
      <c r="B1707" s="1" t="s">
        <v>1945</v>
      </c>
      <c r="C1707" s="1" t="s">
        <v>5728</v>
      </c>
      <c r="D1707" s="48">
        <v>2</v>
      </c>
      <c r="E1707" s="1">
        <v>1</v>
      </c>
      <c r="F1707" s="1" t="s">
        <v>1908</v>
      </c>
      <c r="G1707" s="1" t="s">
        <v>1946</v>
      </c>
      <c r="H1707" s="1" t="s">
        <v>26</v>
      </c>
      <c r="I1707" s="1" t="s">
        <v>94</v>
      </c>
      <c r="K1707" s="1" t="s">
        <v>1947</v>
      </c>
      <c r="L1707" s="2" t="s">
        <v>1948</v>
      </c>
      <c r="N1707" s="54">
        <v>42</v>
      </c>
      <c r="O1707" s="55">
        <v>2</v>
      </c>
      <c r="Q1707" s="57">
        <v>3</v>
      </c>
      <c r="R1707" s="58">
        <v>3</v>
      </c>
      <c r="S1707" s="59">
        <v>5</v>
      </c>
      <c r="U1707" s="1">
        <v>4</v>
      </c>
      <c r="AL1707" s="60" t="s">
        <v>30</v>
      </c>
    </row>
    <row r="1708" spans="1:40" x14ac:dyDescent="0.2">
      <c r="A1708" s="1" t="s">
        <v>1899</v>
      </c>
      <c r="B1708" s="1" t="s">
        <v>2042</v>
      </c>
      <c r="C1708" s="1" t="s">
        <v>5728</v>
      </c>
      <c r="D1708" s="48">
        <v>3</v>
      </c>
      <c r="E1708" s="1">
        <v>2</v>
      </c>
      <c r="F1708" s="1" t="s">
        <v>1908</v>
      </c>
      <c r="G1708" s="1" t="s">
        <v>2043</v>
      </c>
      <c r="I1708" s="1" t="s">
        <v>94</v>
      </c>
      <c r="K1708" s="1" t="s">
        <v>1907</v>
      </c>
      <c r="L1708" s="2" t="s">
        <v>2044</v>
      </c>
      <c r="N1708" s="54">
        <v>40</v>
      </c>
      <c r="Q1708" s="57">
        <v>4</v>
      </c>
      <c r="R1708" s="58">
        <v>1</v>
      </c>
      <c r="S1708" s="59">
        <v>2</v>
      </c>
      <c r="AL1708" s="60" t="s">
        <v>30</v>
      </c>
    </row>
    <row r="1709" spans="1:40" x14ac:dyDescent="0.2">
      <c r="A1709" s="1" t="s">
        <v>1899</v>
      </c>
      <c r="B1709" s="1" t="s">
        <v>1905</v>
      </c>
      <c r="C1709" s="1" t="s">
        <v>5728</v>
      </c>
      <c r="D1709" s="48">
        <v>4</v>
      </c>
      <c r="E1709" s="1">
        <v>4</v>
      </c>
      <c r="F1709" s="1" t="s">
        <v>1908</v>
      </c>
      <c r="G1709" s="1" t="s">
        <v>1906</v>
      </c>
      <c r="I1709" s="1" t="s">
        <v>94</v>
      </c>
      <c r="K1709" s="1" t="s">
        <v>1907</v>
      </c>
      <c r="N1709" s="54">
        <v>38</v>
      </c>
      <c r="O1709" s="55">
        <v>2</v>
      </c>
      <c r="Q1709" s="57">
        <v>3</v>
      </c>
      <c r="R1709" s="58">
        <v>2</v>
      </c>
      <c r="S1709" s="59">
        <v>3</v>
      </c>
      <c r="AL1709" s="60" t="s">
        <v>30</v>
      </c>
    </row>
    <row r="1710" spans="1:40" x14ac:dyDescent="0.2">
      <c r="A1710" s="1" t="s">
        <v>1899</v>
      </c>
      <c r="B1710" s="1" t="s">
        <v>1964</v>
      </c>
      <c r="C1710" s="1" t="s">
        <v>5728</v>
      </c>
      <c r="D1710" s="48">
        <v>5</v>
      </c>
      <c r="E1710" s="1">
        <v>2</v>
      </c>
      <c r="F1710" s="1" t="s">
        <v>1908</v>
      </c>
      <c r="G1710" s="1" t="s">
        <v>1965</v>
      </c>
      <c r="I1710" s="1" t="s">
        <v>104</v>
      </c>
      <c r="K1710" s="1" t="s">
        <v>1966</v>
      </c>
      <c r="O1710" s="55">
        <v>3</v>
      </c>
      <c r="T1710" s="60">
        <v>3</v>
      </c>
      <c r="AL1710" s="60" t="s">
        <v>30</v>
      </c>
    </row>
    <row r="1711" spans="1:40" x14ac:dyDescent="0.2">
      <c r="A1711" s="1" t="s">
        <v>1899</v>
      </c>
      <c r="B1711" s="1" t="s">
        <v>2080</v>
      </c>
      <c r="C1711" s="1" t="s">
        <v>5728</v>
      </c>
      <c r="D1711" s="48">
        <v>6</v>
      </c>
      <c r="E1711" s="1">
        <v>3</v>
      </c>
      <c r="F1711" s="1" t="s">
        <v>1908</v>
      </c>
      <c r="G1711" s="1" t="s">
        <v>2081</v>
      </c>
      <c r="I1711" s="1" t="s">
        <v>104</v>
      </c>
      <c r="K1711" s="1" t="s">
        <v>2082</v>
      </c>
      <c r="O1711" s="55">
        <v>2</v>
      </c>
      <c r="T1711" s="60">
        <v>1</v>
      </c>
      <c r="AL1711" s="60" t="s">
        <v>30</v>
      </c>
    </row>
    <row r="1712" spans="1:40" x14ac:dyDescent="0.2">
      <c r="A1712" s="1" t="s">
        <v>1899</v>
      </c>
      <c r="B1712" s="1" t="s">
        <v>2091</v>
      </c>
      <c r="C1712" s="1" t="s">
        <v>5728</v>
      </c>
      <c r="D1712" s="48">
        <v>7</v>
      </c>
      <c r="E1712" s="1">
        <v>1</v>
      </c>
      <c r="F1712" s="1" t="s">
        <v>1908</v>
      </c>
      <c r="G1712" s="1" t="s">
        <v>2092</v>
      </c>
      <c r="I1712" s="1" t="s">
        <v>104</v>
      </c>
      <c r="K1712" s="1" t="s">
        <v>2093</v>
      </c>
      <c r="O1712" s="55">
        <v>3</v>
      </c>
      <c r="T1712" s="60">
        <v>4</v>
      </c>
      <c r="AL1712" s="60" t="s">
        <v>30</v>
      </c>
    </row>
    <row r="1713" spans="1:38" x14ac:dyDescent="0.2">
      <c r="A1713" s="1" t="s">
        <v>1899</v>
      </c>
      <c r="B1713" s="1" t="s">
        <v>2078</v>
      </c>
      <c r="C1713" s="1" t="s">
        <v>5728</v>
      </c>
      <c r="D1713" s="48">
        <v>8</v>
      </c>
      <c r="E1713" s="1">
        <v>3</v>
      </c>
      <c r="F1713" s="1" t="s">
        <v>1908</v>
      </c>
      <c r="G1713" s="1" t="s">
        <v>2079</v>
      </c>
      <c r="I1713" s="1" t="s">
        <v>82</v>
      </c>
      <c r="AL1713" s="60" t="s">
        <v>30</v>
      </c>
    </row>
    <row r="1714" spans="1:38" x14ac:dyDescent="0.2">
      <c r="A1714" s="1" t="s">
        <v>1899</v>
      </c>
      <c r="B1714" s="1" t="s">
        <v>2011</v>
      </c>
      <c r="C1714" s="1" t="s">
        <v>5728</v>
      </c>
      <c r="D1714" s="48">
        <v>9</v>
      </c>
      <c r="E1714" s="1">
        <v>2</v>
      </c>
      <c r="F1714" s="1" t="s">
        <v>1908</v>
      </c>
      <c r="G1714" s="1" t="s">
        <v>2012</v>
      </c>
      <c r="I1714" s="1" t="s">
        <v>82</v>
      </c>
      <c r="AL1714" s="60" t="s">
        <v>30</v>
      </c>
    </row>
    <row r="1715" spans="1:38" x14ac:dyDescent="0.2">
      <c r="A1715" s="1" t="s">
        <v>1899</v>
      </c>
      <c r="B1715" s="1" t="s">
        <v>2052</v>
      </c>
      <c r="C1715" s="1" t="s">
        <v>5728</v>
      </c>
      <c r="D1715" s="48">
        <v>10</v>
      </c>
      <c r="E1715" s="1">
        <v>5</v>
      </c>
      <c r="F1715" s="1" t="s">
        <v>1918</v>
      </c>
      <c r="G1715" s="1" t="s">
        <v>2053</v>
      </c>
      <c r="I1715" s="1" t="s">
        <v>94</v>
      </c>
      <c r="K1715" s="1" t="s">
        <v>2054</v>
      </c>
      <c r="N1715" s="54">
        <v>26</v>
      </c>
      <c r="O1715" s="55">
        <v>1</v>
      </c>
      <c r="Q1715" s="57">
        <v>2</v>
      </c>
      <c r="R1715" s="58">
        <v>1</v>
      </c>
      <c r="S1715" s="59">
        <v>2</v>
      </c>
      <c r="AL1715" s="60" t="s">
        <v>30</v>
      </c>
    </row>
    <row r="1716" spans="1:38" x14ac:dyDescent="0.2">
      <c r="A1716" s="1" t="s">
        <v>1899</v>
      </c>
      <c r="B1716" s="1" t="s">
        <v>1915</v>
      </c>
      <c r="C1716" s="1" t="s">
        <v>5728</v>
      </c>
      <c r="D1716" s="48">
        <v>11</v>
      </c>
      <c r="E1716" s="1">
        <v>3</v>
      </c>
      <c r="F1716" s="1" t="s">
        <v>1918</v>
      </c>
      <c r="G1716" s="1" t="s">
        <v>1916</v>
      </c>
      <c r="I1716" s="1" t="s">
        <v>94</v>
      </c>
      <c r="K1716" s="1" t="s">
        <v>1917</v>
      </c>
      <c r="N1716" s="54">
        <v>32</v>
      </c>
      <c r="O1716" s="55">
        <v>0</v>
      </c>
      <c r="Q1716" s="57">
        <v>4</v>
      </c>
      <c r="R1716" s="58">
        <v>1</v>
      </c>
      <c r="S1716" s="59">
        <v>4</v>
      </c>
      <c r="AL1716" s="60" t="s">
        <v>30</v>
      </c>
    </row>
    <row r="1717" spans="1:38" x14ac:dyDescent="0.2">
      <c r="A1717" s="1" t="s">
        <v>1899</v>
      </c>
      <c r="B1717" s="1" t="s">
        <v>2045</v>
      </c>
      <c r="C1717" s="1" t="s">
        <v>5728</v>
      </c>
      <c r="D1717" s="48">
        <v>12</v>
      </c>
      <c r="E1717" s="1">
        <v>2</v>
      </c>
      <c r="F1717" s="1" t="s">
        <v>1918</v>
      </c>
      <c r="G1717" s="1" t="s">
        <v>2046</v>
      </c>
      <c r="I1717" s="1" t="s">
        <v>94</v>
      </c>
      <c r="K1717" s="1" t="s">
        <v>2047</v>
      </c>
      <c r="N1717" s="54">
        <v>37</v>
      </c>
      <c r="O1717" s="55">
        <v>3</v>
      </c>
      <c r="Q1717" s="57">
        <v>5</v>
      </c>
      <c r="R1717" s="58">
        <v>2</v>
      </c>
      <c r="S1717" s="59">
        <v>6</v>
      </c>
      <c r="AL1717" s="60" t="s">
        <v>30</v>
      </c>
    </row>
    <row r="1718" spans="1:38" x14ac:dyDescent="0.2">
      <c r="A1718" s="1" t="s">
        <v>1899</v>
      </c>
      <c r="B1718" s="1" t="s">
        <v>2083</v>
      </c>
      <c r="C1718" s="1" t="s">
        <v>5728</v>
      </c>
      <c r="D1718" s="48">
        <v>13</v>
      </c>
      <c r="E1718" s="1">
        <v>1</v>
      </c>
      <c r="F1718" s="1" t="s">
        <v>1918</v>
      </c>
      <c r="G1718" s="1" t="s">
        <v>2084</v>
      </c>
      <c r="H1718" s="1" t="s">
        <v>26</v>
      </c>
      <c r="I1718" s="1" t="s">
        <v>94</v>
      </c>
      <c r="K1718" s="1" t="s">
        <v>2085</v>
      </c>
      <c r="N1718" s="54">
        <v>50</v>
      </c>
      <c r="O1718" s="55">
        <v>4</v>
      </c>
      <c r="Q1718" s="57">
        <v>0</v>
      </c>
      <c r="R1718" s="58">
        <v>4</v>
      </c>
      <c r="S1718" s="59">
        <v>6</v>
      </c>
      <c r="U1718" s="1">
        <v>5</v>
      </c>
      <c r="AL1718" s="60" t="s">
        <v>30</v>
      </c>
    </row>
    <row r="1719" spans="1:38" x14ac:dyDescent="0.2">
      <c r="A1719" s="1" t="s">
        <v>1899</v>
      </c>
      <c r="B1719" s="1" t="s">
        <v>1923</v>
      </c>
      <c r="C1719" s="1" t="s">
        <v>5728</v>
      </c>
      <c r="D1719" s="48">
        <v>14</v>
      </c>
      <c r="E1719" s="1">
        <v>2</v>
      </c>
      <c r="F1719" s="1" t="s">
        <v>1918</v>
      </c>
      <c r="G1719" s="1" t="s">
        <v>1924</v>
      </c>
      <c r="I1719" s="1" t="s">
        <v>104</v>
      </c>
      <c r="K1719" s="1" t="s">
        <v>1911</v>
      </c>
      <c r="O1719" s="55">
        <v>1</v>
      </c>
      <c r="T1719" s="60">
        <v>3</v>
      </c>
      <c r="AL1719" s="60" t="s">
        <v>30</v>
      </c>
    </row>
    <row r="1720" spans="1:38" x14ac:dyDescent="0.2">
      <c r="A1720" s="1" t="s">
        <v>1899</v>
      </c>
      <c r="B1720" s="1" t="s">
        <v>1953</v>
      </c>
      <c r="C1720" s="1" t="s">
        <v>5728</v>
      </c>
      <c r="D1720" s="48">
        <v>15</v>
      </c>
      <c r="E1720" s="1">
        <v>2</v>
      </c>
      <c r="F1720" s="1" t="s">
        <v>1918</v>
      </c>
      <c r="G1720" s="1" t="s">
        <v>1954</v>
      </c>
      <c r="I1720" s="1" t="s">
        <v>104</v>
      </c>
      <c r="K1720" s="1" t="s">
        <v>1178</v>
      </c>
      <c r="O1720" s="55">
        <v>2</v>
      </c>
      <c r="T1720" s="60">
        <v>4</v>
      </c>
      <c r="U1720" s="1">
        <v>2</v>
      </c>
      <c r="AL1720" s="60" t="s">
        <v>30</v>
      </c>
    </row>
    <row r="1721" spans="1:38" x14ac:dyDescent="0.2">
      <c r="A1721" s="1" t="s">
        <v>1899</v>
      </c>
      <c r="B1721" s="1" t="s">
        <v>2063</v>
      </c>
      <c r="C1721" s="1" t="s">
        <v>5728</v>
      </c>
      <c r="D1721" s="48">
        <v>16</v>
      </c>
      <c r="E1721" s="1">
        <v>3</v>
      </c>
      <c r="F1721" s="1" t="s">
        <v>1918</v>
      </c>
      <c r="G1721" s="1" t="s">
        <v>2064</v>
      </c>
      <c r="I1721" s="1" t="s">
        <v>82</v>
      </c>
      <c r="L1721" s="2" t="s">
        <v>1233</v>
      </c>
      <c r="AL1721" s="60" t="s">
        <v>30</v>
      </c>
    </row>
    <row r="1722" spans="1:38" x14ac:dyDescent="0.2">
      <c r="A1722" s="1" t="s">
        <v>1899</v>
      </c>
      <c r="B1722" s="1" t="s">
        <v>1995</v>
      </c>
      <c r="C1722" s="1" t="s">
        <v>5728</v>
      </c>
      <c r="D1722" s="48">
        <v>17</v>
      </c>
      <c r="E1722" s="1">
        <v>2</v>
      </c>
      <c r="F1722" s="1" t="s">
        <v>1918</v>
      </c>
      <c r="G1722" s="1" t="s">
        <v>1996</v>
      </c>
      <c r="I1722" s="1" t="s">
        <v>82</v>
      </c>
      <c r="AL1722" s="60" t="s">
        <v>30</v>
      </c>
    </row>
    <row r="1723" spans="1:38" x14ac:dyDescent="0.2">
      <c r="A1723" s="1" t="s">
        <v>1899</v>
      </c>
      <c r="B1723" s="1" t="s">
        <v>2070</v>
      </c>
      <c r="C1723" s="1" t="s">
        <v>5728</v>
      </c>
      <c r="D1723" s="48">
        <v>18</v>
      </c>
      <c r="E1723" s="1">
        <v>1</v>
      </c>
      <c r="F1723" s="1" t="s">
        <v>1922</v>
      </c>
      <c r="G1723" s="1" t="s">
        <v>2071</v>
      </c>
      <c r="H1723" s="1" t="s">
        <v>26</v>
      </c>
      <c r="I1723" s="1" t="s">
        <v>27</v>
      </c>
      <c r="J1723" s="1" t="s">
        <v>57</v>
      </c>
      <c r="K1723" s="1" t="s">
        <v>51</v>
      </c>
      <c r="M1723" s="18">
        <v>9</v>
      </c>
      <c r="P1723" s="56">
        <v>3</v>
      </c>
      <c r="Q1723" s="57">
        <v>1</v>
      </c>
      <c r="R1723" s="58">
        <v>1</v>
      </c>
      <c r="S1723" s="59">
        <v>3</v>
      </c>
      <c r="AL1723" s="60" t="s">
        <v>30</v>
      </c>
    </row>
    <row r="1724" spans="1:38" x14ac:dyDescent="0.2">
      <c r="A1724" s="1" t="s">
        <v>1899</v>
      </c>
      <c r="B1724" s="1" t="s">
        <v>2098</v>
      </c>
      <c r="C1724" s="1" t="s">
        <v>5728</v>
      </c>
      <c r="D1724" s="48">
        <v>19</v>
      </c>
      <c r="E1724" s="1">
        <v>1</v>
      </c>
      <c r="F1724" s="1" t="s">
        <v>1922</v>
      </c>
      <c r="G1724" s="1" t="s">
        <v>2099</v>
      </c>
      <c r="H1724" s="1" t="s">
        <v>26</v>
      </c>
      <c r="I1724" s="1" t="s">
        <v>27</v>
      </c>
      <c r="J1724" s="1" t="s">
        <v>50</v>
      </c>
      <c r="K1724" s="1" t="s">
        <v>51</v>
      </c>
      <c r="L1724" s="2" t="s">
        <v>1940</v>
      </c>
      <c r="M1724" s="18">
        <v>11</v>
      </c>
      <c r="P1724" s="56">
        <v>2</v>
      </c>
      <c r="Q1724" s="57">
        <v>2</v>
      </c>
      <c r="R1724" s="58">
        <v>2</v>
      </c>
      <c r="S1724" s="59">
        <v>4</v>
      </c>
      <c r="AL1724" s="60" t="s">
        <v>30</v>
      </c>
    </row>
    <row r="1725" spans="1:38" x14ac:dyDescent="0.2">
      <c r="A1725" s="1" t="s">
        <v>1899</v>
      </c>
      <c r="B1725" s="1" t="s">
        <v>1938</v>
      </c>
      <c r="C1725" s="1" t="s">
        <v>5728</v>
      </c>
      <c r="D1725" s="48">
        <v>20</v>
      </c>
      <c r="E1725" s="1">
        <v>1</v>
      </c>
      <c r="F1725" s="1" t="s">
        <v>1922</v>
      </c>
      <c r="G1725" s="1" t="s">
        <v>1939</v>
      </c>
      <c r="H1725" s="1" t="s">
        <v>26</v>
      </c>
      <c r="I1725" s="1" t="s">
        <v>27</v>
      </c>
      <c r="J1725" s="1" t="s">
        <v>50</v>
      </c>
      <c r="K1725" s="1" t="s">
        <v>51</v>
      </c>
      <c r="L1725" s="2" t="s">
        <v>1940</v>
      </c>
      <c r="M1725" s="18">
        <v>9</v>
      </c>
      <c r="P1725" s="56">
        <v>1</v>
      </c>
      <c r="Q1725" s="57">
        <v>4</v>
      </c>
      <c r="R1725" s="58">
        <v>0</v>
      </c>
      <c r="S1725" s="59">
        <v>4</v>
      </c>
      <c r="AL1725" s="60" t="s">
        <v>30</v>
      </c>
    </row>
    <row r="1726" spans="1:38" x14ac:dyDescent="0.2">
      <c r="A1726" s="1" t="s">
        <v>1899</v>
      </c>
      <c r="B1726" s="1" t="s">
        <v>1919</v>
      </c>
      <c r="C1726" s="1" t="s">
        <v>5728</v>
      </c>
      <c r="D1726" s="48">
        <v>21</v>
      </c>
      <c r="E1726" s="1">
        <v>1</v>
      </c>
      <c r="F1726" s="1" t="s">
        <v>1922</v>
      </c>
      <c r="G1726" s="1" t="s">
        <v>1920</v>
      </c>
      <c r="H1726" s="1" t="s">
        <v>26</v>
      </c>
      <c r="I1726" s="1" t="s">
        <v>27</v>
      </c>
      <c r="J1726" s="1" t="s">
        <v>28</v>
      </c>
      <c r="K1726" s="1" t="s">
        <v>51</v>
      </c>
      <c r="L1726" s="2" t="s">
        <v>1921</v>
      </c>
      <c r="M1726" s="18">
        <v>11</v>
      </c>
      <c r="P1726" s="56">
        <v>1</v>
      </c>
      <c r="Q1726" s="57">
        <v>3</v>
      </c>
      <c r="R1726" s="58">
        <v>2</v>
      </c>
      <c r="S1726" s="59">
        <v>4</v>
      </c>
      <c r="AL1726" s="60" t="s">
        <v>30</v>
      </c>
    </row>
    <row r="1727" spans="1:38" x14ac:dyDescent="0.2">
      <c r="A1727" s="1" t="s">
        <v>1899</v>
      </c>
      <c r="B1727" s="1" t="s">
        <v>1960</v>
      </c>
      <c r="C1727" s="1" t="s">
        <v>5728</v>
      </c>
      <c r="D1727" s="48">
        <v>22</v>
      </c>
      <c r="E1727" s="1">
        <v>1</v>
      </c>
      <c r="F1727" s="1" t="s">
        <v>1922</v>
      </c>
      <c r="G1727" s="1" t="s">
        <v>120</v>
      </c>
      <c r="H1727" s="1" t="s">
        <v>26</v>
      </c>
      <c r="I1727" s="1" t="s">
        <v>27</v>
      </c>
      <c r="J1727" s="1" t="s">
        <v>39</v>
      </c>
      <c r="K1727" s="1" t="s">
        <v>51</v>
      </c>
      <c r="L1727" s="2" t="s">
        <v>1921</v>
      </c>
      <c r="M1727" s="18">
        <v>9</v>
      </c>
      <c r="P1727" s="56">
        <v>2</v>
      </c>
      <c r="Q1727" s="57">
        <v>0</v>
      </c>
      <c r="R1727" s="58">
        <v>2</v>
      </c>
      <c r="S1727" s="59">
        <v>5</v>
      </c>
      <c r="AL1727" s="60" t="s">
        <v>30</v>
      </c>
    </row>
    <row r="1728" spans="1:38" x14ac:dyDescent="0.2">
      <c r="A1728" s="1" t="s">
        <v>1899</v>
      </c>
      <c r="B1728" s="1" t="s">
        <v>1961</v>
      </c>
      <c r="C1728" s="1" t="s">
        <v>5728</v>
      </c>
      <c r="D1728" s="48">
        <v>23</v>
      </c>
      <c r="E1728" s="1">
        <v>4</v>
      </c>
      <c r="F1728" s="1" t="s">
        <v>1922</v>
      </c>
      <c r="G1728" s="1" t="s">
        <v>1962</v>
      </c>
      <c r="I1728" s="1" t="s">
        <v>104</v>
      </c>
      <c r="K1728" s="1" t="s">
        <v>1963</v>
      </c>
      <c r="O1728" s="55">
        <v>2</v>
      </c>
      <c r="T1728" s="60">
        <v>2</v>
      </c>
      <c r="AL1728" s="60" t="s">
        <v>30</v>
      </c>
    </row>
    <row r="1729" spans="1:38" x14ac:dyDescent="0.2">
      <c r="A1729" s="1" t="s">
        <v>1899</v>
      </c>
      <c r="B1729" s="1" t="s">
        <v>2027</v>
      </c>
      <c r="C1729" s="1" t="s">
        <v>5728</v>
      </c>
      <c r="D1729" s="48">
        <v>24</v>
      </c>
      <c r="E1729" s="1">
        <v>3</v>
      </c>
      <c r="F1729" s="1" t="s">
        <v>1922</v>
      </c>
      <c r="G1729" s="1" t="s">
        <v>2028</v>
      </c>
      <c r="I1729" s="1" t="s">
        <v>104</v>
      </c>
      <c r="K1729" s="1" t="s">
        <v>1911</v>
      </c>
      <c r="O1729" s="55">
        <v>2</v>
      </c>
      <c r="T1729" s="60">
        <v>4</v>
      </c>
      <c r="AL1729" s="60" t="s">
        <v>30</v>
      </c>
    </row>
    <row r="1730" spans="1:38" x14ac:dyDescent="0.2">
      <c r="A1730" s="1" t="s">
        <v>1899</v>
      </c>
      <c r="B1730" s="1" t="s">
        <v>1933</v>
      </c>
      <c r="C1730" s="1" t="s">
        <v>5728</v>
      </c>
      <c r="D1730" s="48">
        <v>25</v>
      </c>
      <c r="E1730" s="1">
        <v>1</v>
      </c>
      <c r="F1730" s="1" t="s">
        <v>1922</v>
      </c>
      <c r="G1730" s="1" t="s">
        <v>1934</v>
      </c>
      <c r="I1730" s="1" t="s">
        <v>104</v>
      </c>
      <c r="K1730" s="1" t="s">
        <v>1935</v>
      </c>
      <c r="O1730" s="55">
        <v>0</v>
      </c>
      <c r="T1730" s="60" t="s">
        <v>113</v>
      </c>
      <c r="U1730" s="1">
        <v>1</v>
      </c>
      <c r="AL1730" s="60" t="s">
        <v>30</v>
      </c>
    </row>
    <row r="1731" spans="1:38" x14ac:dyDescent="0.2">
      <c r="A1731" s="1" t="s">
        <v>1899</v>
      </c>
      <c r="B1731" s="1" t="s">
        <v>2087</v>
      </c>
      <c r="C1731" s="1" t="s">
        <v>5728</v>
      </c>
      <c r="D1731" s="48">
        <v>26</v>
      </c>
      <c r="F1731" s="1" t="s">
        <v>1922</v>
      </c>
      <c r="G1731" s="1" t="s">
        <v>9726</v>
      </c>
      <c r="I1731" s="1" t="s">
        <v>125</v>
      </c>
      <c r="M1731" s="18">
        <v>1</v>
      </c>
      <c r="N1731" s="54" t="s">
        <v>9529</v>
      </c>
      <c r="X1731" s="1" t="s">
        <v>2088</v>
      </c>
      <c r="Y1731" s="1" t="s">
        <v>9726</v>
      </c>
      <c r="AA1731" s="1" t="s">
        <v>125</v>
      </c>
      <c r="AE1731" s="1">
        <v>1</v>
      </c>
      <c r="AF1731" s="54" t="s">
        <v>9530</v>
      </c>
      <c r="AL1731" s="60" t="s">
        <v>36</v>
      </c>
    </row>
    <row r="1732" spans="1:38" x14ac:dyDescent="0.2">
      <c r="A1732" s="1" t="s">
        <v>1899</v>
      </c>
      <c r="B1732" s="1" t="s">
        <v>1925</v>
      </c>
      <c r="C1732" s="1" t="s">
        <v>5728</v>
      </c>
      <c r="D1732" s="48">
        <v>27</v>
      </c>
      <c r="E1732" s="1">
        <v>1</v>
      </c>
      <c r="F1732" s="1" t="s">
        <v>1922</v>
      </c>
      <c r="G1732" s="1" t="s">
        <v>9703</v>
      </c>
      <c r="I1732" s="1" t="s">
        <v>125</v>
      </c>
      <c r="M1732" s="18">
        <v>2</v>
      </c>
      <c r="N1732" s="54" t="s">
        <v>9529</v>
      </c>
      <c r="Y1732" s="1" t="s">
        <v>9703</v>
      </c>
      <c r="AA1732" s="1" t="s">
        <v>125</v>
      </c>
      <c r="AE1732" s="1">
        <v>2</v>
      </c>
      <c r="AF1732" s="54" t="s">
        <v>9530</v>
      </c>
      <c r="AL1732" s="60" t="s">
        <v>46</v>
      </c>
    </row>
    <row r="1733" spans="1:38" x14ac:dyDescent="0.2">
      <c r="A1733" s="1" t="s">
        <v>1899</v>
      </c>
      <c r="B1733" s="1" t="s">
        <v>2003</v>
      </c>
      <c r="C1733" s="1" t="s">
        <v>5728</v>
      </c>
      <c r="D1733" s="48">
        <v>28</v>
      </c>
      <c r="E1733" s="1">
        <v>1</v>
      </c>
      <c r="F1733" s="1" t="s">
        <v>1922</v>
      </c>
      <c r="G1733" s="1" t="s">
        <v>9731</v>
      </c>
      <c r="I1733" s="1" t="s">
        <v>125</v>
      </c>
      <c r="M1733" s="18">
        <v>3</v>
      </c>
      <c r="N1733" s="54" t="s">
        <v>9529</v>
      </c>
      <c r="Y1733" s="1" t="s">
        <v>9731</v>
      </c>
      <c r="AA1733" s="1" t="s">
        <v>125</v>
      </c>
      <c r="AE1733" s="1">
        <v>3</v>
      </c>
      <c r="AF1733" s="54" t="s">
        <v>9530</v>
      </c>
      <c r="AL1733" s="60" t="s">
        <v>166</v>
      </c>
    </row>
    <row r="1734" spans="1:38" x14ac:dyDescent="0.2">
      <c r="A1734" s="1" t="s">
        <v>1899</v>
      </c>
      <c r="B1734" s="1" t="s">
        <v>1949</v>
      </c>
      <c r="C1734" s="1" t="s">
        <v>5728</v>
      </c>
      <c r="D1734" s="48">
        <v>29</v>
      </c>
      <c r="E1734" s="1">
        <v>1</v>
      </c>
      <c r="F1734" s="1" t="s">
        <v>1922</v>
      </c>
      <c r="G1734" s="1" t="s">
        <v>9736</v>
      </c>
      <c r="I1734" s="1" t="s">
        <v>125</v>
      </c>
      <c r="M1734" s="18">
        <v>4</v>
      </c>
      <c r="N1734" s="54" t="s">
        <v>9529</v>
      </c>
      <c r="Y1734" s="1" t="s">
        <v>9736</v>
      </c>
      <c r="AA1734" s="1" t="s">
        <v>125</v>
      </c>
      <c r="AE1734" s="1">
        <v>4</v>
      </c>
      <c r="AF1734" s="54" t="s">
        <v>9530</v>
      </c>
      <c r="AL1734" s="60" t="s">
        <v>46</v>
      </c>
    </row>
    <row r="1735" spans="1:38" x14ac:dyDescent="0.2">
      <c r="A1735" s="1" t="s">
        <v>1899</v>
      </c>
      <c r="B1735" s="1" t="s">
        <v>1926</v>
      </c>
      <c r="C1735" s="1" t="s">
        <v>5728</v>
      </c>
      <c r="D1735" s="48">
        <v>30</v>
      </c>
      <c r="E1735" s="1">
        <v>1</v>
      </c>
      <c r="F1735" s="1" t="s">
        <v>1922</v>
      </c>
      <c r="G1735" s="1" t="s">
        <v>9737</v>
      </c>
      <c r="I1735" s="1" t="s">
        <v>125</v>
      </c>
      <c r="M1735" s="18">
        <v>4</v>
      </c>
      <c r="N1735" s="54" t="s">
        <v>9529</v>
      </c>
      <c r="Y1735" s="1" t="s">
        <v>9737</v>
      </c>
      <c r="AA1735" s="1" t="s">
        <v>125</v>
      </c>
      <c r="AE1735" s="1">
        <v>4</v>
      </c>
      <c r="AF1735" s="54" t="s">
        <v>9530</v>
      </c>
      <c r="AL1735" s="60" t="s">
        <v>46</v>
      </c>
    </row>
    <row r="1736" spans="1:38" x14ac:dyDescent="0.2">
      <c r="A1736" s="1" t="s">
        <v>1899</v>
      </c>
      <c r="B1736" s="1" t="s">
        <v>1958</v>
      </c>
      <c r="C1736" s="1" t="s">
        <v>5728</v>
      </c>
      <c r="D1736" s="48">
        <v>31</v>
      </c>
      <c r="E1736" s="1">
        <v>2</v>
      </c>
      <c r="F1736" s="1" t="s">
        <v>1922</v>
      </c>
      <c r="G1736" s="1" t="s">
        <v>1959</v>
      </c>
      <c r="I1736" s="1" t="s">
        <v>82</v>
      </c>
      <c r="AL1736" s="60" t="s">
        <v>30</v>
      </c>
    </row>
    <row r="1737" spans="1:38" x14ac:dyDescent="0.2">
      <c r="A1737" s="1" t="s">
        <v>1899</v>
      </c>
      <c r="B1737" s="1" t="s">
        <v>2013</v>
      </c>
      <c r="C1737" s="1" t="s">
        <v>5728</v>
      </c>
      <c r="D1737" s="48">
        <v>32</v>
      </c>
      <c r="E1737" s="1">
        <v>3</v>
      </c>
      <c r="F1737" s="1" t="s">
        <v>1922</v>
      </c>
      <c r="G1737" s="1" t="s">
        <v>2014</v>
      </c>
      <c r="I1737" s="1" t="s">
        <v>82</v>
      </c>
      <c r="L1737" s="2" t="s">
        <v>685</v>
      </c>
      <c r="AL1737" s="60" t="s">
        <v>30</v>
      </c>
    </row>
    <row r="1738" spans="1:38" x14ac:dyDescent="0.2">
      <c r="A1738" s="1" t="s">
        <v>1899</v>
      </c>
      <c r="B1738" s="1" t="s">
        <v>2000</v>
      </c>
      <c r="C1738" s="1" t="s">
        <v>5728</v>
      </c>
      <c r="D1738" s="48">
        <v>33</v>
      </c>
      <c r="E1738" s="1">
        <v>2</v>
      </c>
      <c r="F1738" s="1" t="s">
        <v>1937</v>
      </c>
      <c r="G1738" s="1" t="s">
        <v>2001</v>
      </c>
      <c r="I1738" s="1" t="s">
        <v>94</v>
      </c>
      <c r="K1738" s="1" t="s">
        <v>2002</v>
      </c>
      <c r="O1738" s="55">
        <v>1</v>
      </c>
      <c r="Q1738" s="57">
        <v>2</v>
      </c>
      <c r="R1738" s="58">
        <v>2</v>
      </c>
      <c r="S1738" s="59">
        <v>4</v>
      </c>
      <c r="AL1738" s="60" t="s">
        <v>30</v>
      </c>
    </row>
    <row r="1739" spans="1:38" x14ac:dyDescent="0.2">
      <c r="A1739" s="1" t="s">
        <v>1899</v>
      </c>
      <c r="B1739" s="1" t="s">
        <v>1941</v>
      </c>
      <c r="C1739" s="1" t="s">
        <v>5728</v>
      </c>
      <c r="D1739" s="48">
        <v>34</v>
      </c>
      <c r="E1739" s="1">
        <v>2</v>
      </c>
      <c r="F1739" s="1" t="s">
        <v>1937</v>
      </c>
      <c r="G1739" s="1" t="s">
        <v>1942</v>
      </c>
      <c r="I1739" s="1" t="s">
        <v>94</v>
      </c>
      <c r="K1739" s="1" t="s">
        <v>1943</v>
      </c>
      <c r="O1739" s="55">
        <v>2</v>
      </c>
      <c r="Q1739" s="57">
        <v>2</v>
      </c>
      <c r="R1739" s="58">
        <v>1</v>
      </c>
      <c r="S1739" s="59">
        <v>3</v>
      </c>
      <c r="AL1739" s="60" t="s">
        <v>30</v>
      </c>
    </row>
    <row r="1740" spans="1:38" x14ac:dyDescent="0.2">
      <c r="A1740" s="1" t="s">
        <v>1899</v>
      </c>
      <c r="B1740" s="1" t="s">
        <v>2094</v>
      </c>
      <c r="C1740" s="1" t="s">
        <v>5728</v>
      </c>
      <c r="D1740" s="48">
        <v>35</v>
      </c>
      <c r="E1740" s="1">
        <v>1</v>
      </c>
      <c r="F1740" s="1" t="s">
        <v>1937</v>
      </c>
      <c r="G1740" s="1" t="s">
        <v>2095</v>
      </c>
      <c r="H1740" s="1" t="s">
        <v>26</v>
      </c>
      <c r="I1740" s="1" t="s">
        <v>94</v>
      </c>
      <c r="K1740" s="1" t="s">
        <v>2096</v>
      </c>
      <c r="L1740" s="2" t="s">
        <v>2097</v>
      </c>
      <c r="O1740" s="55">
        <v>2</v>
      </c>
      <c r="Q1740" s="57">
        <v>3</v>
      </c>
      <c r="R1740" s="58">
        <v>3</v>
      </c>
      <c r="S1740" s="59">
        <v>5</v>
      </c>
      <c r="U1740" s="1">
        <v>4</v>
      </c>
      <c r="AL1740" s="60" t="s">
        <v>30</v>
      </c>
    </row>
    <row r="1741" spans="1:38" x14ac:dyDescent="0.2">
      <c r="A1741" s="1" t="s">
        <v>1899</v>
      </c>
      <c r="B1741" s="1" t="s">
        <v>1976</v>
      </c>
      <c r="C1741" s="1" t="s">
        <v>5728</v>
      </c>
      <c r="D1741" s="48">
        <v>36</v>
      </c>
      <c r="E1741" s="1">
        <v>2</v>
      </c>
      <c r="F1741" s="1" t="s">
        <v>1937</v>
      </c>
      <c r="G1741" s="1" t="s">
        <v>1977</v>
      </c>
      <c r="I1741" s="1" t="s">
        <v>94</v>
      </c>
      <c r="K1741" s="1" t="s">
        <v>1978</v>
      </c>
      <c r="O1741" s="55">
        <v>2</v>
      </c>
      <c r="Q1741" s="57">
        <v>3</v>
      </c>
      <c r="R1741" s="58">
        <v>1</v>
      </c>
      <c r="S1741" s="59">
        <v>3</v>
      </c>
      <c r="AL1741" s="60" t="s">
        <v>30</v>
      </c>
    </row>
    <row r="1742" spans="1:38" x14ac:dyDescent="0.2">
      <c r="A1742" s="1" t="s">
        <v>1899</v>
      </c>
      <c r="B1742" s="1" t="s">
        <v>1955</v>
      </c>
      <c r="C1742" s="1" t="s">
        <v>5728</v>
      </c>
      <c r="D1742" s="48">
        <v>37</v>
      </c>
      <c r="E1742" s="1">
        <v>1</v>
      </c>
      <c r="F1742" s="1" t="s">
        <v>1937</v>
      </c>
      <c r="G1742" s="1" t="s">
        <v>1956</v>
      </c>
      <c r="I1742" s="1" t="s">
        <v>104</v>
      </c>
      <c r="K1742" s="1" t="s">
        <v>1957</v>
      </c>
      <c r="O1742" s="55">
        <v>2</v>
      </c>
      <c r="T1742" s="60">
        <v>5</v>
      </c>
      <c r="U1742" s="1">
        <v>1</v>
      </c>
      <c r="AL1742" s="60" t="s">
        <v>30</v>
      </c>
    </row>
    <row r="1743" spans="1:38" x14ac:dyDescent="0.2">
      <c r="A1743" s="1" t="s">
        <v>1899</v>
      </c>
      <c r="B1743" s="1" t="s">
        <v>1972</v>
      </c>
      <c r="C1743" s="1" t="s">
        <v>5728</v>
      </c>
      <c r="D1743" s="48">
        <v>38</v>
      </c>
      <c r="E1743" s="1">
        <v>3</v>
      </c>
      <c r="F1743" s="1" t="s">
        <v>1937</v>
      </c>
      <c r="G1743" s="1" t="s">
        <v>1973</v>
      </c>
      <c r="I1743" s="1" t="s">
        <v>104</v>
      </c>
      <c r="K1743" s="1" t="s">
        <v>1957</v>
      </c>
      <c r="O1743" s="55">
        <v>2</v>
      </c>
      <c r="T1743" s="60">
        <v>3</v>
      </c>
      <c r="AL1743" s="60" t="s">
        <v>30</v>
      </c>
    </row>
    <row r="1744" spans="1:38" x14ac:dyDescent="0.2">
      <c r="A1744" s="1" t="s">
        <v>1899</v>
      </c>
      <c r="B1744" s="1" t="s">
        <v>2015</v>
      </c>
      <c r="C1744" s="1" t="s">
        <v>5728</v>
      </c>
      <c r="D1744" s="48">
        <v>39</v>
      </c>
      <c r="E1744" s="1">
        <v>1</v>
      </c>
      <c r="F1744" s="1" t="s">
        <v>1937</v>
      </c>
      <c r="G1744" s="1" t="s">
        <v>2016</v>
      </c>
      <c r="I1744" s="1" t="s">
        <v>88</v>
      </c>
      <c r="K1744" s="1" t="s">
        <v>2017</v>
      </c>
      <c r="P1744" s="56">
        <v>2</v>
      </c>
      <c r="Q1744" s="57">
        <v>1</v>
      </c>
      <c r="R1744" s="58">
        <v>1</v>
      </c>
      <c r="S1744" s="59">
        <v>3</v>
      </c>
      <c r="AL1744" s="60" t="s">
        <v>30</v>
      </c>
    </row>
    <row r="1745" spans="1:38" x14ac:dyDescent="0.2">
      <c r="A1745" s="1" t="s">
        <v>1899</v>
      </c>
      <c r="B1745" s="1" t="s">
        <v>1974</v>
      </c>
      <c r="C1745" s="1" t="s">
        <v>5728</v>
      </c>
      <c r="D1745" s="48">
        <v>40</v>
      </c>
      <c r="E1745" s="1">
        <v>1</v>
      </c>
      <c r="F1745" s="1" t="s">
        <v>1937</v>
      </c>
      <c r="G1745" s="1" t="s">
        <v>1975</v>
      </c>
      <c r="I1745" s="1" t="s">
        <v>88</v>
      </c>
      <c r="K1745" s="1" t="s">
        <v>89</v>
      </c>
      <c r="AL1745" s="60" t="s">
        <v>30</v>
      </c>
    </row>
    <row r="1746" spans="1:38" x14ac:dyDescent="0.2">
      <c r="A1746" s="1" t="s">
        <v>1899</v>
      </c>
      <c r="B1746" s="1" t="s">
        <v>1997</v>
      </c>
      <c r="C1746" s="1" t="s">
        <v>5728</v>
      </c>
      <c r="D1746" s="48">
        <v>41</v>
      </c>
      <c r="E1746" s="1">
        <v>1</v>
      </c>
      <c r="F1746" s="1" t="s">
        <v>1937</v>
      </c>
      <c r="G1746" s="1" t="s">
        <v>1998</v>
      </c>
      <c r="I1746" s="1" t="s">
        <v>88</v>
      </c>
      <c r="K1746" s="1" t="s">
        <v>1999</v>
      </c>
      <c r="AL1746" s="60" t="s">
        <v>30</v>
      </c>
    </row>
    <row r="1747" spans="1:38" x14ac:dyDescent="0.2">
      <c r="A1747" s="1" t="s">
        <v>1899</v>
      </c>
      <c r="B1747" s="1" t="s">
        <v>1985</v>
      </c>
      <c r="C1747" s="1" t="s">
        <v>5728</v>
      </c>
      <c r="D1747" s="48">
        <v>42</v>
      </c>
      <c r="E1747" s="1">
        <v>1</v>
      </c>
      <c r="F1747" s="1" t="s">
        <v>1937</v>
      </c>
      <c r="G1747" s="1" t="s">
        <v>1986</v>
      </c>
      <c r="I1747" s="1" t="s">
        <v>88</v>
      </c>
      <c r="AL1747" s="60" t="s">
        <v>30</v>
      </c>
    </row>
    <row r="1748" spans="1:38" x14ac:dyDescent="0.2">
      <c r="A1748" s="1" t="s">
        <v>1899</v>
      </c>
      <c r="B1748" s="1" t="s">
        <v>2005</v>
      </c>
      <c r="C1748" s="1" t="s">
        <v>5728</v>
      </c>
      <c r="D1748" s="48">
        <v>43</v>
      </c>
      <c r="E1748" s="1">
        <v>1</v>
      </c>
      <c r="F1748" s="1" t="s">
        <v>1937</v>
      </c>
      <c r="G1748" s="1" t="s">
        <v>2006</v>
      </c>
      <c r="I1748" s="1" t="s">
        <v>88</v>
      </c>
      <c r="AL1748" s="60" t="s">
        <v>30</v>
      </c>
    </row>
    <row r="1749" spans="1:38" x14ac:dyDescent="0.2">
      <c r="A1749" s="1" t="s">
        <v>1899</v>
      </c>
      <c r="B1749" s="1" t="s">
        <v>2065</v>
      </c>
      <c r="C1749" s="1" t="s">
        <v>5728</v>
      </c>
      <c r="D1749" s="48">
        <v>44</v>
      </c>
      <c r="E1749" s="1">
        <v>1</v>
      </c>
      <c r="F1749" s="1" t="s">
        <v>1937</v>
      </c>
      <c r="G1749" s="1" t="s">
        <v>9727</v>
      </c>
      <c r="I1749" s="1" t="s">
        <v>125</v>
      </c>
      <c r="M1749" s="18">
        <v>1</v>
      </c>
      <c r="N1749" s="54" t="s">
        <v>9529</v>
      </c>
      <c r="X1749" s="1" t="s">
        <v>2066</v>
      </c>
      <c r="Y1749" s="1" t="s">
        <v>9727</v>
      </c>
      <c r="AA1749" s="1" t="s">
        <v>125</v>
      </c>
      <c r="AE1749" s="1">
        <v>1</v>
      </c>
      <c r="AF1749" s="54" t="s">
        <v>9530</v>
      </c>
      <c r="AL1749" s="60" t="s">
        <v>46</v>
      </c>
    </row>
    <row r="1750" spans="1:38" x14ac:dyDescent="0.2">
      <c r="A1750" s="1" t="s">
        <v>1899</v>
      </c>
      <c r="B1750" s="1" t="s">
        <v>1991</v>
      </c>
      <c r="C1750" s="1" t="s">
        <v>5728</v>
      </c>
      <c r="D1750" s="48">
        <v>45</v>
      </c>
      <c r="E1750" s="1">
        <v>1</v>
      </c>
      <c r="F1750" s="1" t="s">
        <v>1937</v>
      </c>
      <c r="G1750" s="1" t="s">
        <v>9729</v>
      </c>
      <c r="I1750" s="1" t="s">
        <v>125</v>
      </c>
      <c r="M1750" s="18">
        <v>2</v>
      </c>
      <c r="N1750" s="54" t="s">
        <v>9529</v>
      </c>
      <c r="Y1750" s="1" t="s">
        <v>9729</v>
      </c>
      <c r="AA1750" s="1" t="s">
        <v>125</v>
      </c>
      <c r="AE1750" s="1">
        <v>2</v>
      </c>
      <c r="AF1750" s="54" t="s">
        <v>9530</v>
      </c>
      <c r="AL1750" s="60" t="s">
        <v>341</v>
      </c>
    </row>
    <row r="1751" spans="1:38" x14ac:dyDescent="0.2">
      <c r="A1751" s="1" t="s">
        <v>1899</v>
      </c>
      <c r="B1751" s="1" t="s">
        <v>2004</v>
      </c>
      <c r="C1751" s="1" t="s">
        <v>5728</v>
      </c>
      <c r="D1751" s="48">
        <v>46</v>
      </c>
      <c r="E1751" s="1">
        <v>1</v>
      </c>
      <c r="F1751" s="1" t="s">
        <v>1937</v>
      </c>
      <c r="G1751" s="1" t="s">
        <v>9732</v>
      </c>
      <c r="I1751" s="1" t="s">
        <v>125</v>
      </c>
      <c r="M1751" s="18">
        <v>3</v>
      </c>
      <c r="N1751" s="54" t="s">
        <v>9529</v>
      </c>
      <c r="Y1751" s="1" t="s">
        <v>9732</v>
      </c>
      <c r="AA1751" s="1" t="s">
        <v>125</v>
      </c>
      <c r="AE1751" s="1">
        <v>3</v>
      </c>
      <c r="AF1751" s="54" t="s">
        <v>9530</v>
      </c>
      <c r="AL1751" s="60" t="s">
        <v>666</v>
      </c>
    </row>
    <row r="1752" spans="1:38" x14ac:dyDescent="0.2">
      <c r="A1752" s="1" t="s">
        <v>1899</v>
      </c>
      <c r="B1752" s="1" t="s">
        <v>1936</v>
      </c>
      <c r="C1752" s="1" t="s">
        <v>5728</v>
      </c>
      <c r="D1752" s="48">
        <v>47</v>
      </c>
      <c r="E1752" s="1">
        <v>1</v>
      </c>
      <c r="F1752" s="1" t="s">
        <v>1937</v>
      </c>
      <c r="G1752" s="1" t="s">
        <v>9738</v>
      </c>
      <c r="I1752" s="1" t="s">
        <v>125</v>
      </c>
      <c r="M1752" s="18">
        <v>4</v>
      </c>
      <c r="N1752" s="54" t="s">
        <v>9529</v>
      </c>
      <c r="Y1752" s="1" t="s">
        <v>9738</v>
      </c>
      <c r="AA1752" s="1" t="s">
        <v>125</v>
      </c>
      <c r="AE1752" s="1">
        <v>4</v>
      </c>
      <c r="AF1752" s="54" t="s">
        <v>9530</v>
      </c>
      <c r="AL1752" s="60" t="s">
        <v>67</v>
      </c>
    </row>
    <row r="1753" spans="1:38" x14ac:dyDescent="0.2">
      <c r="A1753" s="1" t="s">
        <v>1899</v>
      </c>
      <c r="B1753" s="1" t="s">
        <v>2086</v>
      </c>
      <c r="C1753" s="1" t="s">
        <v>5728</v>
      </c>
      <c r="D1753" s="48">
        <v>48</v>
      </c>
      <c r="E1753" s="1">
        <v>1</v>
      </c>
      <c r="F1753" s="1" t="s">
        <v>1937</v>
      </c>
      <c r="G1753" s="1" t="s">
        <v>1797</v>
      </c>
      <c r="I1753" s="1" t="s">
        <v>3482</v>
      </c>
      <c r="AL1753" s="60" t="s">
        <v>30</v>
      </c>
    </row>
    <row r="1754" spans="1:38" x14ac:dyDescent="0.2">
      <c r="A1754" s="1" t="s">
        <v>1899</v>
      </c>
      <c r="B1754" s="1" t="s">
        <v>2020</v>
      </c>
      <c r="C1754" s="1" t="s">
        <v>5728</v>
      </c>
      <c r="D1754" s="48">
        <v>49</v>
      </c>
      <c r="E1754" s="1">
        <v>2</v>
      </c>
      <c r="F1754" s="1" t="s">
        <v>1937</v>
      </c>
      <c r="G1754" s="1" t="s">
        <v>2021</v>
      </c>
      <c r="I1754" s="1" t="s">
        <v>82</v>
      </c>
      <c r="AL1754" s="60" t="s">
        <v>30</v>
      </c>
    </row>
    <row r="1755" spans="1:38" x14ac:dyDescent="0.2">
      <c r="A1755" s="1" t="s">
        <v>1899</v>
      </c>
      <c r="B1755" s="1" t="s">
        <v>1983</v>
      </c>
      <c r="C1755" s="1" t="s">
        <v>5728</v>
      </c>
      <c r="D1755" s="48">
        <v>50</v>
      </c>
      <c r="E1755" s="1">
        <v>3</v>
      </c>
      <c r="F1755" s="1" t="s">
        <v>1937</v>
      </c>
      <c r="G1755" s="1" t="s">
        <v>1984</v>
      </c>
      <c r="I1755" s="1" t="s">
        <v>82</v>
      </c>
      <c r="AL1755" s="60" t="s">
        <v>30</v>
      </c>
    </row>
    <row r="1756" spans="1:38" x14ac:dyDescent="0.2">
      <c r="A1756" s="1" t="s">
        <v>1899</v>
      </c>
      <c r="B1756" s="1" t="s">
        <v>2074</v>
      </c>
      <c r="C1756" s="1" t="s">
        <v>5728</v>
      </c>
      <c r="D1756" s="48">
        <v>51</v>
      </c>
      <c r="E1756" s="1">
        <v>1</v>
      </c>
      <c r="F1756" s="1" t="s">
        <v>1904</v>
      </c>
      <c r="G1756" s="1" t="s">
        <v>2075</v>
      </c>
      <c r="I1756" s="1" t="s">
        <v>94</v>
      </c>
      <c r="K1756" s="1" t="s">
        <v>2076</v>
      </c>
      <c r="L1756" s="2" t="s">
        <v>2077</v>
      </c>
      <c r="O1756" s="55">
        <v>1</v>
      </c>
      <c r="Q1756" s="57">
        <v>4</v>
      </c>
      <c r="R1756" s="58">
        <v>2</v>
      </c>
      <c r="S1756" s="59">
        <v>6</v>
      </c>
      <c r="AL1756" s="60" t="s">
        <v>30</v>
      </c>
    </row>
    <row r="1757" spans="1:38" x14ac:dyDescent="0.2">
      <c r="A1757" s="1" t="s">
        <v>1899</v>
      </c>
      <c r="B1757" s="1" t="s">
        <v>2031</v>
      </c>
      <c r="C1757" s="1" t="s">
        <v>5728</v>
      </c>
      <c r="D1757" s="48">
        <v>52</v>
      </c>
      <c r="E1757" s="1">
        <v>2</v>
      </c>
      <c r="F1757" s="1" t="s">
        <v>1904</v>
      </c>
      <c r="G1757" s="1" t="s">
        <v>2032</v>
      </c>
      <c r="I1757" s="1" t="s">
        <v>94</v>
      </c>
      <c r="K1757" s="1" t="s">
        <v>2033</v>
      </c>
      <c r="N1757" s="54">
        <v>27</v>
      </c>
      <c r="O1757" s="55">
        <v>3</v>
      </c>
      <c r="Q1757" s="57">
        <v>3</v>
      </c>
      <c r="R1757" s="58">
        <v>2</v>
      </c>
      <c r="S1757" s="59">
        <v>3</v>
      </c>
      <c r="AL1757" s="60" t="s">
        <v>30</v>
      </c>
    </row>
    <row r="1758" spans="1:38" x14ac:dyDescent="0.2">
      <c r="A1758" s="1" t="s">
        <v>1899</v>
      </c>
      <c r="B1758" s="1" t="s">
        <v>2060</v>
      </c>
      <c r="C1758" s="1" t="s">
        <v>5728</v>
      </c>
      <c r="D1758" s="48">
        <v>53</v>
      </c>
      <c r="E1758" s="1">
        <v>1</v>
      </c>
      <c r="F1758" s="1" t="s">
        <v>1904</v>
      </c>
      <c r="G1758" s="1" t="s">
        <v>2061</v>
      </c>
      <c r="H1758" s="1" t="s">
        <v>26</v>
      </c>
      <c r="I1758" s="1" t="s">
        <v>94</v>
      </c>
      <c r="K1758" s="1" t="s">
        <v>2062</v>
      </c>
      <c r="O1758" s="55">
        <v>3</v>
      </c>
      <c r="Q1758" s="57">
        <v>4</v>
      </c>
      <c r="R1758" s="58">
        <v>2</v>
      </c>
      <c r="S1758" s="59">
        <v>4</v>
      </c>
      <c r="AL1758" s="60" t="s">
        <v>30</v>
      </c>
    </row>
    <row r="1759" spans="1:38" x14ac:dyDescent="0.2">
      <c r="A1759" s="1" t="s">
        <v>1899</v>
      </c>
      <c r="B1759" s="1" t="s">
        <v>1900</v>
      </c>
      <c r="C1759" s="1" t="s">
        <v>5728</v>
      </c>
      <c r="D1759" s="48">
        <v>54</v>
      </c>
      <c r="E1759" s="1">
        <v>1</v>
      </c>
      <c r="F1759" s="1" t="s">
        <v>1904</v>
      </c>
      <c r="G1759" s="1" t="s">
        <v>1901</v>
      </c>
      <c r="H1759" s="1" t="s">
        <v>26</v>
      </c>
      <c r="I1759" s="1" t="s">
        <v>94</v>
      </c>
      <c r="K1759" s="1" t="s">
        <v>1902</v>
      </c>
      <c r="L1759" s="2" t="s">
        <v>1903</v>
      </c>
      <c r="N1759" s="54">
        <v>36</v>
      </c>
      <c r="O1759" s="55">
        <v>2</v>
      </c>
      <c r="Q1759" s="57">
        <v>4</v>
      </c>
      <c r="R1759" s="58">
        <v>2</v>
      </c>
      <c r="S1759" s="59">
        <v>5</v>
      </c>
      <c r="AL1759" s="60" t="s">
        <v>30</v>
      </c>
    </row>
    <row r="1760" spans="1:38" x14ac:dyDescent="0.2">
      <c r="A1760" s="1" t="s">
        <v>1899</v>
      </c>
      <c r="B1760" s="1" t="s">
        <v>1979</v>
      </c>
      <c r="C1760" s="1" t="s">
        <v>5728</v>
      </c>
      <c r="D1760" s="48">
        <v>55</v>
      </c>
      <c r="E1760" s="1">
        <v>4</v>
      </c>
      <c r="F1760" s="1" t="s">
        <v>1904</v>
      </c>
      <c r="G1760" s="1" t="s">
        <v>1980</v>
      </c>
      <c r="I1760" s="1" t="s">
        <v>94</v>
      </c>
      <c r="K1760" s="1" t="s">
        <v>1981</v>
      </c>
      <c r="N1760" s="54">
        <v>16</v>
      </c>
      <c r="O1760" s="55">
        <v>0</v>
      </c>
      <c r="Q1760" s="57">
        <v>2</v>
      </c>
      <c r="R1760" s="58">
        <v>2</v>
      </c>
      <c r="S1760" s="59">
        <v>2</v>
      </c>
      <c r="AL1760" s="60" t="s">
        <v>30</v>
      </c>
    </row>
    <row r="1761" spans="1:38" x14ac:dyDescent="0.2">
      <c r="A1761" s="1" t="s">
        <v>1899</v>
      </c>
      <c r="B1761" s="1" t="s">
        <v>1950</v>
      </c>
      <c r="C1761" s="1" t="s">
        <v>5728</v>
      </c>
      <c r="D1761" s="48">
        <v>56</v>
      </c>
      <c r="E1761" s="1">
        <v>3</v>
      </c>
      <c r="F1761" s="1" t="s">
        <v>1904</v>
      </c>
      <c r="G1761" s="1" t="s">
        <v>1951</v>
      </c>
      <c r="I1761" s="1" t="s">
        <v>94</v>
      </c>
      <c r="K1761" s="1" t="s">
        <v>1952</v>
      </c>
      <c r="L1761" s="2" t="s">
        <v>1903</v>
      </c>
      <c r="N1761" s="54">
        <v>45</v>
      </c>
      <c r="O1761" s="55">
        <v>1</v>
      </c>
      <c r="Q1761" s="57">
        <v>6</v>
      </c>
      <c r="R1761" s="58">
        <v>3</v>
      </c>
      <c r="S1761" s="59">
        <v>4</v>
      </c>
      <c r="AL1761" s="60" t="s">
        <v>30</v>
      </c>
    </row>
    <row r="1762" spans="1:38" x14ac:dyDescent="0.2">
      <c r="A1762" s="1" t="s">
        <v>1899</v>
      </c>
      <c r="B1762" s="1" t="s">
        <v>2040</v>
      </c>
      <c r="C1762" s="1" t="s">
        <v>5728</v>
      </c>
      <c r="D1762" s="48">
        <v>57</v>
      </c>
      <c r="E1762" s="1">
        <v>1</v>
      </c>
      <c r="F1762" s="1" t="s">
        <v>1904</v>
      </c>
      <c r="G1762" s="1" t="s">
        <v>2041</v>
      </c>
      <c r="H1762" s="1" t="s">
        <v>26</v>
      </c>
      <c r="I1762" s="1" t="s">
        <v>94</v>
      </c>
      <c r="K1762" s="1" t="s">
        <v>1952</v>
      </c>
      <c r="O1762" s="55">
        <v>4</v>
      </c>
      <c r="Q1762" s="57">
        <v>12</v>
      </c>
      <c r="R1762" s="58">
        <v>2</v>
      </c>
      <c r="S1762" s="59">
        <v>7</v>
      </c>
      <c r="AL1762" s="60" t="s">
        <v>30</v>
      </c>
    </row>
    <row r="1763" spans="1:38" x14ac:dyDescent="0.2">
      <c r="A1763" s="1" t="s">
        <v>1899</v>
      </c>
      <c r="B1763" s="1" t="s">
        <v>2022</v>
      </c>
      <c r="C1763" s="1" t="s">
        <v>5728</v>
      </c>
      <c r="D1763" s="48">
        <v>58</v>
      </c>
      <c r="E1763" s="1">
        <v>1</v>
      </c>
      <c r="F1763" s="1" t="s">
        <v>1904</v>
      </c>
      <c r="G1763" s="1" t="s">
        <v>2023</v>
      </c>
      <c r="H1763" s="1" t="s">
        <v>26</v>
      </c>
      <c r="I1763" s="1" t="s">
        <v>94</v>
      </c>
      <c r="K1763" s="1" t="s">
        <v>2024</v>
      </c>
      <c r="L1763" s="2" t="s">
        <v>2025</v>
      </c>
      <c r="N1763" s="54">
        <v>33</v>
      </c>
      <c r="O1763" s="55">
        <v>0</v>
      </c>
      <c r="Q1763" s="57">
        <v>3</v>
      </c>
      <c r="R1763" s="58">
        <v>2</v>
      </c>
      <c r="S1763" s="59">
        <v>2</v>
      </c>
      <c r="AL1763" s="60" t="s">
        <v>30</v>
      </c>
    </row>
    <row r="1764" spans="1:38" x14ac:dyDescent="0.2">
      <c r="A1764" s="1" t="s">
        <v>1899</v>
      </c>
      <c r="B1764" s="1" t="s">
        <v>2037</v>
      </c>
      <c r="C1764" s="1" t="s">
        <v>5728</v>
      </c>
      <c r="D1764" s="48">
        <v>59</v>
      </c>
      <c r="E1764" s="1">
        <v>1</v>
      </c>
      <c r="F1764" s="1" t="s">
        <v>1904</v>
      </c>
      <c r="G1764" s="1" t="s">
        <v>2038</v>
      </c>
      <c r="I1764" s="1" t="s">
        <v>94</v>
      </c>
      <c r="K1764" s="1" t="s">
        <v>1952</v>
      </c>
      <c r="L1764" s="2" t="s">
        <v>2039</v>
      </c>
      <c r="N1764" s="54">
        <v>32</v>
      </c>
      <c r="O1764" s="55">
        <v>2</v>
      </c>
      <c r="Q1764" s="57">
        <v>4</v>
      </c>
      <c r="R1764" s="58">
        <v>4</v>
      </c>
      <c r="S1764" s="59">
        <v>5</v>
      </c>
      <c r="AL1764" s="60" t="s">
        <v>30</v>
      </c>
    </row>
    <row r="1765" spans="1:38" x14ac:dyDescent="0.2">
      <c r="A1765" s="1" t="s">
        <v>1899</v>
      </c>
      <c r="B1765" s="1" t="s">
        <v>2067</v>
      </c>
      <c r="C1765" s="1" t="s">
        <v>5728</v>
      </c>
      <c r="D1765" s="48">
        <v>60</v>
      </c>
      <c r="E1765" s="1">
        <v>3</v>
      </c>
      <c r="F1765" s="1" t="s">
        <v>1904</v>
      </c>
      <c r="G1765" s="1" t="s">
        <v>2068</v>
      </c>
      <c r="I1765" s="1" t="s">
        <v>94</v>
      </c>
      <c r="K1765" s="1" t="s">
        <v>2069</v>
      </c>
      <c r="O1765" s="55">
        <v>2</v>
      </c>
      <c r="Q1765" s="57">
        <v>2</v>
      </c>
      <c r="R1765" s="58">
        <v>1</v>
      </c>
      <c r="S1765" s="59">
        <v>3</v>
      </c>
      <c r="AL1765" s="60" t="s">
        <v>30</v>
      </c>
    </row>
    <row r="1766" spans="1:38" x14ac:dyDescent="0.2">
      <c r="A1766" s="1" t="s">
        <v>1899</v>
      </c>
      <c r="B1766" s="1" t="s">
        <v>2058</v>
      </c>
      <c r="C1766" s="1" t="s">
        <v>5728</v>
      </c>
      <c r="D1766" s="48">
        <v>61</v>
      </c>
      <c r="E1766" s="1">
        <v>2</v>
      </c>
      <c r="F1766" s="1" t="s">
        <v>1904</v>
      </c>
      <c r="G1766" s="1" t="s">
        <v>2059</v>
      </c>
      <c r="I1766" s="1" t="s">
        <v>94</v>
      </c>
      <c r="O1766" s="55">
        <v>2</v>
      </c>
      <c r="Q1766" s="57">
        <v>4</v>
      </c>
      <c r="R1766" s="58">
        <v>1</v>
      </c>
      <c r="S1766" s="59">
        <v>5</v>
      </c>
      <c r="AL1766" s="60" t="s">
        <v>30</v>
      </c>
    </row>
    <row r="1767" spans="1:38" x14ac:dyDescent="0.2">
      <c r="A1767" s="1" t="s">
        <v>1899</v>
      </c>
      <c r="B1767" s="1" t="s">
        <v>1912</v>
      </c>
      <c r="C1767" s="1" t="s">
        <v>5728</v>
      </c>
      <c r="D1767" s="48">
        <v>62</v>
      </c>
      <c r="E1767" s="1">
        <v>1</v>
      </c>
      <c r="F1767" s="1" t="s">
        <v>1904</v>
      </c>
      <c r="G1767" s="1" t="s">
        <v>1913</v>
      </c>
      <c r="I1767" s="1" t="s">
        <v>94</v>
      </c>
      <c r="L1767" s="2" t="s">
        <v>1914</v>
      </c>
      <c r="O1767" s="55">
        <v>1</v>
      </c>
      <c r="Q1767" s="57">
        <v>7</v>
      </c>
      <c r="R1767" s="58">
        <v>2</v>
      </c>
      <c r="S1767" s="59">
        <v>5</v>
      </c>
      <c r="AL1767" s="60" t="s">
        <v>30</v>
      </c>
    </row>
    <row r="1768" spans="1:38" x14ac:dyDescent="0.2">
      <c r="A1768" s="1" t="s">
        <v>1899</v>
      </c>
      <c r="B1768" s="1" t="s">
        <v>1969</v>
      </c>
      <c r="C1768" s="1" t="s">
        <v>5728</v>
      </c>
      <c r="D1768" s="48">
        <v>63</v>
      </c>
      <c r="E1768" s="1">
        <v>1</v>
      </c>
      <c r="F1768" s="1" t="s">
        <v>1904</v>
      </c>
      <c r="G1768" s="1" t="s">
        <v>1970</v>
      </c>
      <c r="H1768" s="1" t="s">
        <v>26</v>
      </c>
      <c r="I1768" s="1" t="s">
        <v>27</v>
      </c>
      <c r="J1768" s="1" t="s">
        <v>39</v>
      </c>
      <c r="K1768" s="1" t="s">
        <v>1971</v>
      </c>
      <c r="L1768" s="2" t="s">
        <v>1940</v>
      </c>
      <c r="P1768" s="56">
        <v>3</v>
      </c>
      <c r="Q1768" s="57">
        <v>4</v>
      </c>
      <c r="R1768" s="58">
        <v>2</v>
      </c>
      <c r="S1768" s="59">
        <v>6</v>
      </c>
      <c r="AL1768" s="60" t="s">
        <v>30</v>
      </c>
    </row>
    <row r="1769" spans="1:38" x14ac:dyDescent="0.2">
      <c r="A1769" s="1" t="s">
        <v>1899</v>
      </c>
      <c r="B1769" s="1" t="s">
        <v>2050</v>
      </c>
      <c r="C1769" s="1" t="s">
        <v>5728</v>
      </c>
      <c r="D1769" s="48">
        <v>64</v>
      </c>
      <c r="E1769" s="1">
        <v>1</v>
      </c>
      <c r="F1769" s="1" t="s">
        <v>1904</v>
      </c>
      <c r="G1769" s="1" t="s">
        <v>2051</v>
      </c>
      <c r="I1769" s="1" t="s">
        <v>104</v>
      </c>
      <c r="K1769" s="1" t="s">
        <v>105</v>
      </c>
      <c r="O1769" s="55">
        <v>2</v>
      </c>
      <c r="T1769" s="60">
        <v>2</v>
      </c>
      <c r="AL1769" s="60" t="s">
        <v>30</v>
      </c>
    </row>
    <row r="1770" spans="1:38" x14ac:dyDescent="0.2">
      <c r="A1770" s="1" t="s">
        <v>1899</v>
      </c>
      <c r="B1770" s="1" t="s">
        <v>1909</v>
      </c>
      <c r="C1770" s="1" t="s">
        <v>5728</v>
      </c>
      <c r="D1770" s="48">
        <v>65</v>
      </c>
      <c r="E1770" s="1">
        <v>1</v>
      </c>
      <c r="F1770" s="1" t="s">
        <v>1904</v>
      </c>
      <c r="G1770" s="1" t="s">
        <v>1910</v>
      </c>
      <c r="I1770" s="1" t="s">
        <v>104</v>
      </c>
      <c r="K1770" s="1" t="s">
        <v>1911</v>
      </c>
      <c r="O1770" s="55">
        <v>1</v>
      </c>
      <c r="T1770" s="60">
        <v>4</v>
      </c>
      <c r="U1770" s="1">
        <v>2</v>
      </c>
      <c r="AL1770" s="60" t="s">
        <v>30</v>
      </c>
    </row>
    <row r="1771" spans="1:38" x14ac:dyDescent="0.2">
      <c r="A1771" s="1" t="s">
        <v>1899</v>
      </c>
      <c r="B1771" s="1" t="s">
        <v>1929</v>
      </c>
      <c r="C1771" s="1" t="s">
        <v>5728</v>
      </c>
      <c r="D1771" s="48">
        <v>66</v>
      </c>
      <c r="E1771" s="1">
        <v>3</v>
      </c>
      <c r="F1771" s="1" t="s">
        <v>1904</v>
      </c>
      <c r="G1771" s="1" t="s">
        <v>1930</v>
      </c>
      <c r="I1771" s="1" t="s">
        <v>104</v>
      </c>
      <c r="K1771" s="1" t="s">
        <v>105</v>
      </c>
      <c r="O1771" s="55">
        <v>2</v>
      </c>
      <c r="T1771" s="60">
        <v>3</v>
      </c>
      <c r="AL1771" s="60" t="s">
        <v>30</v>
      </c>
    </row>
    <row r="1772" spans="1:38" x14ac:dyDescent="0.2">
      <c r="A1772" s="1" t="s">
        <v>1899</v>
      </c>
      <c r="B1772" s="1" t="s">
        <v>1931</v>
      </c>
      <c r="C1772" s="1" t="s">
        <v>5728</v>
      </c>
      <c r="D1772" s="48">
        <v>67</v>
      </c>
      <c r="E1772" s="1">
        <v>3</v>
      </c>
      <c r="F1772" s="1" t="s">
        <v>1904</v>
      </c>
      <c r="G1772" s="1" t="s">
        <v>1932</v>
      </c>
      <c r="I1772" s="1" t="s">
        <v>104</v>
      </c>
      <c r="O1772" s="55">
        <v>2</v>
      </c>
      <c r="T1772" s="60">
        <v>3</v>
      </c>
      <c r="AL1772" s="60" t="s">
        <v>30</v>
      </c>
    </row>
    <row r="1773" spans="1:38" x14ac:dyDescent="0.2">
      <c r="A1773" s="1" t="s">
        <v>1899</v>
      </c>
      <c r="B1773" s="1" t="s">
        <v>2048</v>
      </c>
      <c r="C1773" s="1" t="s">
        <v>5728</v>
      </c>
      <c r="D1773" s="48">
        <v>68</v>
      </c>
      <c r="E1773" s="1">
        <v>3</v>
      </c>
      <c r="F1773" s="1" t="s">
        <v>1904</v>
      </c>
      <c r="G1773" s="1" t="s">
        <v>2049</v>
      </c>
      <c r="I1773" s="1" t="s">
        <v>104</v>
      </c>
      <c r="O1773" s="55">
        <v>3</v>
      </c>
      <c r="T1773" s="60">
        <v>2</v>
      </c>
      <c r="U1773" s="1">
        <v>1</v>
      </c>
      <c r="AL1773" s="60" t="s">
        <v>30</v>
      </c>
    </row>
    <row r="1774" spans="1:38" x14ac:dyDescent="0.2">
      <c r="A1774" s="1" t="s">
        <v>1899</v>
      </c>
      <c r="B1774" s="1" t="s">
        <v>2034</v>
      </c>
      <c r="C1774" s="1" t="s">
        <v>5728</v>
      </c>
      <c r="D1774" s="48">
        <v>69</v>
      </c>
      <c r="E1774" s="1">
        <v>1</v>
      </c>
      <c r="F1774" s="1" t="s">
        <v>1904</v>
      </c>
      <c r="G1774" s="1" t="s">
        <v>2035</v>
      </c>
      <c r="I1774" s="1" t="s">
        <v>88</v>
      </c>
      <c r="K1774" s="1" t="s">
        <v>2036</v>
      </c>
      <c r="AL1774" s="60" t="s">
        <v>30</v>
      </c>
    </row>
    <row r="1775" spans="1:38" x14ac:dyDescent="0.2">
      <c r="A1775" s="1" t="s">
        <v>1899</v>
      </c>
      <c r="B1775" s="1" t="s">
        <v>2007</v>
      </c>
      <c r="C1775" s="1" t="s">
        <v>5728</v>
      </c>
      <c r="D1775" s="48">
        <v>70</v>
      </c>
      <c r="E1775" s="1">
        <v>1</v>
      </c>
      <c r="F1775" s="1" t="s">
        <v>1904</v>
      </c>
      <c r="G1775" s="1" t="s">
        <v>2008</v>
      </c>
      <c r="I1775" s="1" t="s">
        <v>88</v>
      </c>
      <c r="K1775" s="1" t="s">
        <v>2009</v>
      </c>
      <c r="L1775" s="2" t="s">
        <v>2010</v>
      </c>
      <c r="AL1775" s="60" t="s">
        <v>30</v>
      </c>
    </row>
    <row r="1776" spans="1:38" x14ac:dyDescent="0.2">
      <c r="A1776" s="1" t="s">
        <v>1899</v>
      </c>
      <c r="B1776" s="1" t="s">
        <v>1928</v>
      </c>
      <c r="C1776" s="1" t="s">
        <v>5728</v>
      </c>
      <c r="D1776" s="48">
        <v>71</v>
      </c>
      <c r="E1776" s="1">
        <v>1</v>
      </c>
      <c r="F1776" s="1" t="s">
        <v>1904</v>
      </c>
      <c r="G1776" s="1" t="s">
        <v>9728</v>
      </c>
      <c r="I1776" s="1" t="s">
        <v>125</v>
      </c>
      <c r="M1776" s="18">
        <v>1</v>
      </c>
      <c r="N1776" s="54" t="s">
        <v>9529</v>
      </c>
      <c r="Y1776" s="1" t="s">
        <v>9728</v>
      </c>
      <c r="AA1776" s="1" t="s">
        <v>125</v>
      </c>
      <c r="AE1776" s="1">
        <v>1</v>
      </c>
      <c r="AF1776" s="54" t="s">
        <v>9530</v>
      </c>
      <c r="AL1776" s="60" t="s">
        <v>166</v>
      </c>
    </row>
    <row r="1777" spans="1:40" x14ac:dyDescent="0.2">
      <c r="A1777" s="1" t="s">
        <v>1899</v>
      </c>
      <c r="B1777" s="1" t="s">
        <v>2026</v>
      </c>
      <c r="C1777" s="1" t="s">
        <v>5728</v>
      </c>
      <c r="D1777" s="48">
        <v>72</v>
      </c>
      <c r="E1777" s="1">
        <v>1</v>
      </c>
      <c r="F1777" s="1" t="s">
        <v>1904</v>
      </c>
      <c r="G1777" s="1" t="s">
        <v>9730</v>
      </c>
      <c r="I1777" s="1" t="s">
        <v>125</v>
      </c>
      <c r="M1777" s="18">
        <v>2</v>
      </c>
      <c r="N1777" s="54" t="s">
        <v>9529</v>
      </c>
      <c r="Y1777" s="1" t="s">
        <v>9730</v>
      </c>
      <c r="AA1777" s="1" t="s">
        <v>125</v>
      </c>
      <c r="AE1777" s="1">
        <v>2</v>
      </c>
      <c r="AF1777" s="54" t="s">
        <v>9530</v>
      </c>
      <c r="AL1777" s="60" t="s">
        <v>341</v>
      </c>
    </row>
    <row r="1778" spans="1:40" x14ac:dyDescent="0.2">
      <c r="A1778" s="1" t="s">
        <v>1899</v>
      </c>
      <c r="B1778" s="1" t="s">
        <v>2057</v>
      </c>
      <c r="C1778" s="1" t="s">
        <v>5728</v>
      </c>
      <c r="D1778" s="48">
        <v>73</v>
      </c>
      <c r="E1778" s="1">
        <v>1</v>
      </c>
      <c r="F1778" s="1" t="s">
        <v>1904</v>
      </c>
      <c r="G1778" s="1" t="s">
        <v>9733</v>
      </c>
      <c r="I1778" s="1" t="s">
        <v>125</v>
      </c>
      <c r="M1778" s="18">
        <v>3</v>
      </c>
      <c r="N1778" s="54" t="s">
        <v>9529</v>
      </c>
      <c r="Y1778" s="1" t="s">
        <v>9733</v>
      </c>
      <c r="AA1778" s="1" t="s">
        <v>125</v>
      </c>
      <c r="AE1778" s="1">
        <v>3</v>
      </c>
      <c r="AF1778" s="54" t="s">
        <v>9530</v>
      </c>
      <c r="AL1778" s="60" t="s">
        <v>166</v>
      </c>
    </row>
    <row r="1779" spans="1:40" x14ac:dyDescent="0.2">
      <c r="A1779" s="1" t="s">
        <v>1899</v>
      </c>
      <c r="B1779" s="1" t="s">
        <v>2029</v>
      </c>
      <c r="C1779" s="1" t="s">
        <v>5728</v>
      </c>
      <c r="D1779" s="48">
        <v>74</v>
      </c>
      <c r="E1779" s="1">
        <v>1</v>
      </c>
      <c r="F1779" s="1" t="s">
        <v>1904</v>
      </c>
      <c r="G1779" s="1" t="s">
        <v>9734</v>
      </c>
      <c r="I1779" s="1" t="s">
        <v>125</v>
      </c>
      <c r="M1779" s="18">
        <v>3</v>
      </c>
      <c r="N1779" s="54" t="s">
        <v>9529</v>
      </c>
      <c r="Y1779" s="1" t="s">
        <v>9734</v>
      </c>
      <c r="AA1779" s="1" t="s">
        <v>125</v>
      </c>
      <c r="AE1779" s="1">
        <v>3</v>
      </c>
      <c r="AF1779" s="54" t="s">
        <v>9530</v>
      </c>
      <c r="AL1779" s="60" t="s">
        <v>32</v>
      </c>
    </row>
    <row r="1780" spans="1:40" x14ac:dyDescent="0.2">
      <c r="A1780" s="1" t="s">
        <v>1899</v>
      </c>
      <c r="B1780" s="1" t="s">
        <v>1927</v>
      </c>
      <c r="C1780" s="1" t="s">
        <v>5728</v>
      </c>
      <c r="D1780" s="48">
        <v>75</v>
      </c>
      <c r="E1780" s="1">
        <v>1</v>
      </c>
      <c r="F1780" s="1" t="s">
        <v>1904</v>
      </c>
      <c r="G1780" s="1" t="s">
        <v>9735</v>
      </c>
      <c r="I1780" s="1" t="s">
        <v>125</v>
      </c>
      <c r="M1780" s="18">
        <v>3</v>
      </c>
      <c r="N1780" s="54" t="s">
        <v>9529</v>
      </c>
      <c r="Y1780" s="1" t="s">
        <v>9735</v>
      </c>
      <c r="AA1780" s="1" t="s">
        <v>125</v>
      </c>
      <c r="AE1780" s="1">
        <v>3</v>
      </c>
      <c r="AF1780" s="54" t="s">
        <v>9530</v>
      </c>
      <c r="AL1780" s="60" t="s">
        <v>31</v>
      </c>
    </row>
    <row r="1781" spans="1:40" x14ac:dyDescent="0.2">
      <c r="A1781" s="1" t="s">
        <v>1899</v>
      </c>
      <c r="B1781" s="1" t="s">
        <v>1992</v>
      </c>
      <c r="C1781" s="1" t="s">
        <v>5728</v>
      </c>
      <c r="D1781" s="48">
        <v>76</v>
      </c>
      <c r="E1781" s="1">
        <v>1</v>
      </c>
      <c r="F1781" s="1" t="s">
        <v>1904</v>
      </c>
      <c r="G1781" s="1" t="s">
        <v>9739</v>
      </c>
      <c r="I1781" s="1" t="s">
        <v>125</v>
      </c>
      <c r="M1781" s="18">
        <v>4</v>
      </c>
      <c r="N1781" s="54" t="s">
        <v>9529</v>
      </c>
      <c r="Y1781" s="1" t="s">
        <v>9739</v>
      </c>
      <c r="AA1781" s="1" t="s">
        <v>125</v>
      </c>
      <c r="AE1781" s="1">
        <v>4</v>
      </c>
      <c r="AF1781" s="54" t="s">
        <v>9530</v>
      </c>
      <c r="AL1781" s="60" t="s">
        <v>46</v>
      </c>
    </row>
    <row r="1782" spans="1:40" x14ac:dyDescent="0.2">
      <c r="A1782" s="1" t="s">
        <v>1899</v>
      </c>
      <c r="B1782" s="1" t="s">
        <v>1944</v>
      </c>
      <c r="C1782" s="1" t="s">
        <v>5728</v>
      </c>
      <c r="D1782" s="48">
        <v>77</v>
      </c>
      <c r="E1782" s="1">
        <v>1</v>
      </c>
      <c r="F1782" s="1" t="s">
        <v>1904</v>
      </c>
      <c r="G1782" s="1" t="s">
        <v>9740</v>
      </c>
      <c r="I1782" s="1" t="s">
        <v>125</v>
      </c>
      <c r="M1782" s="18">
        <v>5</v>
      </c>
      <c r="N1782" s="54" t="s">
        <v>9529</v>
      </c>
      <c r="Y1782" s="1" t="s">
        <v>9740</v>
      </c>
      <c r="AA1782" s="1" t="s">
        <v>125</v>
      </c>
      <c r="AE1782" s="1">
        <v>5</v>
      </c>
      <c r="AF1782" s="54" t="s">
        <v>9530</v>
      </c>
      <c r="AL1782" s="60" t="s">
        <v>67</v>
      </c>
    </row>
    <row r="1783" spans="1:40" x14ac:dyDescent="0.2">
      <c r="A1783" s="1" t="s">
        <v>1899</v>
      </c>
      <c r="B1783" s="1" t="s">
        <v>2030</v>
      </c>
      <c r="C1783" s="1" t="s">
        <v>5728</v>
      </c>
      <c r="D1783" s="48">
        <v>78</v>
      </c>
      <c r="E1783" s="1">
        <v>1</v>
      </c>
      <c r="F1783" s="1" t="s">
        <v>1904</v>
      </c>
      <c r="G1783" s="1" t="s">
        <v>1797</v>
      </c>
      <c r="I1783" s="1" t="s">
        <v>3482</v>
      </c>
      <c r="AL1783" s="60" t="s">
        <v>30</v>
      </c>
    </row>
    <row r="1784" spans="1:40" x14ac:dyDescent="0.2">
      <c r="A1784" s="1" t="s">
        <v>1899</v>
      </c>
      <c r="B1784" s="1" t="s">
        <v>1967</v>
      </c>
      <c r="C1784" s="1" t="s">
        <v>5728</v>
      </c>
      <c r="D1784" s="48">
        <v>79</v>
      </c>
      <c r="E1784" s="1">
        <v>2</v>
      </c>
      <c r="F1784" s="1" t="s">
        <v>1904</v>
      </c>
      <c r="G1784" s="1" t="s">
        <v>1968</v>
      </c>
      <c r="I1784" s="1" t="s">
        <v>82</v>
      </c>
      <c r="AL1784" s="60" t="s">
        <v>30</v>
      </c>
    </row>
    <row r="1785" spans="1:40" x14ac:dyDescent="0.2">
      <c r="A1785" s="1" t="s">
        <v>1899</v>
      </c>
      <c r="B1785" s="1" t="s">
        <v>2055</v>
      </c>
      <c r="C1785" s="1" t="s">
        <v>5728</v>
      </c>
      <c r="D1785" s="48">
        <v>80</v>
      </c>
      <c r="E1785" s="1">
        <v>2</v>
      </c>
      <c r="F1785" s="1" t="s">
        <v>1904</v>
      </c>
      <c r="G1785" s="1" t="s">
        <v>2056</v>
      </c>
      <c r="I1785" s="1" t="s">
        <v>82</v>
      </c>
      <c r="AL1785" s="60" t="s">
        <v>30</v>
      </c>
    </row>
    <row r="1786" spans="1:40" x14ac:dyDescent="0.2">
      <c r="A1786" s="1" t="s">
        <v>1899</v>
      </c>
      <c r="B1786" s="1" t="s">
        <v>1993</v>
      </c>
      <c r="C1786" s="1" t="s">
        <v>5728</v>
      </c>
      <c r="D1786" s="48">
        <v>81</v>
      </c>
      <c r="E1786" s="1">
        <v>2</v>
      </c>
      <c r="F1786" s="1" t="s">
        <v>1904</v>
      </c>
      <c r="G1786" s="1" t="s">
        <v>1994</v>
      </c>
      <c r="I1786" s="1" t="s">
        <v>82</v>
      </c>
      <c r="AL1786" s="60" t="s">
        <v>30</v>
      </c>
    </row>
    <row r="1787" spans="1:40" x14ac:dyDescent="0.2">
      <c r="A1787" s="1" t="s">
        <v>1899</v>
      </c>
      <c r="B1787" s="1" t="s">
        <v>2072</v>
      </c>
      <c r="C1787" s="1" t="s">
        <v>5728</v>
      </c>
      <c r="D1787" s="48">
        <v>82</v>
      </c>
      <c r="E1787" s="1">
        <v>2</v>
      </c>
      <c r="F1787" s="1" t="s">
        <v>1904</v>
      </c>
      <c r="G1787" s="1" t="s">
        <v>2073</v>
      </c>
      <c r="I1787" s="1" t="s">
        <v>82</v>
      </c>
      <c r="AL1787" s="60" t="s">
        <v>30</v>
      </c>
    </row>
    <row r="1788" spans="1:40" x14ac:dyDescent="0.2">
      <c r="A1788" s="1" t="s">
        <v>1899</v>
      </c>
      <c r="B1788" s="1" t="s">
        <v>2018</v>
      </c>
      <c r="C1788" s="1" t="s">
        <v>5728</v>
      </c>
      <c r="D1788" s="48">
        <v>83</v>
      </c>
      <c r="E1788" s="1">
        <v>2</v>
      </c>
      <c r="F1788" s="1" t="s">
        <v>1904</v>
      </c>
      <c r="G1788" s="1" t="s">
        <v>2019</v>
      </c>
      <c r="I1788" s="1" t="s">
        <v>82</v>
      </c>
      <c r="AL1788" s="60" t="s">
        <v>30</v>
      </c>
    </row>
    <row r="1789" spans="1:40" x14ac:dyDescent="0.2">
      <c r="A1789" s="1" t="s">
        <v>1899</v>
      </c>
      <c r="B1789" s="1" t="s">
        <v>2089</v>
      </c>
      <c r="C1789" s="1" t="s">
        <v>5728</v>
      </c>
      <c r="D1789" s="48">
        <v>84</v>
      </c>
      <c r="E1789" s="1">
        <v>2</v>
      </c>
      <c r="F1789" s="1" t="s">
        <v>1904</v>
      </c>
      <c r="G1789" s="1" t="s">
        <v>2090</v>
      </c>
      <c r="I1789" s="1" t="s">
        <v>82</v>
      </c>
      <c r="AL1789" s="60" t="s">
        <v>30</v>
      </c>
    </row>
    <row r="1790" spans="1:40" ht="48" x14ac:dyDescent="0.2">
      <c r="A1790" s="115" t="s">
        <v>1668</v>
      </c>
      <c r="B1790" s="115" t="s">
        <v>1716</v>
      </c>
      <c r="C1790" s="115" t="s">
        <v>5729</v>
      </c>
      <c r="D1790" s="116">
        <v>1</v>
      </c>
      <c r="E1790" s="115">
        <v>1</v>
      </c>
      <c r="F1790" s="115" t="s">
        <v>1718</v>
      </c>
      <c r="G1790" s="115" t="s">
        <v>9579</v>
      </c>
      <c r="I1790" s="1" t="s">
        <v>125</v>
      </c>
      <c r="M1790" s="18">
        <v>1</v>
      </c>
      <c r="N1790" s="54" t="s">
        <v>9529</v>
      </c>
      <c r="V1790" s="4" t="s">
        <v>1717</v>
      </c>
      <c r="X1790" s="1" t="s">
        <v>1719</v>
      </c>
      <c r="Y1790" s="1" t="s">
        <v>9579</v>
      </c>
      <c r="AA1790" s="1" t="s">
        <v>125</v>
      </c>
      <c r="AE1790" s="1">
        <v>1</v>
      </c>
      <c r="AF1790" s="54" t="s">
        <v>9530</v>
      </c>
      <c r="AL1790" s="60" t="s">
        <v>275</v>
      </c>
      <c r="AN1790" s="4" t="s">
        <v>1720</v>
      </c>
    </row>
    <row r="1791" spans="1:40" ht="36" x14ac:dyDescent="0.2">
      <c r="A1791" s="1" t="s">
        <v>1668</v>
      </c>
      <c r="B1791" s="1" t="s">
        <v>1721</v>
      </c>
      <c r="C1791" s="1" t="s">
        <v>5729</v>
      </c>
      <c r="D1791" s="48">
        <v>2</v>
      </c>
      <c r="E1791" s="1">
        <v>1</v>
      </c>
      <c r="F1791" s="1" t="s">
        <v>1718</v>
      </c>
      <c r="G1791" s="1" t="s">
        <v>9636</v>
      </c>
      <c r="I1791" s="1" t="s">
        <v>125</v>
      </c>
      <c r="M1791" s="18">
        <v>2</v>
      </c>
      <c r="N1791" s="54" t="s">
        <v>9529</v>
      </c>
      <c r="Y1791" s="1" t="s">
        <v>9636</v>
      </c>
      <c r="AA1791" s="1" t="s">
        <v>125</v>
      </c>
      <c r="AE1791" s="1">
        <v>2</v>
      </c>
      <c r="AF1791" s="54" t="s">
        <v>9530</v>
      </c>
      <c r="AL1791" s="60" t="s">
        <v>275</v>
      </c>
      <c r="AN1791" s="4" t="s">
        <v>1722</v>
      </c>
    </row>
    <row r="1792" spans="1:40" ht="48" x14ac:dyDescent="0.2">
      <c r="A1792" s="1" t="s">
        <v>1668</v>
      </c>
      <c r="B1792" s="1" t="s">
        <v>1723</v>
      </c>
      <c r="C1792" s="1" t="s">
        <v>5729</v>
      </c>
      <c r="D1792" s="48">
        <v>3</v>
      </c>
      <c r="E1792" s="1">
        <v>1</v>
      </c>
      <c r="F1792" s="1" t="s">
        <v>1718</v>
      </c>
      <c r="G1792" s="1" t="s">
        <v>9696</v>
      </c>
      <c r="I1792" s="1" t="s">
        <v>125</v>
      </c>
      <c r="M1792" s="18">
        <v>3</v>
      </c>
      <c r="N1792" s="54" t="s">
        <v>9529</v>
      </c>
      <c r="Y1792" s="1" t="s">
        <v>9696</v>
      </c>
      <c r="AA1792" s="1" t="s">
        <v>125</v>
      </c>
      <c r="AE1792" s="1">
        <v>3</v>
      </c>
      <c r="AF1792" s="54" t="s">
        <v>9530</v>
      </c>
      <c r="AL1792" s="60" t="s">
        <v>5621</v>
      </c>
      <c r="AN1792" s="4" t="s">
        <v>1724</v>
      </c>
    </row>
    <row r="1793" spans="1:40" ht="36" x14ac:dyDescent="0.2">
      <c r="A1793" s="1" t="s">
        <v>1668</v>
      </c>
      <c r="B1793" s="1" t="s">
        <v>1725</v>
      </c>
      <c r="C1793" s="1" t="s">
        <v>5729</v>
      </c>
      <c r="D1793" s="48">
        <v>4</v>
      </c>
      <c r="E1793" s="1">
        <v>1</v>
      </c>
      <c r="F1793" s="1" t="s">
        <v>1718</v>
      </c>
      <c r="G1793" s="1" t="s">
        <v>9715</v>
      </c>
      <c r="I1793" s="1" t="s">
        <v>125</v>
      </c>
      <c r="M1793" s="18">
        <v>4</v>
      </c>
      <c r="N1793" s="54" t="s">
        <v>9529</v>
      </c>
      <c r="Y1793" s="1" t="s">
        <v>9715</v>
      </c>
      <c r="AA1793" s="1" t="s">
        <v>125</v>
      </c>
      <c r="AE1793" s="1">
        <v>4</v>
      </c>
      <c r="AF1793" s="54" t="s">
        <v>9530</v>
      </c>
      <c r="AL1793" s="60" t="s">
        <v>275</v>
      </c>
      <c r="AN1793" s="4" t="s">
        <v>1726</v>
      </c>
    </row>
    <row r="1794" spans="1:40" ht="48" x14ac:dyDescent="0.2">
      <c r="A1794" s="1" t="s">
        <v>1668</v>
      </c>
      <c r="B1794" s="1" t="s">
        <v>1727</v>
      </c>
      <c r="C1794" s="1" t="s">
        <v>5729</v>
      </c>
      <c r="D1794" s="48">
        <v>5</v>
      </c>
      <c r="E1794" s="1">
        <v>1</v>
      </c>
      <c r="F1794" s="1" t="s">
        <v>1718</v>
      </c>
      <c r="G1794" s="1" t="s">
        <v>9723</v>
      </c>
      <c r="I1794" s="1" t="s">
        <v>125</v>
      </c>
      <c r="M1794" s="18">
        <v>5</v>
      </c>
      <c r="N1794" s="54" t="s">
        <v>9529</v>
      </c>
      <c r="Y1794" s="1" t="s">
        <v>9723</v>
      </c>
      <c r="AA1794" s="1" t="s">
        <v>125</v>
      </c>
      <c r="AE1794" s="1">
        <v>5</v>
      </c>
      <c r="AF1794" s="54" t="s">
        <v>9530</v>
      </c>
      <c r="AL1794" s="60" t="s">
        <v>337</v>
      </c>
      <c r="AN1794" s="4" t="s">
        <v>1728</v>
      </c>
    </row>
    <row r="1795" spans="1:40" ht="36" x14ac:dyDescent="0.2">
      <c r="A1795" s="1" t="s">
        <v>1668</v>
      </c>
      <c r="B1795" s="1" t="s">
        <v>1729</v>
      </c>
      <c r="C1795" s="1" t="s">
        <v>5729</v>
      </c>
      <c r="D1795" s="48">
        <v>6</v>
      </c>
      <c r="E1795" s="1">
        <v>1</v>
      </c>
      <c r="F1795" s="1" t="s">
        <v>1718</v>
      </c>
      <c r="G1795" s="1" t="s">
        <v>9724</v>
      </c>
      <c r="I1795" s="1" t="s">
        <v>125</v>
      </c>
      <c r="M1795" s="18">
        <v>6</v>
      </c>
      <c r="N1795" s="54" t="s">
        <v>9529</v>
      </c>
      <c r="Y1795" s="1" t="s">
        <v>9724</v>
      </c>
      <c r="AA1795" s="1" t="s">
        <v>125</v>
      </c>
      <c r="AE1795" s="1">
        <v>6</v>
      </c>
      <c r="AF1795" s="54" t="s">
        <v>9530</v>
      </c>
      <c r="AL1795" s="60" t="s">
        <v>341</v>
      </c>
      <c r="AN1795" s="4" t="s">
        <v>1730</v>
      </c>
    </row>
    <row r="1796" spans="1:40" ht="24" x14ac:dyDescent="0.2">
      <c r="A1796" s="1" t="s">
        <v>1668</v>
      </c>
      <c r="B1796" s="1" t="s">
        <v>1731</v>
      </c>
      <c r="C1796" s="1" t="s">
        <v>5729</v>
      </c>
      <c r="D1796" s="48">
        <v>7</v>
      </c>
      <c r="E1796" s="1">
        <v>1</v>
      </c>
      <c r="F1796" s="1" t="s">
        <v>1718</v>
      </c>
      <c r="G1796" s="1" t="s">
        <v>9725</v>
      </c>
      <c r="I1796" s="1" t="s">
        <v>125</v>
      </c>
      <c r="M1796" s="18">
        <v>7</v>
      </c>
      <c r="N1796" s="54" t="s">
        <v>9529</v>
      </c>
      <c r="Y1796" s="1" t="s">
        <v>9725</v>
      </c>
      <c r="AA1796" s="1" t="s">
        <v>125</v>
      </c>
      <c r="AE1796" s="1">
        <v>7</v>
      </c>
      <c r="AF1796" s="54" t="s">
        <v>9530</v>
      </c>
      <c r="AL1796" s="60" t="s">
        <v>341</v>
      </c>
      <c r="AN1796" s="4" t="s">
        <v>1732</v>
      </c>
    </row>
    <row r="1797" spans="1:40" ht="24" x14ac:dyDescent="0.2">
      <c r="A1797" s="1" t="s">
        <v>1668</v>
      </c>
      <c r="B1797" s="1" t="s">
        <v>1687</v>
      </c>
      <c r="C1797" s="1" t="s">
        <v>5729</v>
      </c>
      <c r="D1797" s="48">
        <v>8</v>
      </c>
      <c r="E1797" s="1">
        <v>1</v>
      </c>
      <c r="F1797" s="1" t="s">
        <v>1689</v>
      </c>
      <c r="G1797" s="1" t="s">
        <v>9580</v>
      </c>
      <c r="I1797" s="1" t="s">
        <v>125</v>
      </c>
      <c r="M1797" s="18">
        <v>1</v>
      </c>
      <c r="N1797" s="54" t="s">
        <v>9529</v>
      </c>
      <c r="V1797" s="4" t="s">
        <v>1688</v>
      </c>
      <c r="X1797" s="1" t="s">
        <v>1690</v>
      </c>
      <c r="Y1797" s="1" t="s">
        <v>9580</v>
      </c>
      <c r="AA1797" s="1" t="s">
        <v>125</v>
      </c>
      <c r="AE1797" s="1">
        <v>1</v>
      </c>
      <c r="AF1797" s="54" t="s">
        <v>9530</v>
      </c>
      <c r="AL1797" s="60" t="s">
        <v>346</v>
      </c>
      <c r="AN1797" s="4" t="s">
        <v>1691</v>
      </c>
    </row>
    <row r="1798" spans="1:40" ht="24" x14ac:dyDescent="0.2">
      <c r="A1798" s="1" t="s">
        <v>1668</v>
      </c>
      <c r="B1798" s="1" t="s">
        <v>1692</v>
      </c>
      <c r="C1798" s="1" t="s">
        <v>5729</v>
      </c>
      <c r="D1798" s="48">
        <v>9</v>
      </c>
      <c r="E1798" s="1">
        <v>1</v>
      </c>
      <c r="F1798" s="1" t="s">
        <v>1689</v>
      </c>
      <c r="G1798" s="1" t="s">
        <v>9637</v>
      </c>
      <c r="I1798" s="1" t="s">
        <v>125</v>
      </c>
      <c r="M1798" s="18">
        <v>2</v>
      </c>
      <c r="N1798" s="54" t="s">
        <v>9529</v>
      </c>
      <c r="V1798" s="4" t="s">
        <v>1693</v>
      </c>
      <c r="Y1798" s="1" t="s">
        <v>9637</v>
      </c>
      <c r="AA1798" s="1" t="s">
        <v>125</v>
      </c>
      <c r="AE1798" s="1">
        <v>2</v>
      </c>
      <c r="AF1798" s="54" t="s">
        <v>9530</v>
      </c>
      <c r="AL1798" s="60" t="s">
        <v>341</v>
      </c>
      <c r="AN1798" s="4" t="s">
        <v>1694</v>
      </c>
    </row>
    <row r="1799" spans="1:40" ht="36" x14ac:dyDescent="0.2">
      <c r="A1799" s="1" t="s">
        <v>1668</v>
      </c>
      <c r="B1799" s="1" t="s">
        <v>1695</v>
      </c>
      <c r="C1799" s="1" t="s">
        <v>5729</v>
      </c>
      <c r="D1799" s="48">
        <v>10</v>
      </c>
      <c r="E1799" s="1">
        <v>1</v>
      </c>
      <c r="F1799" s="1" t="s">
        <v>1689</v>
      </c>
      <c r="G1799" s="1" t="s">
        <v>9697</v>
      </c>
      <c r="I1799" s="1" t="s">
        <v>125</v>
      </c>
      <c r="M1799" s="18">
        <v>3</v>
      </c>
      <c r="N1799" s="54" t="s">
        <v>9529</v>
      </c>
      <c r="V1799" s="4" t="s">
        <v>1696</v>
      </c>
      <c r="Y1799" s="1" t="s">
        <v>9697</v>
      </c>
      <c r="AA1799" s="1" t="s">
        <v>125</v>
      </c>
      <c r="AE1799" s="1">
        <v>3</v>
      </c>
      <c r="AF1799" s="54" t="s">
        <v>9530</v>
      </c>
      <c r="AL1799" s="60" t="s">
        <v>166</v>
      </c>
      <c r="AN1799" s="4" t="s">
        <v>1697</v>
      </c>
    </row>
    <row r="1800" spans="1:40" ht="24" x14ac:dyDescent="0.2">
      <c r="A1800" s="1" t="s">
        <v>1668</v>
      </c>
      <c r="B1800" s="1" t="s">
        <v>1698</v>
      </c>
      <c r="C1800" s="1" t="s">
        <v>5729</v>
      </c>
      <c r="D1800" s="48">
        <v>11</v>
      </c>
      <c r="E1800" s="1">
        <v>1</v>
      </c>
      <c r="F1800" s="1" t="s">
        <v>1700</v>
      </c>
      <c r="G1800" s="1" t="s">
        <v>3021</v>
      </c>
      <c r="I1800" s="1" t="s">
        <v>125</v>
      </c>
      <c r="M1800" s="18">
        <v>1</v>
      </c>
      <c r="N1800" s="54" t="s">
        <v>9529</v>
      </c>
      <c r="V1800" s="4" t="s">
        <v>1699</v>
      </c>
      <c r="Y1800" s="1" t="s">
        <v>3021</v>
      </c>
      <c r="AA1800" s="1" t="s">
        <v>125</v>
      </c>
      <c r="AE1800" s="1">
        <v>1</v>
      </c>
      <c r="AF1800" s="54" t="s">
        <v>9530</v>
      </c>
      <c r="AL1800" s="60" t="s">
        <v>337</v>
      </c>
      <c r="AN1800" s="4" t="s">
        <v>1701</v>
      </c>
    </row>
    <row r="1801" spans="1:40" ht="36" x14ac:dyDescent="0.2">
      <c r="A1801" s="1" t="s">
        <v>1668</v>
      </c>
      <c r="B1801" s="1" t="s">
        <v>1702</v>
      </c>
      <c r="C1801" s="1" t="s">
        <v>5729</v>
      </c>
      <c r="D1801" s="48">
        <v>12</v>
      </c>
      <c r="E1801" s="1">
        <v>1</v>
      </c>
      <c r="F1801" s="1" t="s">
        <v>1700</v>
      </c>
      <c r="G1801" s="1" t="s">
        <v>9638</v>
      </c>
      <c r="I1801" s="1" t="s">
        <v>125</v>
      </c>
      <c r="M1801" s="18">
        <v>2</v>
      </c>
      <c r="N1801" s="54" t="s">
        <v>9529</v>
      </c>
      <c r="Y1801" s="1" t="s">
        <v>9638</v>
      </c>
      <c r="AA1801" s="1" t="s">
        <v>125</v>
      </c>
      <c r="AE1801" s="1">
        <v>2</v>
      </c>
      <c r="AF1801" s="54" t="s">
        <v>9530</v>
      </c>
      <c r="AL1801" s="60" t="s">
        <v>46</v>
      </c>
      <c r="AN1801" s="4" t="s">
        <v>1703</v>
      </c>
    </row>
    <row r="1802" spans="1:40" ht="48" x14ac:dyDescent="0.2">
      <c r="A1802" s="1" t="s">
        <v>1668</v>
      </c>
      <c r="B1802" s="1" t="s">
        <v>1704</v>
      </c>
      <c r="C1802" s="1" t="s">
        <v>5729</v>
      </c>
      <c r="D1802" s="48">
        <v>13</v>
      </c>
      <c r="E1802" s="1">
        <v>1</v>
      </c>
      <c r="F1802" s="1" t="s">
        <v>1700</v>
      </c>
      <c r="G1802" s="1" t="s">
        <v>9698</v>
      </c>
      <c r="I1802" s="1" t="s">
        <v>125</v>
      </c>
      <c r="M1802" s="18">
        <v>3</v>
      </c>
      <c r="N1802" s="54" t="s">
        <v>9529</v>
      </c>
      <c r="V1802" s="4" t="s">
        <v>1699</v>
      </c>
      <c r="Y1802" s="1" t="s">
        <v>9698</v>
      </c>
      <c r="AA1802" s="1" t="s">
        <v>125</v>
      </c>
      <c r="AE1802" s="1">
        <v>3</v>
      </c>
      <c r="AF1802" s="54" t="s">
        <v>9530</v>
      </c>
      <c r="AL1802" s="60" t="s">
        <v>275</v>
      </c>
      <c r="AN1802" s="4" t="s">
        <v>1705</v>
      </c>
    </row>
    <row r="1803" spans="1:40" ht="36" x14ac:dyDescent="0.2">
      <c r="A1803" s="1" t="s">
        <v>1668</v>
      </c>
      <c r="B1803" s="1" t="s">
        <v>1678</v>
      </c>
      <c r="C1803" s="1" t="s">
        <v>5729</v>
      </c>
      <c r="D1803" s="48">
        <v>14</v>
      </c>
      <c r="E1803" s="1">
        <v>1</v>
      </c>
      <c r="F1803" s="1" t="s">
        <v>1680</v>
      </c>
      <c r="G1803" s="1" t="s">
        <v>9581</v>
      </c>
      <c r="I1803" s="1" t="s">
        <v>125</v>
      </c>
      <c r="M1803" s="18">
        <v>1</v>
      </c>
      <c r="N1803" s="54" t="s">
        <v>9529</v>
      </c>
      <c r="V1803" s="4" t="s">
        <v>1679</v>
      </c>
      <c r="X1803" s="1" t="s">
        <v>1681</v>
      </c>
      <c r="Y1803" s="1" t="s">
        <v>9581</v>
      </c>
      <c r="AA1803" s="1" t="s">
        <v>125</v>
      </c>
      <c r="AE1803" s="1">
        <v>1</v>
      </c>
      <c r="AF1803" s="54" t="s">
        <v>9530</v>
      </c>
      <c r="AL1803" s="60" t="s">
        <v>34</v>
      </c>
      <c r="AN1803" s="4" t="s">
        <v>1682</v>
      </c>
    </row>
    <row r="1804" spans="1:40" ht="24" x14ac:dyDescent="0.2">
      <c r="A1804" s="1" t="s">
        <v>1668</v>
      </c>
      <c r="B1804" s="1" t="s">
        <v>1683</v>
      </c>
      <c r="C1804" s="1" t="s">
        <v>5729</v>
      </c>
      <c r="D1804" s="48">
        <v>15</v>
      </c>
      <c r="E1804" s="1">
        <v>1</v>
      </c>
      <c r="F1804" s="1" t="s">
        <v>1680</v>
      </c>
      <c r="G1804" s="1" t="s">
        <v>9639</v>
      </c>
      <c r="I1804" s="1" t="s">
        <v>125</v>
      </c>
      <c r="M1804" s="18">
        <v>2</v>
      </c>
      <c r="N1804" s="54" t="s">
        <v>9529</v>
      </c>
      <c r="Y1804" s="1" t="s">
        <v>9639</v>
      </c>
      <c r="AA1804" s="1" t="s">
        <v>125</v>
      </c>
      <c r="AE1804" s="1">
        <v>2</v>
      </c>
      <c r="AF1804" s="54" t="s">
        <v>9530</v>
      </c>
      <c r="AL1804" s="60" t="s">
        <v>32</v>
      </c>
      <c r="AN1804" s="4" t="s">
        <v>1684</v>
      </c>
    </row>
    <row r="1805" spans="1:40" ht="24" x14ac:dyDescent="0.2">
      <c r="A1805" s="1" t="s">
        <v>1668</v>
      </c>
      <c r="B1805" s="1" t="s">
        <v>1685</v>
      </c>
      <c r="C1805" s="1" t="s">
        <v>5729</v>
      </c>
      <c r="D1805" s="48">
        <v>16</v>
      </c>
      <c r="E1805" s="1">
        <v>1</v>
      </c>
      <c r="F1805" s="1" t="s">
        <v>1680</v>
      </c>
      <c r="G1805" s="1" t="s">
        <v>9699</v>
      </c>
      <c r="I1805" s="1" t="s">
        <v>125</v>
      </c>
      <c r="M1805" s="18">
        <v>3</v>
      </c>
      <c r="N1805" s="54" t="s">
        <v>9529</v>
      </c>
      <c r="Y1805" s="1" t="s">
        <v>9699</v>
      </c>
      <c r="AA1805" s="1" t="s">
        <v>125</v>
      </c>
      <c r="AE1805" s="1">
        <v>3</v>
      </c>
      <c r="AF1805" s="54" t="s">
        <v>9530</v>
      </c>
      <c r="AL1805" s="60" t="s">
        <v>34</v>
      </c>
      <c r="AN1805" s="4" t="s">
        <v>1686</v>
      </c>
    </row>
    <row r="1806" spans="1:40" ht="36" x14ac:dyDescent="0.2">
      <c r="A1806" s="1" t="s">
        <v>1668</v>
      </c>
      <c r="B1806" s="1" t="s">
        <v>1669</v>
      </c>
      <c r="C1806" s="1" t="s">
        <v>5729</v>
      </c>
      <c r="D1806" s="48">
        <v>17</v>
      </c>
      <c r="E1806" s="1">
        <v>1</v>
      </c>
      <c r="F1806" s="1" t="s">
        <v>1671</v>
      </c>
      <c r="G1806" s="1" t="s">
        <v>9582</v>
      </c>
      <c r="I1806" s="1" t="s">
        <v>125</v>
      </c>
      <c r="M1806" s="18">
        <v>1</v>
      </c>
      <c r="N1806" s="54" t="s">
        <v>9529</v>
      </c>
      <c r="V1806" s="4" t="s">
        <v>1670</v>
      </c>
      <c r="X1806" s="1" t="s">
        <v>1672</v>
      </c>
      <c r="Y1806" s="1" t="s">
        <v>9582</v>
      </c>
      <c r="AA1806" s="1" t="s">
        <v>125</v>
      </c>
      <c r="AE1806" s="1">
        <v>1</v>
      </c>
      <c r="AF1806" s="54" t="s">
        <v>9530</v>
      </c>
      <c r="AL1806" s="60" t="s">
        <v>341</v>
      </c>
      <c r="AN1806" s="4" t="s">
        <v>1673</v>
      </c>
    </row>
    <row r="1807" spans="1:40" ht="24" x14ac:dyDescent="0.2">
      <c r="A1807" s="1" t="s">
        <v>1668</v>
      </c>
      <c r="B1807" s="1" t="s">
        <v>1674</v>
      </c>
      <c r="C1807" s="1" t="s">
        <v>5729</v>
      </c>
      <c r="D1807" s="48">
        <v>18</v>
      </c>
      <c r="E1807" s="1">
        <v>1</v>
      </c>
      <c r="F1807" s="1" t="s">
        <v>1671</v>
      </c>
      <c r="G1807" s="1" t="s">
        <v>9640</v>
      </c>
      <c r="I1807" s="1" t="s">
        <v>125</v>
      </c>
      <c r="M1807" s="18">
        <v>2</v>
      </c>
      <c r="N1807" s="54" t="s">
        <v>9529</v>
      </c>
      <c r="X1807" s="1" t="s">
        <v>1672</v>
      </c>
      <c r="Y1807" s="1" t="s">
        <v>9640</v>
      </c>
      <c r="AA1807" s="1" t="s">
        <v>125</v>
      </c>
      <c r="AE1807" s="1">
        <v>2</v>
      </c>
      <c r="AF1807" s="54" t="s">
        <v>9530</v>
      </c>
      <c r="AL1807" s="60" t="s">
        <v>341</v>
      </c>
      <c r="AN1807" s="4" t="s">
        <v>1675</v>
      </c>
    </row>
    <row r="1808" spans="1:40" ht="36" x14ac:dyDescent="0.2">
      <c r="A1808" s="1" t="s">
        <v>1668</v>
      </c>
      <c r="B1808" s="1" t="s">
        <v>1676</v>
      </c>
      <c r="C1808" s="1" t="s">
        <v>5729</v>
      </c>
      <c r="D1808" s="48">
        <v>19</v>
      </c>
      <c r="E1808" s="1">
        <v>1</v>
      </c>
      <c r="F1808" s="1" t="s">
        <v>1671</v>
      </c>
      <c r="G1808" s="1" t="s">
        <v>9700</v>
      </c>
      <c r="I1808" s="1" t="s">
        <v>125</v>
      </c>
      <c r="M1808" s="18">
        <v>3</v>
      </c>
      <c r="N1808" s="54" t="s">
        <v>9529</v>
      </c>
      <c r="Y1808" s="1" t="s">
        <v>9700</v>
      </c>
      <c r="AA1808" s="1" t="s">
        <v>125</v>
      </c>
      <c r="AE1808" s="1">
        <v>3</v>
      </c>
      <c r="AF1808" s="54" t="s">
        <v>9530</v>
      </c>
      <c r="AL1808" s="60" t="s">
        <v>341</v>
      </c>
      <c r="AN1808" s="4" t="s">
        <v>1677</v>
      </c>
    </row>
    <row r="1809" spans="1:44" ht="36" x14ac:dyDescent="0.2">
      <c r="A1809" s="1" t="s">
        <v>1668</v>
      </c>
      <c r="B1809" s="1" t="s">
        <v>1706</v>
      </c>
      <c r="C1809" s="1" t="s">
        <v>5729</v>
      </c>
      <c r="D1809" s="48">
        <v>20</v>
      </c>
      <c r="E1809" s="1">
        <v>1</v>
      </c>
      <c r="F1809" s="1" t="s">
        <v>1708</v>
      </c>
      <c r="G1809" s="1" t="s">
        <v>9583</v>
      </c>
      <c r="I1809" s="1" t="s">
        <v>125</v>
      </c>
      <c r="M1809" s="18">
        <v>1</v>
      </c>
      <c r="N1809" s="54" t="s">
        <v>9529</v>
      </c>
      <c r="V1809" s="4" t="s">
        <v>1707</v>
      </c>
      <c r="X1809" s="1" t="s">
        <v>1690</v>
      </c>
      <c r="Y1809" s="1" t="s">
        <v>9583</v>
      </c>
      <c r="AA1809" s="1" t="s">
        <v>125</v>
      </c>
      <c r="AE1809" s="1">
        <v>1</v>
      </c>
      <c r="AF1809" s="54" t="s">
        <v>9530</v>
      </c>
      <c r="AL1809" s="60" t="s">
        <v>275</v>
      </c>
      <c r="AN1809" s="4" t="s">
        <v>1709</v>
      </c>
    </row>
    <row r="1810" spans="1:44" ht="36" x14ac:dyDescent="0.2">
      <c r="A1810" s="1" t="s">
        <v>1668</v>
      </c>
      <c r="B1810" s="1" t="s">
        <v>1710</v>
      </c>
      <c r="C1810" s="1" t="s">
        <v>5729</v>
      </c>
      <c r="D1810" s="48">
        <v>21</v>
      </c>
      <c r="E1810" s="1">
        <v>1</v>
      </c>
      <c r="F1810" s="1" t="s">
        <v>1708</v>
      </c>
      <c r="G1810" s="1" t="s">
        <v>9641</v>
      </c>
      <c r="I1810" s="1" t="s">
        <v>125</v>
      </c>
      <c r="M1810" s="18">
        <v>2</v>
      </c>
      <c r="N1810" s="54" t="s">
        <v>9529</v>
      </c>
      <c r="V1810" s="4" t="s">
        <v>1711</v>
      </c>
      <c r="Y1810" s="1" t="s">
        <v>9641</v>
      </c>
      <c r="AA1810" s="1" t="s">
        <v>125</v>
      </c>
      <c r="AE1810" s="1">
        <v>2</v>
      </c>
      <c r="AF1810" s="54" t="s">
        <v>9530</v>
      </c>
      <c r="AL1810" s="60" t="s">
        <v>275</v>
      </c>
      <c r="AN1810" s="4" t="s">
        <v>1712</v>
      </c>
    </row>
    <row r="1811" spans="1:44" ht="36" x14ac:dyDescent="0.2">
      <c r="A1811" s="1" t="s">
        <v>1668</v>
      </c>
      <c r="B1811" s="1" t="s">
        <v>1713</v>
      </c>
      <c r="C1811" s="1" t="s">
        <v>5729</v>
      </c>
      <c r="D1811" s="48">
        <v>22</v>
      </c>
      <c r="E1811" s="1">
        <v>1</v>
      </c>
      <c r="F1811" s="1" t="s">
        <v>1708</v>
      </c>
      <c r="G1811" s="1" t="s">
        <v>9701</v>
      </c>
      <c r="I1811" s="1" t="s">
        <v>125</v>
      </c>
      <c r="M1811" s="18">
        <v>3</v>
      </c>
      <c r="N1811" s="54" t="s">
        <v>9529</v>
      </c>
      <c r="V1811" s="4" t="s">
        <v>1714</v>
      </c>
      <c r="Y1811" s="1" t="s">
        <v>9701</v>
      </c>
      <c r="AA1811" s="1" t="s">
        <v>125</v>
      </c>
      <c r="AE1811" s="1">
        <v>3</v>
      </c>
      <c r="AF1811" s="54" t="s">
        <v>9530</v>
      </c>
      <c r="AL1811" s="60" t="s">
        <v>275</v>
      </c>
      <c r="AN1811" s="4" t="s">
        <v>1715</v>
      </c>
    </row>
    <row r="1812" spans="1:44" ht="36" x14ac:dyDescent="0.2">
      <c r="A1812" s="115" t="s">
        <v>2188</v>
      </c>
      <c r="B1812" s="115" t="s">
        <v>2189</v>
      </c>
      <c r="C1812" s="115" t="s">
        <v>5730</v>
      </c>
      <c r="D1812" s="116">
        <v>0</v>
      </c>
      <c r="E1812" s="115">
        <v>1</v>
      </c>
      <c r="F1812" s="115" t="s">
        <v>2194</v>
      </c>
      <c r="G1812" s="115" t="s">
        <v>2190</v>
      </c>
      <c r="H1812" s="1" t="s">
        <v>26</v>
      </c>
      <c r="I1812" s="1" t="s">
        <v>94</v>
      </c>
      <c r="K1812" s="1" t="s">
        <v>2191</v>
      </c>
      <c r="L1812" s="2" t="s">
        <v>2192</v>
      </c>
      <c r="N1812" s="54">
        <v>0</v>
      </c>
      <c r="O1812" s="55" t="s">
        <v>799</v>
      </c>
      <c r="Q1812" s="57">
        <v>15</v>
      </c>
      <c r="R1812" s="58">
        <v>12</v>
      </c>
      <c r="S1812" s="59">
        <v>0</v>
      </c>
      <c r="V1812" s="4" t="s">
        <v>2193</v>
      </c>
      <c r="AL1812" s="60" t="s">
        <v>30</v>
      </c>
      <c r="AR1812" s="4"/>
    </row>
    <row r="1813" spans="1:44" ht="36" x14ac:dyDescent="0.2">
      <c r="A1813" s="1" t="s">
        <v>2188</v>
      </c>
      <c r="B1813" s="1" t="s">
        <v>2195</v>
      </c>
      <c r="C1813" s="1" t="s">
        <v>5730</v>
      </c>
      <c r="D1813" s="48">
        <v>1</v>
      </c>
      <c r="E1813" s="1">
        <v>4</v>
      </c>
      <c r="F1813" s="1" t="s">
        <v>2194</v>
      </c>
      <c r="G1813" s="1" t="s">
        <v>2196</v>
      </c>
      <c r="I1813" s="1" t="s">
        <v>88</v>
      </c>
      <c r="K1813" s="1" t="s">
        <v>261</v>
      </c>
      <c r="V1813" s="4" t="s">
        <v>2197</v>
      </c>
      <c r="AL1813" s="60" t="s">
        <v>30</v>
      </c>
      <c r="AR1813" s="4"/>
    </row>
    <row r="1814" spans="1:44" ht="24" x14ac:dyDescent="0.2">
      <c r="A1814" s="1" t="s">
        <v>2188</v>
      </c>
      <c r="B1814" s="1" t="s">
        <v>2198</v>
      </c>
      <c r="C1814" s="1" t="s">
        <v>5730</v>
      </c>
      <c r="D1814" s="48">
        <v>2</v>
      </c>
      <c r="E1814" s="1">
        <v>4</v>
      </c>
      <c r="F1814" s="1" t="s">
        <v>2194</v>
      </c>
      <c r="G1814" s="1" t="s">
        <v>2199</v>
      </c>
      <c r="I1814" s="1" t="s">
        <v>88</v>
      </c>
      <c r="K1814" s="1" t="s">
        <v>261</v>
      </c>
      <c r="V1814" s="4" t="s">
        <v>2200</v>
      </c>
      <c r="AL1814" s="60" t="s">
        <v>30</v>
      </c>
      <c r="AR1814" s="4"/>
    </row>
    <row r="1815" spans="1:44" ht="48" x14ac:dyDescent="0.2">
      <c r="A1815" s="1" t="s">
        <v>2188</v>
      </c>
      <c r="B1815" s="1" t="s">
        <v>2201</v>
      </c>
      <c r="C1815" s="1" t="s">
        <v>5730</v>
      </c>
      <c r="D1815" s="48">
        <v>3</v>
      </c>
      <c r="E1815" s="1">
        <v>1</v>
      </c>
      <c r="F1815" s="1" t="s">
        <v>2194</v>
      </c>
      <c r="G1815" s="1" t="s">
        <v>2202</v>
      </c>
      <c r="H1815" s="1" t="s">
        <v>26</v>
      </c>
      <c r="I1815" s="1" t="s">
        <v>88</v>
      </c>
      <c r="K1815" s="1" t="s">
        <v>196</v>
      </c>
      <c r="L1815" s="2" t="s">
        <v>2203</v>
      </c>
      <c r="U1815" s="1">
        <v>15</v>
      </c>
      <c r="V1815" s="4" t="s">
        <v>2204</v>
      </c>
      <c r="AL1815" s="60" t="s">
        <v>30</v>
      </c>
      <c r="AR1815" s="4"/>
    </row>
    <row r="1816" spans="1:44" ht="60" x14ac:dyDescent="0.2">
      <c r="A1816" s="1" t="s">
        <v>2188</v>
      </c>
      <c r="B1816" s="1" t="s">
        <v>2207</v>
      </c>
      <c r="C1816" s="1" t="s">
        <v>5730</v>
      </c>
      <c r="D1816" s="48">
        <v>4</v>
      </c>
      <c r="E1816" s="1">
        <v>1</v>
      </c>
      <c r="F1816" s="1" t="s">
        <v>2194</v>
      </c>
      <c r="G1816" s="1" t="s">
        <v>9584</v>
      </c>
      <c r="I1816" s="1" t="s">
        <v>125</v>
      </c>
      <c r="M1816" s="18">
        <v>1</v>
      </c>
      <c r="N1816" s="54" t="s">
        <v>9529</v>
      </c>
      <c r="V1816" s="4" t="s">
        <v>2208</v>
      </c>
      <c r="X1816" s="1" t="s">
        <v>1672</v>
      </c>
      <c r="Y1816" s="1" t="s">
        <v>9584</v>
      </c>
      <c r="AA1816" s="1" t="s">
        <v>125</v>
      </c>
      <c r="AE1816" s="1">
        <v>1</v>
      </c>
      <c r="AF1816" s="54" t="s">
        <v>9530</v>
      </c>
      <c r="AL1816" s="60" t="s">
        <v>67</v>
      </c>
      <c r="AN1816" s="4" t="s">
        <v>2209</v>
      </c>
      <c r="AR1816" s="4"/>
    </row>
    <row r="1817" spans="1:44" ht="48" x14ac:dyDescent="0.2">
      <c r="A1817" s="1" t="s">
        <v>2188</v>
      </c>
      <c r="B1817" s="1" t="s">
        <v>2205</v>
      </c>
      <c r="C1817" s="1" t="s">
        <v>5730</v>
      </c>
      <c r="D1817" s="48">
        <v>5</v>
      </c>
      <c r="E1817" s="1">
        <v>1</v>
      </c>
      <c r="F1817" s="1" t="s">
        <v>2194</v>
      </c>
      <c r="G1817" s="1" t="s">
        <v>9642</v>
      </c>
      <c r="I1817" s="1" t="s">
        <v>125</v>
      </c>
      <c r="M1817" s="18">
        <v>2</v>
      </c>
      <c r="N1817" s="54" t="s">
        <v>9529</v>
      </c>
      <c r="Y1817" s="1" t="s">
        <v>9642</v>
      </c>
      <c r="AA1817" s="1" t="s">
        <v>125</v>
      </c>
      <c r="AE1817" s="1">
        <v>2</v>
      </c>
      <c r="AF1817" s="54" t="s">
        <v>9530</v>
      </c>
      <c r="AL1817" s="60" t="s">
        <v>5622</v>
      </c>
      <c r="AN1817" s="4" t="s">
        <v>2206</v>
      </c>
      <c r="AR1817" s="4"/>
    </row>
    <row r="1818" spans="1:44" ht="84" x14ac:dyDescent="0.2">
      <c r="A1818" s="1" t="s">
        <v>2188</v>
      </c>
      <c r="B1818" s="1" t="s">
        <v>2210</v>
      </c>
      <c r="C1818" s="1" t="s">
        <v>5730</v>
      </c>
      <c r="D1818" s="48">
        <v>6</v>
      </c>
      <c r="E1818" s="1">
        <v>1</v>
      </c>
      <c r="F1818" s="1" t="s">
        <v>2194</v>
      </c>
      <c r="G1818" s="1" t="s">
        <v>9702</v>
      </c>
      <c r="I1818" s="1" t="s">
        <v>125</v>
      </c>
      <c r="M1818" s="18">
        <v>3</v>
      </c>
      <c r="N1818" s="54" t="s">
        <v>9529</v>
      </c>
      <c r="V1818" s="4" t="s">
        <v>2211</v>
      </c>
      <c r="Y1818" s="1" t="s">
        <v>9702</v>
      </c>
      <c r="AA1818" s="1" t="s">
        <v>125</v>
      </c>
      <c r="AE1818" s="1">
        <v>3</v>
      </c>
      <c r="AF1818" s="54" t="s">
        <v>9530</v>
      </c>
      <c r="AL1818" s="60" t="s">
        <v>67</v>
      </c>
      <c r="AN1818" s="4" t="s">
        <v>2212</v>
      </c>
      <c r="AR1818" s="4"/>
    </row>
    <row r="1819" spans="1:44" ht="60" x14ac:dyDescent="0.2">
      <c r="A1819" s="115" t="s">
        <v>897</v>
      </c>
      <c r="B1819" s="115" t="s">
        <v>898</v>
      </c>
      <c r="C1819" s="115" t="s">
        <v>5731</v>
      </c>
      <c r="D1819" s="116">
        <v>1</v>
      </c>
      <c r="E1819" s="115">
        <v>1</v>
      </c>
      <c r="F1819" s="115" t="s">
        <v>901</v>
      </c>
      <c r="G1819" s="115" t="s">
        <v>899</v>
      </c>
      <c r="I1819" s="1" t="s">
        <v>104</v>
      </c>
      <c r="K1819" s="1" t="s">
        <v>105</v>
      </c>
      <c r="O1819" s="55" t="s">
        <v>113</v>
      </c>
      <c r="T1819" s="60">
        <v>12</v>
      </c>
      <c r="V1819" s="4" t="s">
        <v>900</v>
      </c>
      <c r="AL1819" s="60" t="s">
        <v>30</v>
      </c>
    </row>
    <row r="1820" spans="1:44" ht="60" x14ac:dyDescent="0.2">
      <c r="A1820" s="1" t="s">
        <v>897</v>
      </c>
      <c r="B1820" s="1" t="s">
        <v>902</v>
      </c>
      <c r="C1820" s="1" t="s">
        <v>5731</v>
      </c>
      <c r="D1820" s="48">
        <v>2</v>
      </c>
      <c r="E1820" s="1">
        <v>1</v>
      </c>
      <c r="F1820" s="1" t="s">
        <v>901</v>
      </c>
      <c r="G1820" s="1" t="s">
        <v>903</v>
      </c>
      <c r="I1820" s="1" t="s">
        <v>88</v>
      </c>
      <c r="K1820" s="1" t="s">
        <v>89</v>
      </c>
      <c r="L1820" s="2" t="s">
        <v>904</v>
      </c>
      <c r="V1820" s="4" t="s">
        <v>905</v>
      </c>
      <c r="AL1820" s="60" t="s">
        <v>30</v>
      </c>
      <c r="AR1820" s="4"/>
    </row>
    <row r="1821" spans="1:44" ht="48" x14ac:dyDescent="0.2">
      <c r="A1821" s="1" t="s">
        <v>897</v>
      </c>
      <c r="B1821" s="1" t="s">
        <v>909</v>
      </c>
      <c r="C1821" s="1" t="s">
        <v>5731</v>
      </c>
      <c r="D1821" s="48">
        <v>3</v>
      </c>
      <c r="E1821" s="1">
        <v>1</v>
      </c>
      <c r="F1821" s="1" t="s">
        <v>901</v>
      </c>
      <c r="G1821" s="1" t="s">
        <v>9585</v>
      </c>
      <c r="I1821" s="1" t="s">
        <v>125</v>
      </c>
      <c r="M1821" s="18">
        <v>1</v>
      </c>
      <c r="N1821" s="54" t="s">
        <v>9529</v>
      </c>
      <c r="V1821" s="4" t="s">
        <v>910</v>
      </c>
      <c r="X1821" s="1" t="s">
        <v>911</v>
      </c>
      <c r="Y1821" s="1" t="s">
        <v>9585</v>
      </c>
      <c r="AA1821" s="1" t="s">
        <v>125</v>
      </c>
      <c r="AE1821" s="1">
        <v>1</v>
      </c>
      <c r="AF1821" s="54" t="s">
        <v>9530</v>
      </c>
      <c r="AL1821" s="60" t="s">
        <v>666</v>
      </c>
      <c r="AN1821" s="4" t="s">
        <v>912</v>
      </c>
      <c r="AR1821" s="4"/>
    </row>
    <row r="1822" spans="1:44" ht="60" x14ac:dyDescent="0.2">
      <c r="A1822" s="1" t="s">
        <v>897</v>
      </c>
      <c r="B1822" s="1" t="s">
        <v>906</v>
      </c>
      <c r="C1822" s="1" t="s">
        <v>5731</v>
      </c>
      <c r="D1822" s="48">
        <v>4</v>
      </c>
      <c r="E1822" s="1">
        <v>1</v>
      </c>
      <c r="F1822" s="1" t="s">
        <v>901</v>
      </c>
      <c r="G1822" s="1" t="s">
        <v>9643</v>
      </c>
      <c r="I1822" s="1" t="s">
        <v>125</v>
      </c>
      <c r="M1822" s="18">
        <v>2</v>
      </c>
      <c r="N1822" s="54" t="s">
        <v>9529</v>
      </c>
      <c r="V1822" s="4" t="s">
        <v>907</v>
      </c>
      <c r="Y1822" s="1" t="s">
        <v>9643</v>
      </c>
      <c r="AA1822" s="1" t="s">
        <v>125</v>
      </c>
      <c r="AE1822" s="1">
        <v>2</v>
      </c>
      <c r="AF1822" s="54" t="s">
        <v>9530</v>
      </c>
      <c r="AL1822" s="60" t="s">
        <v>243</v>
      </c>
      <c r="AN1822" s="4" t="s">
        <v>908</v>
      </c>
      <c r="AR1822" s="4"/>
    </row>
    <row r="1823" spans="1:44" ht="72" x14ac:dyDescent="0.2">
      <c r="A1823" s="1" t="s">
        <v>897</v>
      </c>
      <c r="B1823" s="1" t="s">
        <v>913</v>
      </c>
      <c r="C1823" s="1" t="s">
        <v>5731</v>
      </c>
      <c r="D1823" s="48">
        <v>5</v>
      </c>
      <c r="E1823" s="1">
        <v>1</v>
      </c>
      <c r="F1823" s="1" t="s">
        <v>901</v>
      </c>
      <c r="G1823" s="1" t="s">
        <v>9703</v>
      </c>
      <c r="I1823" s="1" t="s">
        <v>125</v>
      </c>
      <c r="M1823" s="18">
        <v>3</v>
      </c>
      <c r="N1823" s="54" t="s">
        <v>9529</v>
      </c>
      <c r="V1823" s="4" t="s">
        <v>914</v>
      </c>
      <c r="Y1823" s="1" t="s">
        <v>9703</v>
      </c>
      <c r="AA1823" s="1" t="s">
        <v>125</v>
      </c>
      <c r="AE1823" s="1">
        <v>3</v>
      </c>
      <c r="AF1823" s="54" t="s">
        <v>9530</v>
      </c>
      <c r="AL1823" s="60" t="s">
        <v>243</v>
      </c>
      <c r="AN1823" s="4" t="s">
        <v>915</v>
      </c>
      <c r="AR1823" s="4"/>
    </row>
    <row r="1824" spans="1:44" ht="108" x14ac:dyDescent="0.2">
      <c r="A1824" s="115" t="s">
        <v>2183</v>
      </c>
      <c r="B1824" s="115" t="s">
        <v>2184</v>
      </c>
      <c r="C1824" s="115" t="s">
        <v>5732</v>
      </c>
      <c r="D1824" s="116">
        <v>1</v>
      </c>
      <c r="E1824" s="115">
        <v>1</v>
      </c>
      <c r="F1824" s="115" t="s">
        <v>2186</v>
      </c>
      <c r="G1824" s="115" t="s">
        <v>2186</v>
      </c>
      <c r="I1824" s="1" t="s">
        <v>125</v>
      </c>
      <c r="M1824" s="18">
        <v>1</v>
      </c>
      <c r="N1824" s="54" t="s">
        <v>9529</v>
      </c>
      <c r="V1824" s="4" t="s">
        <v>2185</v>
      </c>
      <c r="X1824" s="1" t="s">
        <v>1672</v>
      </c>
      <c r="Y1824" s="1" t="s">
        <v>2186</v>
      </c>
      <c r="AA1824" s="1" t="s">
        <v>125</v>
      </c>
      <c r="AE1824" s="1">
        <v>1</v>
      </c>
      <c r="AF1824" s="54" t="s">
        <v>9530</v>
      </c>
      <c r="AL1824" s="60" t="s">
        <v>67</v>
      </c>
      <c r="AN1824" s="4" t="s">
        <v>2187</v>
      </c>
      <c r="AR1824" s="4"/>
    </row>
    <row r="1825" spans="1:44" ht="48" x14ac:dyDescent="0.2">
      <c r="A1825" s="115" t="s">
        <v>1733</v>
      </c>
      <c r="B1825" s="115" t="s">
        <v>1841</v>
      </c>
      <c r="C1825" s="115" t="s">
        <v>5733</v>
      </c>
      <c r="D1825" s="115">
        <v>1</v>
      </c>
      <c r="E1825" s="115">
        <v>5</v>
      </c>
      <c r="F1825" s="115" t="s">
        <v>1738</v>
      </c>
      <c r="G1825" s="115" t="s">
        <v>1842</v>
      </c>
      <c r="I1825" s="1" t="s">
        <v>94</v>
      </c>
      <c r="K1825" s="4" t="s">
        <v>1746</v>
      </c>
      <c r="L1825" s="4"/>
      <c r="M1825" s="1"/>
      <c r="N1825" s="54">
        <v>20</v>
      </c>
      <c r="O1825" s="55">
        <v>1</v>
      </c>
      <c r="Q1825" s="57">
        <v>1</v>
      </c>
      <c r="R1825" s="58">
        <v>0</v>
      </c>
      <c r="S1825" s="59">
        <v>1</v>
      </c>
      <c r="U1825" s="1">
        <v>1</v>
      </c>
      <c r="V1825" s="4" t="s">
        <v>1843</v>
      </c>
      <c r="AL1825" s="60" t="s">
        <v>30</v>
      </c>
      <c r="AN1825" s="4" t="s">
        <v>30</v>
      </c>
      <c r="AR1825" s="4"/>
    </row>
    <row r="1826" spans="1:44" ht="24" x14ac:dyDescent="0.2">
      <c r="A1826" s="1" t="s">
        <v>1733</v>
      </c>
      <c r="B1826" s="1" t="s">
        <v>1815</v>
      </c>
      <c r="C1826" s="1" t="s">
        <v>5733</v>
      </c>
      <c r="D1826" s="1">
        <v>2</v>
      </c>
      <c r="E1826" s="1">
        <v>5</v>
      </c>
      <c r="F1826" s="1" t="s">
        <v>1738</v>
      </c>
      <c r="G1826" s="1" t="s">
        <v>1816</v>
      </c>
      <c r="I1826" s="1" t="s">
        <v>94</v>
      </c>
      <c r="K1826" s="4" t="s">
        <v>95</v>
      </c>
      <c r="L1826" s="4" t="s">
        <v>1817</v>
      </c>
      <c r="M1826" s="1"/>
      <c r="N1826" s="54">
        <v>20</v>
      </c>
      <c r="O1826" s="55">
        <v>1</v>
      </c>
      <c r="Q1826" s="57">
        <v>2</v>
      </c>
      <c r="R1826" s="58">
        <v>1</v>
      </c>
      <c r="S1826" s="59">
        <v>3</v>
      </c>
      <c r="W1826" s="4" t="s">
        <v>1818</v>
      </c>
      <c r="AL1826" s="60" t="s">
        <v>30</v>
      </c>
      <c r="AN1826" s="4" t="s">
        <v>30</v>
      </c>
      <c r="AR1826" s="4"/>
    </row>
    <row r="1827" spans="1:44" ht="24" x14ac:dyDescent="0.2">
      <c r="A1827" s="1" t="s">
        <v>1733</v>
      </c>
      <c r="B1827" s="1" t="s">
        <v>1734</v>
      </c>
      <c r="C1827" s="1" t="s">
        <v>5733</v>
      </c>
      <c r="D1827" s="1">
        <v>3</v>
      </c>
      <c r="E1827" s="1">
        <v>4</v>
      </c>
      <c r="F1827" s="1" t="s">
        <v>1738</v>
      </c>
      <c r="G1827" s="1" t="s">
        <v>1735</v>
      </c>
      <c r="I1827" s="1" t="s">
        <v>94</v>
      </c>
      <c r="K1827" s="4" t="s">
        <v>95</v>
      </c>
      <c r="L1827" s="4"/>
      <c r="M1827" s="1"/>
      <c r="N1827" s="54">
        <v>30</v>
      </c>
      <c r="O1827" s="55">
        <v>1</v>
      </c>
      <c r="Q1827" s="57">
        <v>2</v>
      </c>
      <c r="R1827" s="58">
        <v>1</v>
      </c>
      <c r="S1827" s="59">
        <v>2</v>
      </c>
      <c r="V1827" s="4" t="s">
        <v>1736</v>
      </c>
      <c r="W1827" s="4" t="s">
        <v>1737</v>
      </c>
      <c r="AL1827" s="60" t="s">
        <v>30</v>
      </c>
      <c r="AN1827" s="4" t="s">
        <v>30</v>
      </c>
      <c r="AR1827" s="4"/>
    </row>
    <row r="1828" spans="1:44" ht="24" x14ac:dyDescent="0.2">
      <c r="A1828" s="1" t="s">
        <v>1733</v>
      </c>
      <c r="B1828" s="1" t="s">
        <v>1786</v>
      </c>
      <c r="C1828" s="1" t="s">
        <v>5733</v>
      </c>
      <c r="D1828" s="1">
        <v>4</v>
      </c>
      <c r="E1828" s="1">
        <v>2</v>
      </c>
      <c r="F1828" s="1" t="s">
        <v>1738</v>
      </c>
      <c r="G1828" s="1" t="s">
        <v>1787</v>
      </c>
      <c r="I1828" s="1" t="s">
        <v>94</v>
      </c>
      <c r="K1828" s="4" t="s">
        <v>1788</v>
      </c>
      <c r="L1828" s="4"/>
      <c r="M1828" s="1"/>
      <c r="N1828" s="54">
        <v>32</v>
      </c>
      <c r="O1828" s="55">
        <v>1</v>
      </c>
      <c r="Q1828" s="57">
        <v>2</v>
      </c>
      <c r="R1828" s="58">
        <v>2</v>
      </c>
      <c r="S1828" s="59">
        <v>2</v>
      </c>
      <c r="V1828" s="4" t="s">
        <v>1789</v>
      </c>
      <c r="W1828" s="4" t="s">
        <v>1790</v>
      </c>
      <c r="AL1828" s="60" t="s">
        <v>30</v>
      </c>
      <c r="AN1828" s="4" t="s">
        <v>30</v>
      </c>
      <c r="AR1828" s="4"/>
    </row>
    <row r="1829" spans="1:44" ht="24" x14ac:dyDescent="0.2">
      <c r="A1829" s="1" t="s">
        <v>1733</v>
      </c>
      <c r="B1829" s="1" t="s">
        <v>1834</v>
      </c>
      <c r="C1829" s="1" t="s">
        <v>5733</v>
      </c>
      <c r="D1829" s="1">
        <v>5</v>
      </c>
      <c r="E1829" s="1">
        <v>3</v>
      </c>
      <c r="F1829" s="1" t="s">
        <v>1738</v>
      </c>
      <c r="G1829" s="1" t="s">
        <v>1835</v>
      </c>
      <c r="I1829" s="1" t="s">
        <v>94</v>
      </c>
      <c r="K1829" s="4" t="s">
        <v>1788</v>
      </c>
      <c r="L1829" s="4"/>
      <c r="M1829" s="1"/>
      <c r="N1829" s="54">
        <v>38</v>
      </c>
      <c r="O1829" s="55">
        <v>2</v>
      </c>
      <c r="Q1829" s="57">
        <v>2</v>
      </c>
      <c r="R1829" s="58">
        <v>2</v>
      </c>
      <c r="S1829" s="59">
        <v>3</v>
      </c>
      <c r="V1829" s="4" t="s">
        <v>1836</v>
      </c>
      <c r="W1829" s="4" t="s">
        <v>1790</v>
      </c>
      <c r="AL1829" s="60" t="s">
        <v>30</v>
      </c>
      <c r="AN1829" s="4" t="s">
        <v>30</v>
      </c>
    </row>
    <row r="1830" spans="1:44" ht="24" x14ac:dyDescent="0.2">
      <c r="A1830" s="1" t="s">
        <v>1733</v>
      </c>
      <c r="B1830" s="1" t="s">
        <v>1819</v>
      </c>
      <c r="C1830" s="1" t="s">
        <v>5733</v>
      </c>
      <c r="D1830" s="1">
        <v>6</v>
      </c>
      <c r="E1830" s="1">
        <v>5</v>
      </c>
      <c r="F1830" s="1" t="s">
        <v>1738</v>
      </c>
      <c r="G1830" s="1" t="s">
        <v>1820</v>
      </c>
      <c r="I1830" s="1" t="s">
        <v>94</v>
      </c>
      <c r="K1830" s="4" t="s">
        <v>1746</v>
      </c>
      <c r="L1830" s="4" t="s">
        <v>1821</v>
      </c>
      <c r="M1830" s="1"/>
      <c r="N1830" s="54">
        <v>25</v>
      </c>
      <c r="O1830" s="55">
        <v>1</v>
      </c>
      <c r="Q1830" s="57">
        <v>2</v>
      </c>
      <c r="R1830" s="58">
        <v>0</v>
      </c>
      <c r="S1830" s="59">
        <v>2</v>
      </c>
      <c r="U1830" s="1">
        <v>1</v>
      </c>
      <c r="V1830" s="4" t="s">
        <v>1822</v>
      </c>
      <c r="AL1830" s="60" t="s">
        <v>30</v>
      </c>
      <c r="AN1830" s="4" t="s">
        <v>30</v>
      </c>
      <c r="AR1830" s="4"/>
    </row>
    <row r="1831" spans="1:44" ht="36" x14ac:dyDescent="0.2">
      <c r="A1831" s="1" t="s">
        <v>1733</v>
      </c>
      <c r="B1831" s="1" t="s">
        <v>1804</v>
      </c>
      <c r="C1831" s="1" t="s">
        <v>5733</v>
      </c>
      <c r="D1831" s="1">
        <v>7</v>
      </c>
      <c r="E1831" s="1">
        <v>4</v>
      </c>
      <c r="F1831" s="1" t="s">
        <v>1738</v>
      </c>
      <c r="G1831" s="1" t="s">
        <v>1805</v>
      </c>
      <c r="I1831" s="1" t="s">
        <v>94</v>
      </c>
      <c r="K1831" s="4" t="s">
        <v>1746</v>
      </c>
      <c r="L1831" s="4"/>
      <c r="M1831" s="1"/>
      <c r="N1831" s="54">
        <v>30</v>
      </c>
      <c r="O1831" s="55">
        <v>1</v>
      </c>
      <c r="Q1831" s="57">
        <v>3</v>
      </c>
      <c r="R1831" s="58">
        <v>2</v>
      </c>
      <c r="S1831" s="59">
        <v>3</v>
      </c>
      <c r="U1831" s="1">
        <v>2</v>
      </c>
      <c r="V1831" s="4" t="s">
        <v>1806</v>
      </c>
      <c r="AL1831" s="60" t="s">
        <v>30</v>
      </c>
      <c r="AN1831" s="4" t="s">
        <v>30</v>
      </c>
      <c r="AR1831" s="4"/>
    </row>
    <row r="1832" spans="1:44" ht="24" x14ac:dyDescent="0.2">
      <c r="A1832" s="1" t="s">
        <v>1733</v>
      </c>
      <c r="B1832" s="1" t="s">
        <v>1851</v>
      </c>
      <c r="C1832" s="1" t="s">
        <v>5733</v>
      </c>
      <c r="D1832" s="1">
        <v>8</v>
      </c>
      <c r="E1832" s="1">
        <v>5</v>
      </c>
      <c r="F1832" s="1" t="s">
        <v>1738</v>
      </c>
      <c r="G1832" s="1" t="s">
        <v>1852</v>
      </c>
      <c r="I1832" s="1" t="s">
        <v>94</v>
      </c>
      <c r="K1832" s="4" t="s">
        <v>1746</v>
      </c>
      <c r="L1832" s="4" t="s">
        <v>1853</v>
      </c>
      <c r="M1832" s="1"/>
      <c r="N1832" s="54">
        <v>30</v>
      </c>
      <c r="O1832" s="55">
        <v>1</v>
      </c>
      <c r="Q1832" s="57">
        <v>1</v>
      </c>
      <c r="R1832" s="58">
        <v>1</v>
      </c>
      <c r="S1832" s="59">
        <v>3</v>
      </c>
      <c r="U1832" s="1">
        <v>1</v>
      </c>
      <c r="V1832" s="4" t="s">
        <v>1854</v>
      </c>
      <c r="AL1832" s="60" t="s">
        <v>30</v>
      </c>
      <c r="AN1832" s="4" t="s">
        <v>30</v>
      </c>
      <c r="AR1832" s="4"/>
    </row>
    <row r="1833" spans="1:44" ht="36" x14ac:dyDescent="0.2">
      <c r="A1833" s="1" t="s">
        <v>1733</v>
      </c>
      <c r="B1833" s="1" t="s">
        <v>1776</v>
      </c>
      <c r="C1833" s="1" t="s">
        <v>5733</v>
      </c>
      <c r="D1833" s="1">
        <v>9</v>
      </c>
      <c r="E1833" s="1">
        <v>5</v>
      </c>
      <c r="F1833" s="1" t="s">
        <v>1738</v>
      </c>
      <c r="G1833" s="1" t="s">
        <v>1777</v>
      </c>
      <c r="I1833" s="1" t="s">
        <v>94</v>
      </c>
      <c r="K1833" s="4" t="s">
        <v>1746</v>
      </c>
      <c r="L1833" s="4"/>
      <c r="M1833" s="1"/>
      <c r="N1833" s="54">
        <v>30</v>
      </c>
      <c r="O1833" s="55" t="s">
        <v>113</v>
      </c>
      <c r="Q1833" s="57" t="s">
        <v>113</v>
      </c>
      <c r="R1833" s="58">
        <v>2</v>
      </c>
      <c r="S1833" s="59">
        <v>2</v>
      </c>
      <c r="U1833" s="1">
        <v>2</v>
      </c>
      <c r="V1833" s="4" t="s">
        <v>1778</v>
      </c>
      <c r="AL1833" s="60" t="s">
        <v>30</v>
      </c>
      <c r="AN1833" s="4" t="s">
        <v>30</v>
      </c>
      <c r="AR1833" s="4"/>
    </row>
    <row r="1834" spans="1:44" ht="24" x14ac:dyDescent="0.2">
      <c r="A1834" s="1" t="s">
        <v>1733</v>
      </c>
      <c r="B1834" s="1" t="s">
        <v>1801</v>
      </c>
      <c r="C1834" s="1" t="s">
        <v>5733</v>
      </c>
      <c r="D1834" s="1">
        <v>10</v>
      </c>
      <c r="E1834" s="1">
        <v>5</v>
      </c>
      <c r="F1834" s="1" t="s">
        <v>1738</v>
      </c>
      <c r="G1834" s="1" t="s">
        <v>1802</v>
      </c>
      <c r="I1834" s="1" t="s">
        <v>94</v>
      </c>
      <c r="K1834" s="4" t="s">
        <v>1746</v>
      </c>
      <c r="L1834" s="4" t="s">
        <v>685</v>
      </c>
      <c r="M1834" s="1"/>
      <c r="N1834" s="54">
        <v>45</v>
      </c>
      <c r="O1834" s="55">
        <v>1</v>
      </c>
      <c r="Q1834" s="57">
        <v>1</v>
      </c>
      <c r="R1834" s="58">
        <v>0</v>
      </c>
      <c r="S1834" s="59">
        <v>2</v>
      </c>
      <c r="U1834" s="1">
        <v>1</v>
      </c>
      <c r="V1834" s="4" t="s">
        <v>1803</v>
      </c>
      <c r="AL1834" s="60" t="s">
        <v>30</v>
      </c>
      <c r="AN1834" s="4" t="s">
        <v>30</v>
      </c>
    </row>
    <row r="1835" spans="1:44" ht="36" x14ac:dyDescent="0.2">
      <c r="A1835" s="1" t="s">
        <v>1733</v>
      </c>
      <c r="B1835" s="1" t="s">
        <v>1744</v>
      </c>
      <c r="C1835" s="1" t="s">
        <v>5733</v>
      </c>
      <c r="D1835" s="1">
        <v>11</v>
      </c>
      <c r="E1835" s="1">
        <v>4</v>
      </c>
      <c r="F1835" s="1" t="s">
        <v>1738</v>
      </c>
      <c r="G1835" s="1" t="s">
        <v>1745</v>
      </c>
      <c r="I1835" s="1" t="s">
        <v>94</v>
      </c>
      <c r="K1835" s="4" t="s">
        <v>1746</v>
      </c>
      <c r="L1835" s="4" t="s">
        <v>1747</v>
      </c>
      <c r="M1835" s="1"/>
      <c r="N1835" s="54">
        <v>35</v>
      </c>
      <c r="O1835" s="55">
        <v>1</v>
      </c>
      <c r="Q1835" s="57">
        <v>3</v>
      </c>
      <c r="R1835" s="58">
        <v>7</v>
      </c>
      <c r="S1835" s="59">
        <v>3</v>
      </c>
      <c r="U1835" s="1">
        <v>3</v>
      </c>
      <c r="V1835" s="4" t="s">
        <v>1748</v>
      </c>
      <c r="AL1835" s="60" t="s">
        <v>30</v>
      </c>
      <c r="AN1835" s="4" t="s">
        <v>30</v>
      </c>
    </row>
    <row r="1836" spans="1:44" ht="24" x14ac:dyDescent="0.2">
      <c r="A1836" s="1" t="s">
        <v>1733</v>
      </c>
      <c r="B1836" s="1" t="s">
        <v>1855</v>
      </c>
      <c r="C1836" s="1" t="s">
        <v>5733</v>
      </c>
      <c r="D1836" s="1">
        <v>12</v>
      </c>
      <c r="E1836" s="1">
        <v>3</v>
      </c>
      <c r="F1836" s="1" t="s">
        <v>1738</v>
      </c>
      <c r="G1836" s="1" t="s">
        <v>1856</v>
      </c>
      <c r="I1836" s="1" t="s">
        <v>94</v>
      </c>
      <c r="K1836" s="4" t="s">
        <v>1788</v>
      </c>
      <c r="L1836" s="4" t="s">
        <v>155</v>
      </c>
      <c r="M1836" s="1"/>
      <c r="N1836" s="54">
        <v>35</v>
      </c>
      <c r="O1836" s="55">
        <v>1</v>
      </c>
      <c r="Q1836" s="57">
        <v>3</v>
      </c>
      <c r="R1836" s="58">
        <v>0</v>
      </c>
      <c r="S1836" s="59">
        <v>3</v>
      </c>
      <c r="V1836" s="4" t="s">
        <v>1857</v>
      </c>
      <c r="W1836" s="4" t="s">
        <v>1858</v>
      </c>
      <c r="AL1836" s="60" t="s">
        <v>30</v>
      </c>
      <c r="AN1836" s="4" t="s">
        <v>30</v>
      </c>
    </row>
    <row r="1837" spans="1:44" ht="36" x14ac:dyDescent="0.2">
      <c r="A1837" s="1" t="s">
        <v>1733</v>
      </c>
      <c r="B1837" s="1" t="s">
        <v>1791</v>
      </c>
      <c r="C1837" s="1" t="s">
        <v>5733</v>
      </c>
      <c r="D1837" s="1">
        <v>13</v>
      </c>
      <c r="E1837" s="1">
        <v>3</v>
      </c>
      <c r="F1837" s="1" t="s">
        <v>1738</v>
      </c>
      <c r="G1837" s="1" t="s">
        <v>1792</v>
      </c>
      <c r="I1837" s="1" t="s">
        <v>104</v>
      </c>
      <c r="K1837" s="4" t="s">
        <v>1741</v>
      </c>
      <c r="L1837" s="4" t="s">
        <v>1793</v>
      </c>
      <c r="M1837" s="1"/>
      <c r="O1837" s="55">
        <v>2</v>
      </c>
      <c r="T1837" s="60">
        <v>3</v>
      </c>
      <c r="V1837" s="4" t="s">
        <v>1794</v>
      </c>
      <c r="AL1837" s="60" t="s">
        <v>30</v>
      </c>
      <c r="AN1837" s="4" t="s">
        <v>30</v>
      </c>
    </row>
    <row r="1838" spans="1:44" ht="36" x14ac:dyDescent="0.2">
      <c r="A1838" s="1" t="s">
        <v>1733</v>
      </c>
      <c r="B1838" s="1" t="s">
        <v>1862</v>
      </c>
      <c r="C1838" s="1" t="s">
        <v>5733</v>
      </c>
      <c r="D1838" s="1">
        <v>14</v>
      </c>
      <c r="E1838" s="1">
        <v>1</v>
      </c>
      <c r="F1838" s="1" t="s">
        <v>1738</v>
      </c>
      <c r="G1838" s="1" t="s">
        <v>1863</v>
      </c>
      <c r="I1838" s="1" t="s">
        <v>104</v>
      </c>
      <c r="K1838" s="4" t="s">
        <v>1741</v>
      </c>
      <c r="L1838" s="4" t="s">
        <v>1864</v>
      </c>
      <c r="M1838" s="1"/>
      <c r="O1838" s="55">
        <v>1</v>
      </c>
      <c r="T1838" s="60">
        <v>1</v>
      </c>
      <c r="V1838" s="4" t="s">
        <v>1865</v>
      </c>
      <c r="AL1838" s="60" t="s">
        <v>30</v>
      </c>
      <c r="AN1838" s="4" t="s">
        <v>30</v>
      </c>
    </row>
    <row r="1839" spans="1:44" ht="24" x14ac:dyDescent="0.2">
      <c r="A1839" s="1" t="s">
        <v>1733</v>
      </c>
      <c r="B1839" s="1" t="s">
        <v>1812</v>
      </c>
      <c r="C1839" s="1" t="s">
        <v>5733</v>
      </c>
      <c r="D1839" s="1">
        <v>15</v>
      </c>
      <c r="E1839" s="1">
        <v>2</v>
      </c>
      <c r="F1839" s="1" t="s">
        <v>1738</v>
      </c>
      <c r="G1839" s="1" t="s">
        <v>1813</v>
      </c>
      <c r="I1839" s="1" t="s">
        <v>104</v>
      </c>
      <c r="K1839" s="4" t="s">
        <v>1741</v>
      </c>
      <c r="L1839" s="4" t="s">
        <v>1742</v>
      </c>
      <c r="M1839" s="1"/>
      <c r="O1839" s="55">
        <v>1</v>
      </c>
      <c r="T1839" s="60">
        <v>2</v>
      </c>
      <c r="V1839" s="4" t="s">
        <v>1814</v>
      </c>
      <c r="AL1839" s="60" t="s">
        <v>30</v>
      </c>
      <c r="AN1839" s="4" t="s">
        <v>30</v>
      </c>
    </row>
    <row r="1840" spans="1:44" ht="36" x14ac:dyDescent="0.2">
      <c r="A1840" s="1" t="s">
        <v>1733</v>
      </c>
      <c r="B1840" s="1" t="s">
        <v>1844</v>
      </c>
      <c r="C1840" s="1" t="s">
        <v>5733</v>
      </c>
      <c r="D1840" s="1">
        <v>16</v>
      </c>
      <c r="E1840" s="1">
        <v>2</v>
      </c>
      <c r="F1840" s="1" t="s">
        <v>1738</v>
      </c>
      <c r="G1840" s="1" t="s">
        <v>1845</v>
      </c>
      <c r="I1840" s="1" t="s">
        <v>104</v>
      </c>
      <c r="K1840" s="4" t="s">
        <v>1741</v>
      </c>
      <c r="L1840" s="4" t="s">
        <v>1742</v>
      </c>
      <c r="M1840" s="1"/>
      <c r="O1840" s="55">
        <v>2</v>
      </c>
      <c r="T1840" s="60">
        <v>2</v>
      </c>
      <c r="V1840" s="4" t="s">
        <v>1846</v>
      </c>
      <c r="AL1840" s="60" t="s">
        <v>30</v>
      </c>
      <c r="AN1840" s="4" t="s">
        <v>30</v>
      </c>
    </row>
    <row r="1841" spans="1:40" ht="24" x14ac:dyDescent="0.2">
      <c r="A1841" s="1" t="s">
        <v>1733</v>
      </c>
      <c r="B1841" s="1" t="s">
        <v>1795</v>
      </c>
      <c r="C1841" s="1" t="s">
        <v>5733</v>
      </c>
      <c r="D1841" s="1">
        <v>17</v>
      </c>
      <c r="E1841" s="1">
        <v>2</v>
      </c>
      <c r="F1841" s="1" t="s">
        <v>1738</v>
      </c>
      <c r="G1841" s="1" t="s">
        <v>1796</v>
      </c>
      <c r="I1841" s="1" t="s">
        <v>104</v>
      </c>
      <c r="K1841" s="4" t="s">
        <v>1178</v>
      </c>
      <c r="L1841" s="4" t="s">
        <v>1742</v>
      </c>
      <c r="M1841" s="1"/>
      <c r="O1841" s="55">
        <v>3</v>
      </c>
      <c r="T1841" s="60">
        <v>4</v>
      </c>
      <c r="W1841" s="4" t="s">
        <v>11061</v>
      </c>
      <c r="AL1841" s="60" t="s">
        <v>30</v>
      </c>
      <c r="AN1841" s="4" t="s">
        <v>30</v>
      </c>
    </row>
    <row r="1842" spans="1:40" ht="36" x14ac:dyDescent="0.2">
      <c r="A1842" s="1" t="s">
        <v>1733</v>
      </c>
      <c r="B1842" s="1" t="s">
        <v>1739</v>
      </c>
      <c r="C1842" s="1" t="s">
        <v>5733</v>
      </c>
      <c r="D1842" s="1">
        <v>18</v>
      </c>
      <c r="E1842" s="1">
        <v>2</v>
      </c>
      <c r="F1842" s="1" t="s">
        <v>1738</v>
      </c>
      <c r="G1842" s="1" t="s">
        <v>1740</v>
      </c>
      <c r="I1842" s="1" t="s">
        <v>104</v>
      </c>
      <c r="K1842" s="4" t="s">
        <v>1741</v>
      </c>
      <c r="L1842" s="4" t="s">
        <v>1742</v>
      </c>
      <c r="M1842" s="1"/>
      <c r="O1842" s="55">
        <v>1</v>
      </c>
      <c r="T1842" s="60">
        <v>3</v>
      </c>
      <c r="V1842" s="4" t="s">
        <v>1743</v>
      </c>
      <c r="AL1842" s="60" t="s">
        <v>30</v>
      </c>
      <c r="AN1842" s="4" t="s">
        <v>30</v>
      </c>
    </row>
    <row r="1843" spans="1:40" ht="72" x14ac:dyDescent="0.2">
      <c r="A1843" s="1" t="s">
        <v>1733</v>
      </c>
      <c r="B1843" s="1" t="s">
        <v>1749</v>
      </c>
      <c r="C1843" s="1" t="s">
        <v>5733</v>
      </c>
      <c r="D1843" s="1">
        <v>19</v>
      </c>
      <c r="E1843" s="1">
        <v>3</v>
      </c>
      <c r="F1843" s="1" t="s">
        <v>1738</v>
      </c>
      <c r="G1843" s="1" t="s">
        <v>1750</v>
      </c>
      <c r="I1843" s="1" t="s">
        <v>104</v>
      </c>
      <c r="K1843" s="4" t="s">
        <v>1741</v>
      </c>
      <c r="L1843" s="4"/>
      <c r="M1843" s="1"/>
      <c r="O1843" s="55">
        <v>3</v>
      </c>
      <c r="T1843" s="60">
        <v>2</v>
      </c>
      <c r="V1843" s="4" t="s">
        <v>1751</v>
      </c>
      <c r="AL1843" s="60" t="s">
        <v>30</v>
      </c>
      <c r="AN1843" s="4" t="s">
        <v>30</v>
      </c>
    </row>
    <row r="1844" spans="1:40" ht="48" x14ac:dyDescent="0.2">
      <c r="A1844" s="1" t="s">
        <v>1733</v>
      </c>
      <c r="B1844" s="1" t="s">
        <v>1760</v>
      </c>
      <c r="C1844" s="1" t="s">
        <v>5733</v>
      </c>
      <c r="D1844" s="1">
        <v>20</v>
      </c>
      <c r="E1844" s="1">
        <v>1</v>
      </c>
      <c r="F1844" s="1" t="s">
        <v>1738</v>
      </c>
      <c r="G1844" s="1" t="s">
        <v>1761</v>
      </c>
      <c r="I1844" s="1" t="s">
        <v>104</v>
      </c>
      <c r="K1844" s="4" t="s">
        <v>1762</v>
      </c>
      <c r="L1844" s="4"/>
      <c r="M1844" s="1"/>
      <c r="O1844" s="55">
        <v>1</v>
      </c>
      <c r="T1844" s="60">
        <v>4</v>
      </c>
      <c r="V1844" s="4" t="s">
        <v>1763</v>
      </c>
      <c r="AL1844" s="60" t="s">
        <v>30</v>
      </c>
      <c r="AN1844" s="4" t="s">
        <v>30</v>
      </c>
    </row>
    <row r="1845" spans="1:40" ht="36" x14ac:dyDescent="0.2">
      <c r="A1845" s="1" t="s">
        <v>1733</v>
      </c>
      <c r="B1845" s="1" t="s">
        <v>1837</v>
      </c>
      <c r="C1845" s="1" t="s">
        <v>5733</v>
      </c>
      <c r="D1845" s="1">
        <v>21</v>
      </c>
      <c r="E1845" s="1">
        <v>2</v>
      </c>
      <c r="F1845" s="1" t="s">
        <v>1738</v>
      </c>
      <c r="G1845" s="1" t="s">
        <v>1838</v>
      </c>
      <c r="I1845" s="1" t="s">
        <v>104</v>
      </c>
      <c r="K1845" s="4" t="s">
        <v>1741</v>
      </c>
      <c r="L1845" s="4" t="s">
        <v>1839</v>
      </c>
      <c r="M1845" s="1"/>
      <c r="O1845" s="55">
        <v>1</v>
      </c>
      <c r="T1845" s="60">
        <v>2</v>
      </c>
      <c r="V1845" s="4" t="s">
        <v>1840</v>
      </c>
      <c r="AL1845" s="60" t="s">
        <v>30</v>
      </c>
      <c r="AN1845" s="4" t="s">
        <v>30</v>
      </c>
    </row>
    <row r="1846" spans="1:40" ht="60" customHeight="1" x14ac:dyDescent="0.2">
      <c r="A1846" s="1" t="s">
        <v>1733</v>
      </c>
      <c r="B1846" s="1" t="s">
        <v>1771</v>
      </c>
      <c r="C1846" s="1" t="s">
        <v>5733</v>
      </c>
      <c r="D1846" s="1">
        <v>22</v>
      </c>
      <c r="E1846" s="1">
        <v>2</v>
      </c>
      <c r="F1846" s="1" t="s">
        <v>1738</v>
      </c>
      <c r="G1846" s="1" t="s">
        <v>1772</v>
      </c>
      <c r="I1846" s="1" t="s">
        <v>104</v>
      </c>
      <c r="K1846" s="4" t="s">
        <v>1773</v>
      </c>
      <c r="L1846" s="4" t="s">
        <v>1774</v>
      </c>
      <c r="M1846" s="1"/>
      <c r="O1846" s="55">
        <v>2</v>
      </c>
      <c r="T1846" s="60">
        <v>5</v>
      </c>
      <c r="V1846" s="4" t="s">
        <v>1775</v>
      </c>
      <c r="AL1846" s="60" t="s">
        <v>30</v>
      </c>
      <c r="AN1846" s="4" t="s">
        <v>30</v>
      </c>
    </row>
    <row r="1847" spans="1:40" ht="24" x14ac:dyDescent="0.2">
      <c r="A1847" s="1" t="s">
        <v>1733</v>
      </c>
      <c r="B1847" s="1" t="s">
        <v>1779</v>
      </c>
      <c r="C1847" s="1" t="s">
        <v>5733</v>
      </c>
      <c r="D1847" s="1">
        <v>23</v>
      </c>
      <c r="E1847" s="1">
        <v>3</v>
      </c>
      <c r="F1847" s="1" t="s">
        <v>1738</v>
      </c>
      <c r="G1847" s="1" t="s">
        <v>1780</v>
      </c>
      <c r="I1847" s="1" t="s">
        <v>104</v>
      </c>
      <c r="K1847" s="4" t="s">
        <v>1773</v>
      </c>
      <c r="L1847" s="4" t="s">
        <v>1774</v>
      </c>
      <c r="M1847" s="1"/>
      <c r="O1847" s="55">
        <v>2</v>
      </c>
      <c r="T1847" s="60">
        <v>4</v>
      </c>
      <c r="V1847" s="4" t="s">
        <v>1781</v>
      </c>
      <c r="AL1847" s="60" t="s">
        <v>30</v>
      </c>
      <c r="AN1847" s="4" t="s">
        <v>30</v>
      </c>
    </row>
    <row r="1848" spans="1:40" ht="24" x14ac:dyDescent="0.2">
      <c r="A1848" s="1" t="s">
        <v>1733</v>
      </c>
      <c r="B1848" s="1" t="s">
        <v>1807</v>
      </c>
      <c r="C1848" s="1" t="s">
        <v>5733</v>
      </c>
      <c r="D1848" s="1">
        <v>24</v>
      </c>
      <c r="E1848" s="1">
        <v>1</v>
      </c>
      <c r="F1848" s="1" t="s">
        <v>1738</v>
      </c>
      <c r="G1848" s="1" t="s">
        <v>1808</v>
      </c>
      <c r="I1848" s="1" t="s">
        <v>104</v>
      </c>
      <c r="K1848" s="4" t="s">
        <v>1809</v>
      </c>
      <c r="L1848" s="4" t="s">
        <v>1810</v>
      </c>
      <c r="M1848" s="1"/>
      <c r="O1848" s="55">
        <v>2</v>
      </c>
      <c r="T1848" s="60">
        <v>6</v>
      </c>
      <c r="V1848" s="4" t="s">
        <v>1811</v>
      </c>
      <c r="AL1848" s="60" t="s">
        <v>30</v>
      </c>
      <c r="AN1848" s="4" t="s">
        <v>30</v>
      </c>
    </row>
    <row r="1849" spans="1:40" ht="36" x14ac:dyDescent="0.2">
      <c r="A1849" s="1" t="s">
        <v>1733</v>
      </c>
      <c r="B1849" s="1" t="s">
        <v>1827</v>
      </c>
      <c r="C1849" s="1" t="s">
        <v>5733</v>
      </c>
      <c r="D1849" s="1">
        <v>25</v>
      </c>
      <c r="E1849" s="1">
        <v>2</v>
      </c>
      <c r="F1849" s="1" t="s">
        <v>1738</v>
      </c>
      <c r="G1849" s="1" t="s">
        <v>1828</v>
      </c>
      <c r="I1849" s="1" t="s">
        <v>104</v>
      </c>
      <c r="K1849" s="4" t="s">
        <v>253</v>
      </c>
      <c r="L1849" s="4" t="s">
        <v>685</v>
      </c>
      <c r="M1849" s="1"/>
      <c r="O1849" s="55">
        <v>2</v>
      </c>
      <c r="T1849" s="60">
        <v>3</v>
      </c>
      <c r="V1849" s="4" t="s">
        <v>1829</v>
      </c>
      <c r="W1849" s="4" t="s">
        <v>1830</v>
      </c>
      <c r="AL1849" s="60" t="s">
        <v>30</v>
      </c>
      <c r="AN1849" s="4" t="s">
        <v>30</v>
      </c>
    </row>
    <row r="1850" spans="1:40" ht="24" x14ac:dyDescent="0.2">
      <c r="A1850" s="1" t="s">
        <v>1733</v>
      </c>
      <c r="B1850" s="1" t="s">
        <v>1752</v>
      </c>
      <c r="C1850" s="1" t="s">
        <v>5733</v>
      </c>
      <c r="D1850" s="1">
        <v>26</v>
      </c>
      <c r="E1850" s="1">
        <v>2</v>
      </c>
      <c r="F1850" s="1" t="s">
        <v>1738</v>
      </c>
      <c r="G1850" s="1" t="s">
        <v>1753</v>
      </c>
      <c r="I1850" s="1" t="s">
        <v>104</v>
      </c>
      <c r="K1850" s="4" t="s">
        <v>1178</v>
      </c>
      <c r="L1850" s="4" t="s">
        <v>685</v>
      </c>
      <c r="M1850" s="1"/>
      <c r="O1850" s="55">
        <v>1</v>
      </c>
      <c r="T1850" s="60">
        <v>5</v>
      </c>
      <c r="V1850" s="4" t="s">
        <v>1754</v>
      </c>
      <c r="W1850" s="4" t="s">
        <v>1755</v>
      </c>
      <c r="AL1850" s="60" t="s">
        <v>30</v>
      </c>
      <c r="AN1850" s="4" t="s">
        <v>30</v>
      </c>
    </row>
    <row r="1851" spans="1:40" ht="24" x14ac:dyDescent="0.2">
      <c r="A1851" s="1" t="s">
        <v>1733</v>
      </c>
      <c r="B1851" s="1" t="s">
        <v>1756</v>
      </c>
      <c r="C1851" s="1" t="s">
        <v>5733</v>
      </c>
      <c r="D1851" s="1">
        <v>27</v>
      </c>
      <c r="E1851" s="1">
        <v>3</v>
      </c>
      <c r="F1851" s="1" t="s">
        <v>1738</v>
      </c>
      <c r="G1851" s="1" t="s">
        <v>1757</v>
      </c>
      <c r="I1851" s="1" t="s">
        <v>104</v>
      </c>
      <c r="K1851" s="4" t="s">
        <v>1741</v>
      </c>
      <c r="L1851" s="4" t="s">
        <v>1742</v>
      </c>
      <c r="M1851" s="1"/>
      <c r="O1851" s="55">
        <v>2</v>
      </c>
      <c r="T1851" s="60">
        <v>3</v>
      </c>
      <c r="V1851" s="4" t="s">
        <v>1758</v>
      </c>
      <c r="W1851" s="4" t="s">
        <v>1759</v>
      </c>
      <c r="AL1851" s="60" t="s">
        <v>30</v>
      </c>
      <c r="AN1851" s="4" t="s">
        <v>30</v>
      </c>
    </row>
    <row r="1852" spans="1:40" ht="72" x14ac:dyDescent="0.2">
      <c r="A1852" s="1" t="s">
        <v>1733</v>
      </c>
      <c r="B1852" s="1" t="s">
        <v>1782</v>
      </c>
      <c r="C1852" s="1" t="s">
        <v>5733</v>
      </c>
      <c r="D1852" s="1">
        <v>28</v>
      </c>
      <c r="E1852" s="1">
        <v>4</v>
      </c>
      <c r="F1852" s="1" t="s">
        <v>1738</v>
      </c>
      <c r="G1852" s="1" t="s">
        <v>1783</v>
      </c>
      <c r="I1852" s="1" t="s">
        <v>88</v>
      </c>
      <c r="K1852" s="4" t="s">
        <v>1784</v>
      </c>
      <c r="L1852" s="4"/>
      <c r="M1852" s="1"/>
      <c r="V1852" s="4" t="s">
        <v>1785</v>
      </c>
      <c r="AL1852" s="60" t="s">
        <v>30</v>
      </c>
      <c r="AN1852" s="4" t="s">
        <v>30</v>
      </c>
    </row>
    <row r="1853" spans="1:40" ht="60" x14ac:dyDescent="0.2">
      <c r="A1853" s="1" t="s">
        <v>1733</v>
      </c>
      <c r="B1853" s="1" t="s">
        <v>1866</v>
      </c>
      <c r="C1853" s="1" t="s">
        <v>5733</v>
      </c>
      <c r="D1853" s="1">
        <v>29</v>
      </c>
      <c r="E1853" s="1">
        <v>1</v>
      </c>
      <c r="F1853" s="1" t="s">
        <v>1738</v>
      </c>
      <c r="G1853" s="1" t="s">
        <v>9586</v>
      </c>
      <c r="I1853" s="1" t="s">
        <v>125</v>
      </c>
      <c r="K1853" s="4"/>
      <c r="L1853" s="4"/>
      <c r="M1853" s="1">
        <v>1</v>
      </c>
      <c r="N1853" s="54" t="s">
        <v>9529</v>
      </c>
      <c r="V1853" s="4" t="s">
        <v>1867</v>
      </c>
      <c r="Y1853" s="1" t="s">
        <v>9586</v>
      </c>
      <c r="AA1853" s="1" t="s">
        <v>125</v>
      </c>
      <c r="AE1853" s="1">
        <v>1</v>
      </c>
      <c r="AF1853" s="54" t="s">
        <v>9530</v>
      </c>
      <c r="AL1853" s="60">
        <v>7</v>
      </c>
      <c r="AN1853" s="4" t="s">
        <v>1868</v>
      </c>
    </row>
    <row r="1854" spans="1:40" ht="60" x14ac:dyDescent="0.2">
      <c r="A1854" s="1" t="s">
        <v>1733</v>
      </c>
      <c r="B1854" s="1" t="s">
        <v>1859</v>
      </c>
      <c r="C1854" s="1" t="s">
        <v>5733</v>
      </c>
      <c r="D1854" s="1">
        <v>30</v>
      </c>
      <c r="E1854" s="1">
        <v>2</v>
      </c>
      <c r="F1854" s="1" t="s">
        <v>1738</v>
      </c>
      <c r="G1854" s="1" t="s">
        <v>1860</v>
      </c>
      <c r="I1854" s="1" t="s">
        <v>82</v>
      </c>
      <c r="K1854" s="4"/>
      <c r="L1854" s="4"/>
      <c r="M1854" s="1"/>
      <c r="V1854" s="4" t="s">
        <v>1861</v>
      </c>
      <c r="AL1854" s="60" t="s">
        <v>30</v>
      </c>
      <c r="AN1854" s="4" t="s">
        <v>30</v>
      </c>
    </row>
    <row r="1855" spans="1:40" ht="60" x14ac:dyDescent="0.2">
      <c r="A1855" s="1" t="s">
        <v>1733</v>
      </c>
      <c r="B1855" s="1" t="s">
        <v>1798</v>
      </c>
      <c r="C1855" s="1" t="s">
        <v>5733</v>
      </c>
      <c r="D1855" s="1">
        <v>31</v>
      </c>
      <c r="E1855" s="1">
        <v>2</v>
      </c>
      <c r="F1855" s="1" t="s">
        <v>1738</v>
      </c>
      <c r="G1855" s="1" t="s">
        <v>1799</v>
      </c>
      <c r="I1855" s="1" t="s">
        <v>82</v>
      </c>
      <c r="K1855" s="4"/>
      <c r="L1855" s="4"/>
      <c r="M1855" s="1"/>
      <c r="V1855" s="4" t="s">
        <v>1800</v>
      </c>
      <c r="AL1855" s="60" t="s">
        <v>30</v>
      </c>
      <c r="AN1855" s="4" t="s">
        <v>30</v>
      </c>
    </row>
    <row r="1856" spans="1:40" ht="24" x14ac:dyDescent="0.2">
      <c r="A1856" s="1" t="s">
        <v>1733</v>
      </c>
      <c r="B1856" s="1" t="s">
        <v>1847</v>
      </c>
      <c r="C1856" s="1" t="s">
        <v>5733</v>
      </c>
      <c r="D1856" s="1">
        <v>32</v>
      </c>
      <c r="E1856" s="1">
        <v>2</v>
      </c>
      <c r="F1856" s="1" t="s">
        <v>1738</v>
      </c>
      <c r="G1856" s="1" t="s">
        <v>1848</v>
      </c>
      <c r="I1856" s="1" t="s">
        <v>82</v>
      </c>
      <c r="K1856" s="4"/>
      <c r="L1856" s="4"/>
      <c r="M1856" s="1"/>
      <c r="V1856" s="4" t="s">
        <v>1849</v>
      </c>
      <c r="W1856" s="4" t="s">
        <v>1850</v>
      </c>
      <c r="AL1856" s="60" t="s">
        <v>30</v>
      </c>
      <c r="AN1856" s="4" t="s">
        <v>30</v>
      </c>
    </row>
    <row r="1857" spans="1:40" ht="48" x14ac:dyDescent="0.2">
      <c r="A1857" s="1" t="s">
        <v>1733</v>
      </c>
      <c r="B1857" s="1" t="s">
        <v>1831</v>
      </c>
      <c r="C1857" s="1" t="s">
        <v>5733</v>
      </c>
      <c r="D1857" s="1">
        <v>33</v>
      </c>
      <c r="E1857" s="1">
        <v>2</v>
      </c>
      <c r="F1857" s="1" t="s">
        <v>1738</v>
      </c>
      <c r="G1857" s="1" t="s">
        <v>1832</v>
      </c>
      <c r="I1857" s="1" t="s">
        <v>82</v>
      </c>
      <c r="K1857" s="4"/>
      <c r="L1857" s="4"/>
      <c r="M1857" s="1"/>
      <c r="V1857" s="4" t="s">
        <v>1833</v>
      </c>
      <c r="AL1857" s="60" t="s">
        <v>30</v>
      </c>
      <c r="AN1857" s="4" t="s">
        <v>30</v>
      </c>
    </row>
    <row r="1858" spans="1:40" ht="36" x14ac:dyDescent="0.2">
      <c r="A1858" s="1" t="s">
        <v>1733</v>
      </c>
      <c r="B1858" s="1" t="s">
        <v>1823</v>
      </c>
      <c r="C1858" s="1" t="s">
        <v>5733</v>
      </c>
      <c r="D1858" s="1">
        <v>34</v>
      </c>
      <c r="E1858" s="1">
        <v>2</v>
      </c>
      <c r="F1858" s="1" t="s">
        <v>1738</v>
      </c>
      <c r="G1858" s="1" t="s">
        <v>1824</v>
      </c>
      <c r="I1858" s="1" t="s">
        <v>82</v>
      </c>
      <c r="K1858" s="4"/>
      <c r="L1858" s="4"/>
      <c r="M1858" s="1"/>
      <c r="V1858" s="4" t="s">
        <v>1825</v>
      </c>
      <c r="W1858" s="4" t="s">
        <v>1826</v>
      </c>
      <c r="AL1858" s="60" t="s">
        <v>30</v>
      </c>
      <c r="AN1858" s="4" t="s">
        <v>30</v>
      </c>
    </row>
    <row r="1859" spans="1:40" ht="24" x14ac:dyDescent="0.2">
      <c r="A1859" s="1" t="s">
        <v>1733</v>
      </c>
      <c r="B1859" s="1" t="s">
        <v>1767</v>
      </c>
      <c r="C1859" s="1" t="s">
        <v>5733</v>
      </c>
      <c r="D1859" s="1">
        <v>35</v>
      </c>
      <c r="E1859" s="1">
        <v>2</v>
      </c>
      <c r="F1859" s="1" t="s">
        <v>1738</v>
      </c>
      <c r="G1859" s="1" t="s">
        <v>1768</v>
      </c>
      <c r="I1859" s="1" t="s">
        <v>82</v>
      </c>
      <c r="K1859" s="4"/>
      <c r="L1859" s="4"/>
      <c r="M1859" s="1"/>
      <c r="V1859" s="4" t="s">
        <v>1769</v>
      </c>
      <c r="W1859" s="4" t="s">
        <v>1770</v>
      </c>
      <c r="AL1859" s="60" t="s">
        <v>30</v>
      </c>
      <c r="AN1859" s="4" t="s">
        <v>30</v>
      </c>
    </row>
    <row r="1860" spans="1:40" ht="72" x14ac:dyDescent="0.2">
      <c r="A1860" s="1" t="s">
        <v>1733</v>
      </c>
      <c r="B1860" s="1" t="s">
        <v>1764</v>
      </c>
      <c r="C1860" s="1" t="s">
        <v>5733</v>
      </c>
      <c r="D1860" s="1">
        <v>36</v>
      </c>
      <c r="E1860" s="1">
        <v>2</v>
      </c>
      <c r="F1860" s="1" t="s">
        <v>1738</v>
      </c>
      <c r="G1860" s="1" t="s">
        <v>1765</v>
      </c>
      <c r="I1860" s="1" t="s">
        <v>82</v>
      </c>
      <c r="K1860" s="4"/>
      <c r="L1860" s="4"/>
      <c r="M1860" s="1"/>
      <c r="V1860" s="4" t="s">
        <v>1766</v>
      </c>
      <c r="AL1860" s="60" t="s">
        <v>30</v>
      </c>
      <c r="AN1860" s="4" t="s">
        <v>30</v>
      </c>
    </row>
    <row r="1861" spans="1:40" ht="96" x14ac:dyDescent="0.2">
      <c r="A1861" s="1" t="s">
        <v>1733</v>
      </c>
      <c r="B1861" s="1" t="s">
        <v>8214</v>
      </c>
      <c r="C1861" s="1" t="s">
        <v>5733</v>
      </c>
      <c r="D1861" s="1">
        <v>37</v>
      </c>
      <c r="E1861" s="1">
        <v>1</v>
      </c>
      <c r="F1861" s="1" t="s">
        <v>5334</v>
      </c>
      <c r="G1861" s="1" t="s">
        <v>8088</v>
      </c>
      <c r="I1861" s="1" t="s">
        <v>3482</v>
      </c>
      <c r="K1861" s="4"/>
      <c r="L1861" s="4"/>
      <c r="M1861" s="1"/>
      <c r="N1861" s="54" t="s">
        <v>9529</v>
      </c>
      <c r="V1861" s="4" t="s">
        <v>8215</v>
      </c>
      <c r="Y1861" s="1" t="s">
        <v>8090</v>
      </c>
      <c r="AA1861" s="1" t="s">
        <v>3482</v>
      </c>
      <c r="AF1861" s="54" t="s">
        <v>9530</v>
      </c>
      <c r="AL1861" s="60" t="s">
        <v>30</v>
      </c>
      <c r="AN1861" s="4" t="s">
        <v>8216</v>
      </c>
    </row>
    <row r="1862" spans="1:40" ht="36" x14ac:dyDescent="0.2">
      <c r="A1862" s="115" t="s">
        <v>916</v>
      </c>
      <c r="B1862" s="115" t="s">
        <v>1371</v>
      </c>
      <c r="C1862" s="115" t="s">
        <v>5734</v>
      </c>
      <c r="D1862" s="115">
        <v>1</v>
      </c>
      <c r="E1862" s="115">
        <v>1</v>
      </c>
      <c r="F1862" s="115" t="s">
        <v>920</v>
      </c>
      <c r="G1862" s="115" t="s">
        <v>1372</v>
      </c>
      <c r="H1862" s="1" t="s">
        <v>26</v>
      </c>
      <c r="I1862" s="1" t="s">
        <v>27</v>
      </c>
      <c r="J1862" s="1" t="s">
        <v>28</v>
      </c>
      <c r="K1862" s="4" t="s">
        <v>1373</v>
      </c>
      <c r="L1862" s="4"/>
      <c r="M1862" s="1">
        <v>8</v>
      </c>
      <c r="P1862" s="56">
        <v>3</v>
      </c>
      <c r="Q1862" s="57">
        <v>2</v>
      </c>
      <c r="R1862" s="58">
        <v>1</v>
      </c>
      <c r="S1862" s="59">
        <v>4</v>
      </c>
      <c r="V1862" s="4" t="s">
        <v>1374</v>
      </c>
      <c r="AL1862" s="60" t="s">
        <v>30</v>
      </c>
      <c r="AN1862" s="4" t="s">
        <v>30</v>
      </c>
    </row>
    <row r="1863" spans="1:40" x14ac:dyDescent="0.2">
      <c r="A1863" s="1" t="s">
        <v>916</v>
      </c>
      <c r="B1863" s="1" t="s">
        <v>1478</v>
      </c>
      <c r="C1863" s="1" t="s">
        <v>5734</v>
      </c>
      <c r="D1863" s="1">
        <v>2</v>
      </c>
      <c r="E1863" s="1">
        <v>1</v>
      </c>
      <c r="F1863" s="1" t="s">
        <v>920</v>
      </c>
      <c r="G1863" s="1" t="s">
        <v>1277</v>
      </c>
      <c r="H1863" s="1" t="s">
        <v>26</v>
      </c>
      <c r="I1863" s="1" t="s">
        <v>27</v>
      </c>
      <c r="J1863" s="1" t="s">
        <v>28</v>
      </c>
      <c r="K1863" s="4" t="s">
        <v>1479</v>
      </c>
      <c r="L1863" s="4"/>
      <c r="M1863" s="1">
        <v>10</v>
      </c>
      <c r="P1863" s="56">
        <v>3</v>
      </c>
      <c r="Q1863" s="57">
        <v>3</v>
      </c>
      <c r="R1863" s="58">
        <v>1</v>
      </c>
      <c r="S1863" s="59">
        <v>4</v>
      </c>
      <c r="V1863" s="4" t="s">
        <v>1480</v>
      </c>
      <c r="AL1863" s="60" t="s">
        <v>30</v>
      </c>
      <c r="AN1863" s="4" t="s">
        <v>30</v>
      </c>
    </row>
    <row r="1864" spans="1:40" ht="24" x14ac:dyDescent="0.2">
      <c r="A1864" s="1" t="s">
        <v>916</v>
      </c>
      <c r="B1864" s="1" t="s">
        <v>1227</v>
      </c>
      <c r="C1864" s="1" t="s">
        <v>5734</v>
      </c>
      <c r="D1864" s="1">
        <v>3</v>
      </c>
      <c r="E1864" s="1">
        <v>1</v>
      </c>
      <c r="F1864" s="1" t="s">
        <v>920</v>
      </c>
      <c r="G1864" s="1" t="s">
        <v>1228</v>
      </c>
      <c r="H1864" s="1" t="s">
        <v>26</v>
      </c>
      <c r="I1864" s="1" t="s">
        <v>27</v>
      </c>
      <c r="J1864" s="1" t="s">
        <v>28</v>
      </c>
      <c r="K1864" s="4" t="s">
        <v>1034</v>
      </c>
      <c r="L1864" s="4"/>
      <c r="M1864" s="1">
        <v>11</v>
      </c>
      <c r="P1864" s="56">
        <v>3</v>
      </c>
      <c r="Q1864" s="57">
        <v>1</v>
      </c>
      <c r="R1864" s="58">
        <v>2</v>
      </c>
      <c r="S1864" s="59">
        <v>5</v>
      </c>
      <c r="V1864" s="4" t="s">
        <v>1229</v>
      </c>
      <c r="AL1864" s="60" t="s">
        <v>30</v>
      </c>
      <c r="AN1864" s="4" t="s">
        <v>30</v>
      </c>
    </row>
    <row r="1865" spans="1:40" ht="48" x14ac:dyDescent="0.2">
      <c r="A1865" s="1" t="s">
        <v>916</v>
      </c>
      <c r="B1865" s="1" t="s">
        <v>1015</v>
      </c>
      <c r="C1865" s="1" t="s">
        <v>5734</v>
      </c>
      <c r="D1865" s="1">
        <v>4</v>
      </c>
      <c r="E1865" s="1">
        <v>1</v>
      </c>
      <c r="F1865" s="1" t="s">
        <v>920</v>
      </c>
      <c r="G1865" s="1" t="s">
        <v>1016</v>
      </c>
      <c r="H1865" s="1" t="s">
        <v>26</v>
      </c>
      <c r="I1865" s="1" t="s">
        <v>27</v>
      </c>
      <c r="J1865" s="1" t="s">
        <v>57</v>
      </c>
      <c r="K1865" s="4" t="s">
        <v>1017</v>
      </c>
      <c r="L1865" s="4"/>
      <c r="M1865" s="1">
        <v>8</v>
      </c>
      <c r="P1865" s="56">
        <v>5</v>
      </c>
      <c r="Q1865" s="57">
        <v>0</v>
      </c>
      <c r="R1865" s="58">
        <v>1</v>
      </c>
      <c r="S1865" s="59">
        <v>3</v>
      </c>
      <c r="V1865" s="4" t="s">
        <v>1018</v>
      </c>
      <c r="AL1865" s="60" t="s">
        <v>30</v>
      </c>
      <c r="AN1865" s="4" t="s">
        <v>30</v>
      </c>
    </row>
    <row r="1866" spans="1:40" ht="36" x14ac:dyDescent="0.2">
      <c r="A1866" s="1" t="s">
        <v>916</v>
      </c>
      <c r="B1866" s="1" t="s">
        <v>1106</v>
      </c>
      <c r="C1866" s="1" t="s">
        <v>5734</v>
      </c>
      <c r="D1866" s="1">
        <v>5</v>
      </c>
      <c r="E1866" s="1">
        <v>1</v>
      </c>
      <c r="F1866" s="1" t="s">
        <v>920</v>
      </c>
      <c r="G1866" s="1" t="s">
        <v>1107</v>
      </c>
      <c r="H1866" s="1" t="s">
        <v>26</v>
      </c>
      <c r="I1866" s="1" t="s">
        <v>27</v>
      </c>
      <c r="J1866" s="1" t="s">
        <v>57</v>
      </c>
      <c r="K1866" s="4" t="s">
        <v>1108</v>
      </c>
      <c r="L1866" s="4"/>
      <c r="M1866" s="1">
        <v>8</v>
      </c>
      <c r="P1866" s="56">
        <v>4</v>
      </c>
      <c r="Q1866" s="57">
        <v>1</v>
      </c>
      <c r="R1866" s="58">
        <v>1</v>
      </c>
      <c r="S1866" s="59">
        <v>3</v>
      </c>
      <c r="V1866" s="4" t="s">
        <v>1109</v>
      </c>
      <c r="AL1866" s="60" t="s">
        <v>30</v>
      </c>
      <c r="AN1866" s="4" t="s">
        <v>30</v>
      </c>
    </row>
    <row r="1867" spans="1:40" ht="48" x14ac:dyDescent="0.2">
      <c r="A1867" s="1" t="s">
        <v>916</v>
      </c>
      <c r="B1867" s="1" t="s">
        <v>1296</v>
      </c>
      <c r="C1867" s="1" t="s">
        <v>5734</v>
      </c>
      <c r="D1867" s="1">
        <v>6</v>
      </c>
      <c r="E1867" s="1">
        <v>1</v>
      </c>
      <c r="F1867" s="1" t="s">
        <v>920</v>
      </c>
      <c r="G1867" s="1" t="s">
        <v>1297</v>
      </c>
      <c r="H1867" s="1" t="s">
        <v>26</v>
      </c>
      <c r="I1867" s="1" t="s">
        <v>27</v>
      </c>
      <c r="J1867" s="1" t="s">
        <v>57</v>
      </c>
      <c r="K1867" s="4" t="s">
        <v>1298</v>
      </c>
      <c r="L1867" s="4"/>
      <c r="M1867" s="1">
        <v>6</v>
      </c>
      <c r="P1867" s="56">
        <v>2</v>
      </c>
      <c r="Q1867" s="57">
        <v>1</v>
      </c>
      <c r="R1867" s="58">
        <v>1</v>
      </c>
      <c r="S1867" s="59">
        <v>4</v>
      </c>
      <c r="V1867" s="4" t="s">
        <v>1299</v>
      </c>
      <c r="AL1867" s="60" t="s">
        <v>30</v>
      </c>
      <c r="AN1867" s="4" t="s">
        <v>30</v>
      </c>
    </row>
    <row r="1868" spans="1:40" ht="36" x14ac:dyDescent="0.2">
      <c r="A1868" s="1" t="s">
        <v>916</v>
      </c>
      <c r="B1868" s="1" t="s">
        <v>1032</v>
      </c>
      <c r="C1868" s="1" t="s">
        <v>5734</v>
      </c>
      <c r="D1868" s="1">
        <v>7</v>
      </c>
      <c r="E1868" s="1">
        <v>1</v>
      </c>
      <c r="F1868" s="1" t="s">
        <v>920</v>
      </c>
      <c r="G1868" s="1" t="s">
        <v>1033</v>
      </c>
      <c r="H1868" s="1" t="s">
        <v>26</v>
      </c>
      <c r="I1868" s="1" t="s">
        <v>27</v>
      </c>
      <c r="J1868" s="1" t="s">
        <v>50</v>
      </c>
      <c r="K1868" s="4" t="s">
        <v>1034</v>
      </c>
      <c r="L1868" s="4" t="s">
        <v>52</v>
      </c>
      <c r="M1868" s="1">
        <v>11</v>
      </c>
      <c r="P1868" s="56">
        <v>1</v>
      </c>
      <c r="Q1868" s="57">
        <v>1</v>
      </c>
      <c r="R1868" s="58">
        <v>4</v>
      </c>
      <c r="S1868" s="59">
        <v>6</v>
      </c>
      <c r="V1868" s="4" t="s">
        <v>1035</v>
      </c>
      <c r="AL1868" s="60" t="s">
        <v>30</v>
      </c>
      <c r="AN1868" s="4" t="s">
        <v>30</v>
      </c>
    </row>
    <row r="1869" spans="1:40" x14ac:dyDescent="0.2">
      <c r="A1869" s="1" t="s">
        <v>916</v>
      </c>
      <c r="B1869" s="1" t="s">
        <v>1192</v>
      </c>
      <c r="C1869" s="1" t="s">
        <v>5734</v>
      </c>
      <c r="D1869" s="1">
        <v>8</v>
      </c>
      <c r="E1869" s="1">
        <v>1</v>
      </c>
      <c r="F1869" s="1" t="s">
        <v>920</v>
      </c>
      <c r="G1869" s="1" t="s">
        <v>1193</v>
      </c>
      <c r="H1869" s="1" t="s">
        <v>26</v>
      </c>
      <c r="I1869" s="1" t="s">
        <v>27</v>
      </c>
      <c r="J1869" s="1" t="s">
        <v>50</v>
      </c>
      <c r="K1869" s="4"/>
      <c r="L1869" s="4"/>
      <c r="M1869" s="1">
        <v>8</v>
      </c>
      <c r="P1869" s="56">
        <v>2</v>
      </c>
      <c r="Q1869" s="57">
        <v>2</v>
      </c>
      <c r="R1869" s="58">
        <v>2</v>
      </c>
      <c r="S1869" s="59">
        <v>4</v>
      </c>
      <c r="V1869" s="4" t="s">
        <v>1194</v>
      </c>
      <c r="AL1869" s="60" t="s">
        <v>30</v>
      </c>
      <c r="AN1869" s="4" t="s">
        <v>30</v>
      </c>
    </row>
    <row r="1870" spans="1:40" ht="24" x14ac:dyDescent="0.2">
      <c r="A1870" s="1" t="s">
        <v>916</v>
      </c>
      <c r="B1870" s="1" t="s">
        <v>1065</v>
      </c>
      <c r="C1870" s="1" t="s">
        <v>5734</v>
      </c>
      <c r="D1870" s="1">
        <v>9</v>
      </c>
      <c r="E1870" s="1">
        <v>1</v>
      </c>
      <c r="F1870" s="1" t="s">
        <v>920</v>
      </c>
      <c r="G1870" s="1" t="s">
        <v>1066</v>
      </c>
      <c r="H1870" s="1" t="s">
        <v>26</v>
      </c>
      <c r="I1870" s="1" t="s">
        <v>27</v>
      </c>
      <c r="J1870" s="1" t="s">
        <v>50</v>
      </c>
      <c r="K1870" s="4" t="s">
        <v>1067</v>
      </c>
      <c r="L1870" s="4"/>
      <c r="M1870" s="1">
        <v>11</v>
      </c>
      <c r="P1870" s="56">
        <v>1</v>
      </c>
      <c r="Q1870" s="57">
        <v>4</v>
      </c>
      <c r="R1870" s="58">
        <v>3</v>
      </c>
      <c r="S1870" s="59">
        <v>4</v>
      </c>
      <c r="V1870" s="4" t="s">
        <v>1068</v>
      </c>
      <c r="AL1870" s="60" t="s">
        <v>30</v>
      </c>
      <c r="AN1870" s="4" t="s">
        <v>30</v>
      </c>
    </row>
    <row r="1871" spans="1:40" ht="60" x14ac:dyDescent="0.2">
      <c r="A1871" s="1" t="s">
        <v>916</v>
      </c>
      <c r="B1871" s="1" t="s">
        <v>1426</v>
      </c>
      <c r="C1871" s="1" t="s">
        <v>5734</v>
      </c>
      <c r="D1871" s="1">
        <v>10</v>
      </c>
      <c r="E1871" s="1">
        <v>1</v>
      </c>
      <c r="F1871" s="1" t="s">
        <v>920</v>
      </c>
      <c r="G1871" s="1" t="s">
        <v>1427</v>
      </c>
      <c r="H1871" s="1" t="s">
        <v>26</v>
      </c>
      <c r="I1871" s="1" t="s">
        <v>27</v>
      </c>
      <c r="J1871" s="1" t="s">
        <v>39</v>
      </c>
      <c r="K1871" s="4" t="s">
        <v>1017</v>
      </c>
      <c r="L1871" s="4"/>
      <c r="M1871" s="1">
        <v>9</v>
      </c>
      <c r="P1871" s="56">
        <v>3</v>
      </c>
      <c r="Q1871" s="57">
        <v>1</v>
      </c>
      <c r="R1871" s="58">
        <v>2</v>
      </c>
      <c r="S1871" s="59">
        <v>4</v>
      </c>
      <c r="V1871" s="4" t="s">
        <v>1428</v>
      </c>
      <c r="AL1871" s="60" t="s">
        <v>30</v>
      </c>
      <c r="AN1871" s="4" t="s">
        <v>30</v>
      </c>
    </row>
    <row r="1872" spans="1:40" ht="48" x14ac:dyDescent="0.2">
      <c r="A1872" s="1" t="s">
        <v>916</v>
      </c>
      <c r="B1872" s="1" t="s">
        <v>1235</v>
      </c>
      <c r="C1872" s="1" t="s">
        <v>5734</v>
      </c>
      <c r="D1872" s="1">
        <v>11</v>
      </c>
      <c r="E1872" s="1">
        <v>1</v>
      </c>
      <c r="F1872" s="1" t="s">
        <v>920</v>
      </c>
      <c r="G1872" s="1" t="s">
        <v>1236</v>
      </c>
      <c r="H1872" s="1" t="s">
        <v>26</v>
      </c>
      <c r="I1872" s="1" t="s">
        <v>27</v>
      </c>
      <c r="J1872" s="1" t="s">
        <v>39</v>
      </c>
      <c r="K1872" s="4" t="s">
        <v>1034</v>
      </c>
      <c r="L1872" s="4"/>
      <c r="M1872" s="1">
        <v>11</v>
      </c>
      <c r="P1872" s="56">
        <v>2</v>
      </c>
      <c r="Q1872" s="57">
        <v>2</v>
      </c>
      <c r="R1872" s="58">
        <v>3</v>
      </c>
      <c r="S1872" s="59">
        <v>5</v>
      </c>
      <c r="V1872" s="4" t="s">
        <v>1237</v>
      </c>
      <c r="AL1872" s="60" t="s">
        <v>30</v>
      </c>
      <c r="AN1872" s="4" t="s">
        <v>30</v>
      </c>
    </row>
    <row r="1873" spans="1:40" ht="36" x14ac:dyDescent="0.2">
      <c r="A1873" s="1" t="s">
        <v>916</v>
      </c>
      <c r="B1873" s="1" t="s">
        <v>1072</v>
      </c>
      <c r="C1873" s="1" t="s">
        <v>5734</v>
      </c>
      <c r="D1873" s="1">
        <v>12</v>
      </c>
      <c r="E1873" s="1">
        <v>1</v>
      </c>
      <c r="F1873" s="1" t="s">
        <v>920</v>
      </c>
      <c r="G1873" s="1" t="s">
        <v>1073</v>
      </c>
      <c r="H1873" s="1" t="s">
        <v>26</v>
      </c>
      <c r="I1873" s="1" t="s">
        <v>27</v>
      </c>
      <c r="J1873" s="1" t="s">
        <v>39</v>
      </c>
      <c r="K1873" s="4" t="s">
        <v>1034</v>
      </c>
      <c r="L1873" s="4"/>
      <c r="M1873" s="1">
        <v>7</v>
      </c>
      <c r="P1873" s="56">
        <v>3</v>
      </c>
      <c r="Q1873" s="57">
        <v>1</v>
      </c>
      <c r="R1873" s="58">
        <v>1</v>
      </c>
      <c r="S1873" s="59">
        <v>3</v>
      </c>
      <c r="V1873" s="4" t="s">
        <v>1074</v>
      </c>
      <c r="AL1873" s="60" t="s">
        <v>30</v>
      </c>
      <c r="AN1873" s="4" t="s">
        <v>30</v>
      </c>
    </row>
    <row r="1874" spans="1:40" ht="60" x14ac:dyDescent="0.2">
      <c r="A1874" s="1" t="s">
        <v>916</v>
      </c>
      <c r="B1874" s="1" t="s">
        <v>1386</v>
      </c>
      <c r="C1874" s="1" t="s">
        <v>5734</v>
      </c>
      <c r="D1874" s="1">
        <v>13</v>
      </c>
      <c r="E1874" s="1">
        <v>3</v>
      </c>
      <c r="F1874" s="1" t="s">
        <v>920</v>
      </c>
      <c r="G1874" s="1" t="s">
        <v>1387</v>
      </c>
      <c r="H1874" s="1" t="s">
        <v>26</v>
      </c>
      <c r="I1874" s="1" t="s">
        <v>38</v>
      </c>
      <c r="J1874" s="1" t="s">
        <v>44</v>
      </c>
      <c r="K1874" s="4" t="s">
        <v>1124</v>
      </c>
      <c r="L1874" s="4" t="s">
        <v>1388</v>
      </c>
      <c r="M1874" s="1">
        <v>3</v>
      </c>
      <c r="P1874" s="56">
        <v>4</v>
      </c>
      <c r="Q1874" s="57">
        <v>0</v>
      </c>
      <c r="R1874" s="58">
        <v>0</v>
      </c>
      <c r="S1874" s="59">
        <v>3</v>
      </c>
      <c r="V1874" s="4" t="s">
        <v>1389</v>
      </c>
      <c r="AL1874" s="60" t="s">
        <v>30</v>
      </c>
      <c r="AN1874" s="4" t="s">
        <v>30</v>
      </c>
    </row>
    <row r="1875" spans="1:40" ht="36" x14ac:dyDescent="0.2">
      <c r="A1875" s="1" t="s">
        <v>916</v>
      </c>
      <c r="B1875" s="1" t="s">
        <v>1416</v>
      </c>
      <c r="C1875" s="1" t="s">
        <v>5734</v>
      </c>
      <c r="D1875" s="1">
        <v>14</v>
      </c>
      <c r="E1875" s="1">
        <v>3</v>
      </c>
      <c r="F1875" s="1" t="s">
        <v>920</v>
      </c>
      <c r="G1875" s="1" t="s">
        <v>1417</v>
      </c>
      <c r="I1875" s="1" t="s">
        <v>38</v>
      </c>
      <c r="J1875" s="1" t="s">
        <v>57</v>
      </c>
      <c r="K1875" s="4" t="s">
        <v>1418</v>
      </c>
      <c r="L1875" s="4"/>
      <c r="M1875" s="1">
        <v>2</v>
      </c>
      <c r="P1875" s="56">
        <v>1</v>
      </c>
      <c r="Q1875" s="57">
        <v>1</v>
      </c>
      <c r="R1875" s="58">
        <v>2</v>
      </c>
      <c r="S1875" s="59">
        <v>2</v>
      </c>
      <c r="V1875" s="4" t="s">
        <v>1419</v>
      </c>
      <c r="AL1875" s="60" t="s">
        <v>30</v>
      </c>
      <c r="AN1875" s="4" t="s">
        <v>30</v>
      </c>
    </row>
    <row r="1876" spans="1:40" ht="24" x14ac:dyDescent="0.2">
      <c r="A1876" s="1" t="s">
        <v>916</v>
      </c>
      <c r="B1876" s="1" t="s">
        <v>1454</v>
      </c>
      <c r="C1876" s="1" t="s">
        <v>5734</v>
      </c>
      <c r="D1876" s="1">
        <v>15</v>
      </c>
      <c r="E1876" s="1">
        <v>3</v>
      </c>
      <c r="F1876" s="1" t="s">
        <v>920</v>
      </c>
      <c r="G1876" s="1" t="s">
        <v>1455</v>
      </c>
      <c r="H1876" s="1" t="s">
        <v>26</v>
      </c>
      <c r="I1876" s="1" t="s">
        <v>38</v>
      </c>
      <c r="J1876" s="1" t="s">
        <v>971</v>
      </c>
      <c r="K1876" s="4" t="s">
        <v>1456</v>
      </c>
      <c r="L1876" s="4"/>
      <c r="M1876" s="1">
        <v>4</v>
      </c>
      <c r="P1876" s="56">
        <v>2</v>
      </c>
      <c r="Q1876" s="57">
        <v>1</v>
      </c>
      <c r="R1876" s="58">
        <v>3</v>
      </c>
      <c r="S1876" s="59">
        <v>2</v>
      </c>
      <c r="V1876" s="4" t="s">
        <v>1457</v>
      </c>
      <c r="AL1876" s="60" t="s">
        <v>30</v>
      </c>
      <c r="AN1876" s="4" t="s">
        <v>30</v>
      </c>
    </row>
    <row r="1877" spans="1:40" ht="24" x14ac:dyDescent="0.2">
      <c r="A1877" s="1" t="s">
        <v>916</v>
      </c>
      <c r="B1877" s="1" t="s">
        <v>1582</v>
      </c>
      <c r="C1877" s="1" t="s">
        <v>5734</v>
      </c>
      <c r="D1877" s="1">
        <v>16</v>
      </c>
      <c r="E1877" s="1">
        <v>3</v>
      </c>
      <c r="F1877" s="1" t="s">
        <v>920</v>
      </c>
      <c r="G1877" s="1" t="s">
        <v>1583</v>
      </c>
      <c r="H1877" s="1" t="s">
        <v>26</v>
      </c>
      <c r="I1877" s="1" t="s">
        <v>38</v>
      </c>
      <c r="J1877" s="1" t="s">
        <v>28</v>
      </c>
      <c r="K1877" s="4" t="s">
        <v>1584</v>
      </c>
      <c r="L1877" s="4"/>
      <c r="M1877" s="1">
        <v>4</v>
      </c>
      <c r="P1877" s="56">
        <v>2</v>
      </c>
      <c r="Q1877" s="57">
        <v>2</v>
      </c>
      <c r="R1877" s="58">
        <v>2</v>
      </c>
      <c r="S1877" s="59">
        <v>3</v>
      </c>
      <c r="V1877" s="4" t="s">
        <v>1585</v>
      </c>
      <c r="AL1877" s="60" t="s">
        <v>30</v>
      </c>
      <c r="AN1877" s="4" t="s">
        <v>30</v>
      </c>
    </row>
    <row r="1878" spans="1:40" ht="24" x14ac:dyDescent="0.2">
      <c r="A1878" s="1" t="s">
        <v>916</v>
      </c>
      <c r="B1878" s="1" t="s">
        <v>1448</v>
      </c>
      <c r="C1878" s="1" t="s">
        <v>5734</v>
      </c>
      <c r="D1878" s="1">
        <v>17</v>
      </c>
      <c r="E1878" s="1">
        <v>3</v>
      </c>
      <c r="F1878" s="1" t="s">
        <v>920</v>
      </c>
      <c r="G1878" s="1" t="s">
        <v>1449</v>
      </c>
      <c r="H1878" s="1" t="s">
        <v>26</v>
      </c>
      <c r="I1878" s="1" t="s">
        <v>38</v>
      </c>
      <c r="J1878" s="1" t="s">
        <v>28</v>
      </c>
      <c r="K1878" s="4" t="s">
        <v>1278</v>
      </c>
      <c r="L1878" s="4"/>
      <c r="M1878" s="1">
        <v>4</v>
      </c>
      <c r="P1878" s="56">
        <v>2</v>
      </c>
      <c r="Q1878" s="57">
        <v>3</v>
      </c>
      <c r="R1878" s="58">
        <v>1</v>
      </c>
      <c r="S1878" s="59">
        <v>2</v>
      </c>
      <c r="V1878" s="4" t="s">
        <v>1450</v>
      </c>
      <c r="AL1878" s="60" t="s">
        <v>30</v>
      </c>
      <c r="AN1878" s="4" t="s">
        <v>30</v>
      </c>
    </row>
    <row r="1879" spans="1:40" ht="24" x14ac:dyDescent="0.2">
      <c r="A1879" s="1" t="s">
        <v>916</v>
      </c>
      <c r="B1879" s="1" t="s">
        <v>986</v>
      </c>
      <c r="C1879" s="1" t="s">
        <v>5734</v>
      </c>
      <c r="D1879" s="1">
        <v>18</v>
      </c>
      <c r="E1879" s="1">
        <v>3</v>
      </c>
      <c r="F1879" s="1" t="s">
        <v>920</v>
      </c>
      <c r="G1879" s="1" t="s">
        <v>987</v>
      </c>
      <c r="I1879" s="1" t="s">
        <v>38</v>
      </c>
      <c r="J1879" s="1" t="s">
        <v>28</v>
      </c>
      <c r="K1879" s="4" t="s">
        <v>988</v>
      </c>
      <c r="L1879" s="4"/>
      <c r="M1879" s="1">
        <v>2</v>
      </c>
      <c r="P1879" s="56">
        <v>1</v>
      </c>
      <c r="Q1879" s="57">
        <v>2</v>
      </c>
      <c r="R1879" s="58">
        <v>0</v>
      </c>
      <c r="S1879" s="59">
        <v>2</v>
      </c>
      <c r="V1879" s="4" t="s">
        <v>989</v>
      </c>
      <c r="AL1879" s="60" t="s">
        <v>30</v>
      </c>
      <c r="AN1879" s="4" t="s">
        <v>30</v>
      </c>
    </row>
    <row r="1880" spans="1:40" ht="24" x14ac:dyDescent="0.2">
      <c r="A1880" s="1" t="s">
        <v>916</v>
      </c>
      <c r="B1880" s="1" t="s">
        <v>1129</v>
      </c>
      <c r="C1880" s="1" t="s">
        <v>5734</v>
      </c>
      <c r="D1880" s="1">
        <v>19</v>
      </c>
      <c r="E1880" s="1">
        <v>3</v>
      </c>
      <c r="F1880" s="1" t="s">
        <v>920</v>
      </c>
      <c r="G1880" s="1" t="s">
        <v>1130</v>
      </c>
      <c r="H1880" s="1" t="s">
        <v>26</v>
      </c>
      <c r="I1880" s="1" t="s">
        <v>38</v>
      </c>
      <c r="J1880" s="1" t="s">
        <v>50</v>
      </c>
      <c r="K1880" s="4" t="s">
        <v>1131</v>
      </c>
      <c r="L1880" s="4" t="s">
        <v>1132</v>
      </c>
      <c r="M1880" s="1">
        <v>5</v>
      </c>
      <c r="P1880" s="56">
        <v>2</v>
      </c>
      <c r="Q1880" s="57">
        <v>4</v>
      </c>
      <c r="R1880" s="58">
        <v>1</v>
      </c>
      <c r="S1880" s="59">
        <v>4</v>
      </c>
      <c r="V1880" s="4" t="s">
        <v>1133</v>
      </c>
      <c r="AL1880" s="60" t="s">
        <v>30</v>
      </c>
      <c r="AN1880" s="4" t="s">
        <v>30</v>
      </c>
    </row>
    <row r="1881" spans="1:40" x14ac:dyDescent="0.2">
      <c r="A1881" s="1" t="s">
        <v>916</v>
      </c>
      <c r="B1881" s="1" t="s">
        <v>1134</v>
      </c>
      <c r="C1881" s="1" t="s">
        <v>5734</v>
      </c>
      <c r="D1881" s="1">
        <v>20</v>
      </c>
      <c r="E1881" s="1">
        <v>3</v>
      </c>
      <c r="F1881" s="1" t="s">
        <v>920</v>
      </c>
      <c r="G1881" s="1" t="s">
        <v>1135</v>
      </c>
      <c r="I1881" s="1" t="s">
        <v>38</v>
      </c>
      <c r="J1881" s="1" t="s">
        <v>50</v>
      </c>
      <c r="K1881" s="4" t="s">
        <v>1136</v>
      </c>
      <c r="L1881" s="4" t="s">
        <v>52</v>
      </c>
      <c r="M1881" s="1">
        <v>2</v>
      </c>
      <c r="P1881" s="56">
        <v>0</v>
      </c>
      <c r="Q1881" s="57">
        <v>1</v>
      </c>
      <c r="R1881" s="58">
        <v>4</v>
      </c>
      <c r="S1881" s="59">
        <v>1</v>
      </c>
      <c r="AL1881" s="60" t="s">
        <v>30</v>
      </c>
      <c r="AN1881" s="4" t="s">
        <v>30</v>
      </c>
    </row>
    <row r="1882" spans="1:40" ht="84" x14ac:dyDescent="0.2">
      <c r="A1882" s="1" t="s">
        <v>916</v>
      </c>
      <c r="B1882" s="1" t="s">
        <v>1565</v>
      </c>
      <c r="C1882" s="1" t="s">
        <v>5734</v>
      </c>
      <c r="D1882" s="1">
        <v>21</v>
      </c>
      <c r="E1882" s="1">
        <v>3</v>
      </c>
      <c r="F1882" s="1" t="s">
        <v>920</v>
      </c>
      <c r="G1882" s="1" t="s">
        <v>1566</v>
      </c>
      <c r="H1882" s="1" t="s">
        <v>26</v>
      </c>
      <c r="I1882" s="1" t="s">
        <v>38</v>
      </c>
      <c r="J1882" s="1" t="s">
        <v>50</v>
      </c>
      <c r="K1882" s="4" t="s">
        <v>1567</v>
      </c>
      <c r="L1882" s="4"/>
      <c r="M1882" s="1">
        <v>4</v>
      </c>
      <c r="P1882" s="56">
        <v>1</v>
      </c>
      <c r="Q1882" s="57">
        <v>4</v>
      </c>
      <c r="R1882" s="58">
        <v>1</v>
      </c>
      <c r="S1882" s="59">
        <v>4</v>
      </c>
      <c r="V1882" s="4" t="s">
        <v>1568</v>
      </c>
      <c r="AL1882" s="60" t="s">
        <v>30</v>
      </c>
      <c r="AN1882" s="4" t="s">
        <v>30</v>
      </c>
    </row>
    <row r="1883" spans="1:40" ht="24" x14ac:dyDescent="0.2">
      <c r="A1883" s="1" t="s">
        <v>916</v>
      </c>
      <c r="B1883" s="1" t="s">
        <v>1003</v>
      </c>
      <c r="C1883" s="1" t="s">
        <v>5734</v>
      </c>
      <c r="D1883" s="1">
        <v>22</v>
      </c>
      <c r="E1883" s="1">
        <v>3</v>
      </c>
      <c r="F1883" s="1" t="s">
        <v>920</v>
      </c>
      <c r="G1883" s="1" t="s">
        <v>1004</v>
      </c>
      <c r="H1883" s="1" t="s">
        <v>26</v>
      </c>
      <c r="I1883" s="1" t="s">
        <v>38</v>
      </c>
      <c r="J1883" s="1" t="s">
        <v>39</v>
      </c>
      <c r="K1883" s="4" t="s">
        <v>1005</v>
      </c>
      <c r="L1883" s="4"/>
      <c r="M1883" s="1">
        <v>3</v>
      </c>
      <c r="P1883" s="56">
        <v>2</v>
      </c>
      <c r="Q1883" s="57">
        <v>1</v>
      </c>
      <c r="R1883" s="58">
        <v>1</v>
      </c>
      <c r="S1883" s="59">
        <v>2</v>
      </c>
      <c r="V1883" s="4" t="s">
        <v>1006</v>
      </c>
      <c r="AL1883" s="60" t="s">
        <v>30</v>
      </c>
      <c r="AN1883" s="4" t="s">
        <v>30</v>
      </c>
    </row>
    <row r="1884" spans="1:40" ht="24" x14ac:dyDescent="0.2">
      <c r="A1884" s="1" t="s">
        <v>916</v>
      </c>
      <c r="B1884" s="1" t="s">
        <v>1507</v>
      </c>
      <c r="C1884" s="1" t="s">
        <v>5734</v>
      </c>
      <c r="D1884" s="1">
        <v>23</v>
      </c>
      <c r="E1884" s="1">
        <v>3</v>
      </c>
      <c r="F1884" s="1" t="s">
        <v>920</v>
      </c>
      <c r="G1884" s="1" t="s">
        <v>1508</v>
      </c>
      <c r="I1884" s="1" t="s">
        <v>38</v>
      </c>
      <c r="J1884" s="1" t="s">
        <v>39</v>
      </c>
      <c r="K1884" s="4" t="s">
        <v>283</v>
      </c>
      <c r="L1884" s="4"/>
      <c r="M1884" s="1">
        <v>2</v>
      </c>
      <c r="P1884" s="56">
        <v>1</v>
      </c>
      <c r="Q1884" s="57">
        <v>1</v>
      </c>
      <c r="R1884" s="58">
        <v>2</v>
      </c>
      <c r="S1884" s="59">
        <v>2</v>
      </c>
      <c r="V1884" s="4" t="s">
        <v>1509</v>
      </c>
      <c r="AL1884" s="60" t="s">
        <v>30</v>
      </c>
      <c r="AN1884" s="4" t="s">
        <v>30</v>
      </c>
    </row>
    <row r="1885" spans="1:40" ht="60" x14ac:dyDescent="0.2">
      <c r="A1885" s="1" t="s">
        <v>916</v>
      </c>
      <c r="B1885" s="1" t="s">
        <v>1086</v>
      </c>
      <c r="C1885" s="1" t="s">
        <v>5734</v>
      </c>
      <c r="D1885" s="1">
        <v>24</v>
      </c>
      <c r="E1885" s="1">
        <v>3</v>
      </c>
      <c r="F1885" s="1" t="s">
        <v>920</v>
      </c>
      <c r="G1885" s="1" t="s">
        <v>1087</v>
      </c>
      <c r="H1885" s="1" t="s">
        <v>26</v>
      </c>
      <c r="I1885" s="1" t="s">
        <v>38</v>
      </c>
      <c r="J1885" s="1" t="s">
        <v>39</v>
      </c>
      <c r="K1885" s="4" t="s">
        <v>283</v>
      </c>
      <c r="L1885" s="4"/>
      <c r="M1885" s="1">
        <v>3</v>
      </c>
      <c r="P1885" s="56">
        <v>1</v>
      </c>
      <c r="Q1885" s="57">
        <v>1</v>
      </c>
      <c r="R1885" s="58">
        <v>1</v>
      </c>
      <c r="S1885" s="59">
        <v>3</v>
      </c>
      <c r="V1885" s="4" t="s">
        <v>1088</v>
      </c>
      <c r="AL1885" s="60" t="s">
        <v>30</v>
      </c>
      <c r="AN1885" s="4" t="s">
        <v>30</v>
      </c>
    </row>
    <row r="1886" spans="1:40" ht="36" x14ac:dyDescent="0.2">
      <c r="A1886" s="1" t="s">
        <v>916</v>
      </c>
      <c r="B1886" s="1" t="s">
        <v>1510</v>
      </c>
      <c r="C1886" s="1" t="s">
        <v>5734</v>
      </c>
      <c r="D1886" s="1">
        <v>25</v>
      </c>
      <c r="E1886" s="1">
        <v>3</v>
      </c>
      <c r="F1886" s="1" t="s">
        <v>920</v>
      </c>
      <c r="G1886" s="1" t="s">
        <v>1511</v>
      </c>
      <c r="I1886" s="1" t="s">
        <v>38</v>
      </c>
      <c r="J1886" s="1" t="s">
        <v>39</v>
      </c>
      <c r="K1886" s="4" t="s">
        <v>1512</v>
      </c>
      <c r="L1886" s="4" t="s">
        <v>171</v>
      </c>
      <c r="M1886" s="1">
        <v>2</v>
      </c>
      <c r="P1886" s="56">
        <v>1</v>
      </c>
      <c r="Q1886" s="57">
        <v>1</v>
      </c>
      <c r="R1886" s="58">
        <v>0</v>
      </c>
      <c r="S1886" s="59">
        <v>2</v>
      </c>
      <c r="V1886" s="4" t="s">
        <v>1513</v>
      </c>
      <c r="AL1886" s="60" t="s">
        <v>30</v>
      </c>
      <c r="AN1886" s="4" t="s">
        <v>30</v>
      </c>
    </row>
    <row r="1887" spans="1:40" ht="24" x14ac:dyDescent="0.2">
      <c r="A1887" s="1" t="s">
        <v>916</v>
      </c>
      <c r="B1887" s="1" t="s">
        <v>1188</v>
      </c>
      <c r="C1887" s="1" t="s">
        <v>5734</v>
      </c>
      <c r="D1887" s="1">
        <v>26</v>
      </c>
      <c r="E1887" s="1">
        <v>3</v>
      </c>
      <c r="F1887" s="1" t="s">
        <v>920</v>
      </c>
      <c r="G1887" s="1" t="s">
        <v>1189</v>
      </c>
      <c r="H1887" s="1" t="s">
        <v>26</v>
      </c>
      <c r="I1887" s="1" t="s">
        <v>38</v>
      </c>
      <c r="J1887" s="1" t="s">
        <v>39</v>
      </c>
      <c r="K1887" s="4" t="s">
        <v>1190</v>
      </c>
      <c r="L1887" s="4"/>
      <c r="M1887" s="1">
        <v>2</v>
      </c>
      <c r="P1887" s="56">
        <v>2</v>
      </c>
      <c r="Q1887" s="57">
        <v>1</v>
      </c>
      <c r="R1887" s="58">
        <v>1</v>
      </c>
      <c r="S1887" s="59">
        <v>2</v>
      </c>
      <c r="V1887" s="4" t="s">
        <v>1191</v>
      </c>
      <c r="AL1887" s="60" t="s">
        <v>30</v>
      </c>
      <c r="AN1887" s="4" t="s">
        <v>30</v>
      </c>
    </row>
    <row r="1888" spans="1:40" ht="36" x14ac:dyDescent="0.2">
      <c r="A1888" s="1" t="s">
        <v>916</v>
      </c>
      <c r="B1888" s="1" t="s">
        <v>1265</v>
      </c>
      <c r="C1888" s="1" t="s">
        <v>5734</v>
      </c>
      <c r="D1888" s="1">
        <v>27</v>
      </c>
      <c r="E1888" s="1">
        <v>3</v>
      </c>
      <c r="F1888" s="1" t="s">
        <v>920</v>
      </c>
      <c r="G1888" s="1" t="s">
        <v>1266</v>
      </c>
      <c r="H1888" s="1" t="s">
        <v>26</v>
      </c>
      <c r="I1888" s="1" t="s">
        <v>38</v>
      </c>
      <c r="J1888" s="1" t="s">
        <v>57</v>
      </c>
      <c r="K1888" s="4" t="s">
        <v>1267</v>
      </c>
      <c r="L1888" s="4"/>
      <c r="M1888" s="1">
        <v>3</v>
      </c>
      <c r="P1888" s="56">
        <v>3</v>
      </c>
      <c r="Q1888" s="57">
        <v>0</v>
      </c>
      <c r="R1888" s="58">
        <v>0</v>
      </c>
      <c r="S1888" s="59">
        <v>1</v>
      </c>
      <c r="V1888" s="4" t="s">
        <v>1268</v>
      </c>
      <c r="AL1888" s="60" t="s">
        <v>30</v>
      </c>
      <c r="AN1888" s="4" t="s">
        <v>30</v>
      </c>
    </row>
    <row r="1889" spans="1:40" x14ac:dyDescent="0.2">
      <c r="A1889" s="1" t="s">
        <v>916</v>
      </c>
      <c r="B1889" s="1" t="s">
        <v>1173</v>
      </c>
      <c r="C1889" s="1" t="s">
        <v>5734</v>
      </c>
      <c r="D1889" s="1">
        <v>28</v>
      </c>
      <c r="E1889" s="1">
        <v>3</v>
      </c>
      <c r="F1889" s="1" t="s">
        <v>920</v>
      </c>
      <c r="G1889" s="1" t="s">
        <v>1174</v>
      </c>
      <c r="H1889" s="1" t="s">
        <v>26</v>
      </c>
      <c r="I1889" s="1" t="s">
        <v>38</v>
      </c>
      <c r="J1889" s="1" t="s">
        <v>50</v>
      </c>
      <c r="K1889" s="4" t="s">
        <v>1094</v>
      </c>
      <c r="L1889" s="4"/>
      <c r="M1889" s="1">
        <v>3</v>
      </c>
      <c r="P1889" s="56">
        <v>1</v>
      </c>
      <c r="Q1889" s="57">
        <v>1</v>
      </c>
      <c r="R1889" s="58">
        <v>2</v>
      </c>
      <c r="S1889" s="59">
        <v>3</v>
      </c>
      <c r="V1889" s="4" t="s">
        <v>1175</v>
      </c>
      <c r="AL1889" s="60" t="s">
        <v>30</v>
      </c>
      <c r="AN1889" s="4" t="s">
        <v>30</v>
      </c>
    </row>
    <row r="1890" spans="1:40" ht="36" x14ac:dyDescent="0.2">
      <c r="A1890" s="1" t="s">
        <v>916</v>
      </c>
      <c r="B1890" s="1" t="s">
        <v>1375</v>
      </c>
      <c r="C1890" s="1" t="s">
        <v>5734</v>
      </c>
      <c r="D1890" s="1">
        <v>29</v>
      </c>
      <c r="E1890" s="1">
        <v>3</v>
      </c>
      <c r="F1890" s="1" t="s">
        <v>920</v>
      </c>
      <c r="G1890" s="1" t="s">
        <v>1376</v>
      </c>
      <c r="H1890" s="1" t="s">
        <v>26</v>
      </c>
      <c r="I1890" s="1" t="s">
        <v>38</v>
      </c>
      <c r="J1890" s="1" t="s">
        <v>57</v>
      </c>
      <c r="K1890" s="4" t="s">
        <v>1063</v>
      </c>
      <c r="L1890" s="4"/>
      <c r="M1890" s="1">
        <v>2</v>
      </c>
      <c r="P1890" s="56">
        <v>1</v>
      </c>
      <c r="Q1890" s="57">
        <v>1</v>
      </c>
      <c r="R1890" s="58">
        <v>1</v>
      </c>
      <c r="S1890" s="59">
        <v>2</v>
      </c>
      <c r="V1890" s="4" t="s">
        <v>1377</v>
      </c>
      <c r="AL1890" s="60" t="s">
        <v>30</v>
      </c>
      <c r="AN1890" s="4" t="s">
        <v>30</v>
      </c>
    </row>
    <row r="1891" spans="1:40" ht="36" x14ac:dyDescent="0.2">
      <c r="A1891" s="1" t="s">
        <v>916</v>
      </c>
      <c r="B1891" s="1" t="s">
        <v>974</v>
      </c>
      <c r="C1891" s="1" t="s">
        <v>5734</v>
      </c>
      <c r="D1891" s="1">
        <v>30</v>
      </c>
      <c r="E1891" s="1">
        <v>3</v>
      </c>
      <c r="F1891" s="1" t="s">
        <v>920</v>
      </c>
      <c r="G1891" s="1" t="s">
        <v>975</v>
      </c>
      <c r="H1891" s="1" t="s">
        <v>26</v>
      </c>
      <c r="I1891" s="1" t="s">
        <v>38</v>
      </c>
      <c r="J1891" s="1" t="s">
        <v>28</v>
      </c>
      <c r="K1891" s="4" t="s">
        <v>976</v>
      </c>
      <c r="L1891" s="4"/>
      <c r="M1891" s="1">
        <v>3</v>
      </c>
      <c r="P1891" s="56">
        <v>1</v>
      </c>
      <c r="Q1891" s="57">
        <v>2</v>
      </c>
      <c r="R1891" s="58">
        <v>1</v>
      </c>
      <c r="S1891" s="59">
        <v>2</v>
      </c>
      <c r="V1891" s="4" t="s">
        <v>977</v>
      </c>
      <c r="AL1891" s="60" t="s">
        <v>30</v>
      </c>
      <c r="AN1891" s="4" t="s">
        <v>30</v>
      </c>
    </row>
    <row r="1892" spans="1:40" ht="24" x14ac:dyDescent="0.2">
      <c r="A1892" s="1" t="s">
        <v>916</v>
      </c>
      <c r="B1892" s="1" t="s">
        <v>1475</v>
      </c>
      <c r="C1892" s="1" t="s">
        <v>5734</v>
      </c>
      <c r="D1892" s="1">
        <v>31</v>
      </c>
      <c r="E1892" s="1">
        <v>3</v>
      </c>
      <c r="F1892" s="1" t="s">
        <v>920</v>
      </c>
      <c r="G1892" s="1" t="s">
        <v>1476</v>
      </c>
      <c r="H1892" s="1" t="s">
        <v>26</v>
      </c>
      <c r="I1892" s="1" t="s">
        <v>38</v>
      </c>
      <c r="J1892" s="1" t="s">
        <v>28</v>
      </c>
      <c r="K1892" s="4" t="s">
        <v>1063</v>
      </c>
      <c r="L1892" s="4" t="s">
        <v>52</v>
      </c>
      <c r="M1892" s="1">
        <v>3</v>
      </c>
      <c r="P1892" s="56">
        <v>1</v>
      </c>
      <c r="Q1892" s="57">
        <v>1</v>
      </c>
      <c r="R1892" s="58">
        <v>3</v>
      </c>
      <c r="S1892" s="59">
        <v>3</v>
      </c>
      <c r="V1892" s="4" t="s">
        <v>1477</v>
      </c>
      <c r="AL1892" s="60" t="s">
        <v>30</v>
      </c>
      <c r="AN1892" s="4" t="s">
        <v>30</v>
      </c>
    </row>
    <row r="1893" spans="1:40" ht="24" x14ac:dyDescent="0.2">
      <c r="A1893" s="1" t="s">
        <v>916</v>
      </c>
      <c r="B1893" s="1" t="s">
        <v>1061</v>
      </c>
      <c r="C1893" s="1" t="s">
        <v>5734</v>
      </c>
      <c r="D1893" s="1">
        <v>32</v>
      </c>
      <c r="E1893" s="1">
        <v>3</v>
      </c>
      <c r="F1893" s="1" t="s">
        <v>920</v>
      </c>
      <c r="G1893" s="1" t="s">
        <v>1062</v>
      </c>
      <c r="H1893" s="1" t="s">
        <v>26</v>
      </c>
      <c r="I1893" s="1" t="s">
        <v>38</v>
      </c>
      <c r="J1893" s="1" t="s">
        <v>57</v>
      </c>
      <c r="K1893" s="4" t="s">
        <v>1063</v>
      </c>
      <c r="L1893" s="4"/>
      <c r="M1893" s="1">
        <v>3</v>
      </c>
      <c r="P1893" s="56">
        <v>2</v>
      </c>
      <c r="Q1893" s="57">
        <v>0</v>
      </c>
      <c r="R1893" s="58">
        <v>1</v>
      </c>
      <c r="S1893" s="59">
        <v>2</v>
      </c>
      <c r="V1893" s="4" t="s">
        <v>1064</v>
      </c>
      <c r="AL1893" s="60" t="s">
        <v>30</v>
      </c>
      <c r="AN1893" s="4" t="s">
        <v>30</v>
      </c>
    </row>
    <row r="1894" spans="1:40" ht="48" x14ac:dyDescent="0.2">
      <c r="A1894" s="1" t="s">
        <v>916</v>
      </c>
      <c r="B1894" s="1" t="s">
        <v>1202</v>
      </c>
      <c r="C1894" s="1" t="s">
        <v>5734</v>
      </c>
      <c r="D1894" s="1">
        <v>33</v>
      </c>
      <c r="E1894" s="1">
        <v>3</v>
      </c>
      <c r="F1894" s="1" t="s">
        <v>920</v>
      </c>
      <c r="G1894" s="1" t="s">
        <v>1203</v>
      </c>
      <c r="H1894" s="1" t="s">
        <v>26</v>
      </c>
      <c r="I1894" s="1" t="s">
        <v>38</v>
      </c>
      <c r="J1894" s="1" t="s">
        <v>57</v>
      </c>
      <c r="K1894" s="4" t="s">
        <v>976</v>
      </c>
      <c r="L1894" s="4"/>
      <c r="M1894" s="1">
        <v>4</v>
      </c>
      <c r="P1894" s="56">
        <v>3</v>
      </c>
      <c r="Q1894" s="57">
        <v>1</v>
      </c>
      <c r="R1894" s="58">
        <v>1</v>
      </c>
      <c r="S1894" s="59">
        <v>3</v>
      </c>
      <c r="V1894" s="4" t="s">
        <v>1204</v>
      </c>
      <c r="AL1894" s="60" t="s">
        <v>30</v>
      </c>
      <c r="AN1894" s="4" t="s">
        <v>30</v>
      </c>
    </row>
    <row r="1895" spans="1:40" ht="24" x14ac:dyDescent="0.2">
      <c r="A1895" s="1" t="s">
        <v>916</v>
      </c>
      <c r="B1895" s="1" t="s">
        <v>978</v>
      </c>
      <c r="C1895" s="1" t="s">
        <v>5734</v>
      </c>
      <c r="D1895" s="1">
        <v>34</v>
      </c>
      <c r="E1895" s="1">
        <v>3</v>
      </c>
      <c r="F1895" s="1" t="s">
        <v>920</v>
      </c>
      <c r="G1895" s="1" t="s">
        <v>979</v>
      </c>
      <c r="H1895" s="1" t="s">
        <v>26</v>
      </c>
      <c r="I1895" s="1" t="s">
        <v>38</v>
      </c>
      <c r="J1895" s="1" t="s">
        <v>57</v>
      </c>
      <c r="K1895" s="4" t="s">
        <v>980</v>
      </c>
      <c r="L1895" s="4"/>
      <c r="M1895" s="1">
        <v>1</v>
      </c>
      <c r="P1895" s="56">
        <v>2</v>
      </c>
      <c r="Q1895" s="57">
        <v>0</v>
      </c>
      <c r="R1895" s="58">
        <v>0</v>
      </c>
      <c r="S1895" s="59">
        <v>2</v>
      </c>
      <c r="V1895" s="4" t="s">
        <v>981</v>
      </c>
      <c r="AL1895" s="60" t="s">
        <v>30</v>
      </c>
      <c r="AN1895" s="4" t="s">
        <v>30</v>
      </c>
    </row>
    <row r="1896" spans="1:40" ht="24" x14ac:dyDescent="0.2">
      <c r="A1896" s="1" t="s">
        <v>916</v>
      </c>
      <c r="B1896" s="1" t="s">
        <v>1451</v>
      </c>
      <c r="C1896" s="1" t="s">
        <v>5734</v>
      </c>
      <c r="D1896" s="1">
        <v>35</v>
      </c>
      <c r="E1896" s="1">
        <v>3</v>
      </c>
      <c r="F1896" s="1" t="s">
        <v>920</v>
      </c>
      <c r="G1896" s="1" t="s">
        <v>1452</v>
      </c>
      <c r="H1896" s="1" t="s">
        <v>26</v>
      </c>
      <c r="I1896" s="1" t="s">
        <v>38</v>
      </c>
      <c r="J1896" s="1" t="s">
        <v>50</v>
      </c>
      <c r="K1896" s="4" t="s">
        <v>358</v>
      </c>
      <c r="L1896" s="4"/>
      <c r="M1896" s="1">
        <v>4</v>
      </c>
      <c r="P1896" s="56">
        <v>1</v>
      </c>
      <c r="Q1896" s="57">
        <v>3</v>
      </c>
      <c r="R1896" s="58">
        <v>2</v>
      </c>
      <c r="S1896" s="59">
        <v>4</v>
      </c>
      <c r="V1896" s="4" t="s">
        <v>1453</v>
      </c>
      <c r="AL1896" s="60" t="s">
        <v>30</v>
      </c>
      <c r="AN1896" s="4" t="s">
        <v>30</v>
      </c>
    </row>
    <row r="1897" spans="1:40" ht="48" x14ac:dyDescent="0.2">
      <c r="A1897" s="1" t="s">
        <v>916</v>
      </c>
      <c r="B1897" s="1" t="s">
        <v>996</v>
      </c>
      <c r="C1897" s="1" t="s">
        <v>5734</v>
      </c>
      <c r="D1897" s="1">
        <v>36</v>
      </c>
      <c r="E1897" s="1">
        <v>3</v>
      </c>
      <c r="F1897" s="1" t="s">
        <v>920</v>
      </c>
      <c r="G1897" s="1" t="s">
        <v>997</v>
      </c>
      <c r="H1897" s="1" t="s">
        <v>26</v>
      </c>
      <c r="I1897" s="1" t="s">
        <v>56</v>
      </c>
      <c r="J1897" s="1" t="s">
        <v>28</v>
      </c>
      <c r="K1897" s="4" t="s">
        <v>298</v>
      </c>
      <c r="L1897" s="4"/>
      <c r="M1897" s="1">
        <v>2</v>
      </c>
      <c r="V1897" s="4" t="s">
        <v>998</v>
      </c>
      <c r="AL1897" s="60" t="s">
        <v>30</v>
      </c>
      <c r="AN1897" s="4" t="s">
        <v>30</v>
      </c>
    </row>
    <row r="1898" spans="1:40" ht="36" x14ac:dyDescent="0.2">
      <c r="A1898" s="1" t="s">
        <v>916</v>
      </c>
      <c r="B1898" s="1" t="s">
        <v>1344</v>
      </c>
      <c r="C1898" s="1" t="s">
        <v>5734</v>
      </c>
      <c r="D1898" s="1">
        <v>37</v>
      </c>
      <c r="E1898" s="1">
        <v>3</v>
      </c>
      <c r="F1898" s="1" t="s">
        <v>920</v>
      </c>
      <c r="G1898" s="1" t="s">
        <v>1345</v>
      </c>
      <c r="I1898" s="1" t="s">
        <v>56</v>
      </c>
      <c r="J1898" s="1" t="s">
        <v>57</v>
      </c>
      <c r="K1898" s="4" t="s">
        <v>298</v>
      </c>
      <c r="L1898" s="4"/>
      <c r="M1898" s="1">
        <v>1</v>
      </c>
      <c r="V1898" s="4" t="s">
        <v>1346</v>
      </c>
      <c r="AL1898" s="60" t="s">
        <v>30</v>
      </c>
      <c r="AN1898" s="4" t="s">
        <v>30</v>
      </c>
    </row>
    <row r="1899" spans="1:40" ht="84" x14ac:dyDescent="0.2">
      <c r="A1899" s="1" t="s">
        <v>916</v>
      </c>
      <c r="B1899" s="1" t="s">
        <v>1075</v>
      </c>
      <c r="C1899" s="1" t="s">
        <v>5734</v>
      </c>
      <c r="D1899" s="1">
        <v>38</v>
      </c>
      <c r="E1899" s="1">
        <v>3</v>
      </c>
      <c r="F1899" s="1" t="s">
        <v>920</v>
      </c>
      <c r="G1899" s="1" t="s">
        <v>1076</v>
      </c>
      <c r="H1899" s="1" t="s">
        <v>26</v>
      </c>
      <c r="I1899" s="1" t="s">
        <v>56</v>
      </c>
      <c r="J1899" s="1" t="s">
        <v>57</v>
      </c>
      <c r="K1899" s="4" t="s">
        <v>1077</v>
      </c>
      <c r="L1899" s="4"/>
      <c r="M1899" s="1">
        <v>2</v>
      </c>
      <c r="V1899" s="4" t="s">
        <v>1078</v>
      </c>
      <c r="AL1899" s="60" t="s">
        <v>30</v>
      </c>
      <c r="AN1899" s="4" t="s">
        <v>30</v>
      </c>
    </row>
    <row r="1900" spans="1:40" ht="48" x14ac:dyDescent="0.2">
      <c r="A1900" s="1" t="s">
        <v>916</v>
      </c>
      <c r="B1900" s="1" t="s">
        <v>999</v>
      </c>
      <c r="C1900" s="1" t="s">
        <v>5734</v>
      </c>
      <c r="D1900" s="1">
        <v>39</v>
      </c>
      <c r="E1900" s="1">
        <v>3</v>
      </c>
      <c r="F1900" s="1" t="s">
        <v>920</v>
      </c>
      <c r="G1900" s="1" t="s">
        <v>1000</v>
      </c>
      <c r="H1900" s="1" t="s">
        <v>26</v>
      </c>
      <c r="I1900" s="1" t="s">
        <v>56</v>
      </c>
      <c r="J1900" s="1" t="s">
        <v>57</v>
      </c>
      <c r="K1900" s="4" t="s">
        <v>1001</v>
      </c>
      <c r="L1900" s="4"/>
      <c r="M1900" s="1">
        <v>2</v>
      </c>
      <c r="V1900" s="4" t="s">
        <v>1002</v>
      </c>
      <c r="AL1900" s="60" t="s">
        <v>30</v>
      </c>
      <c r="AN1900" s="4" t="s">
        <v>30</v>
      </c>
    </row>
    <row r="1901" spans="1:40" ht="48" x14ac:dyDescent="0.2">
      <c r="A1901" s="1" t="s">
        <v>916</v>
      </c>
      <c r="B1901" s="1" t="s">
        <v>1208</v>
      </c>
      <c r="C1901" s="1" t="s">
        <v>5734</v>
      </c>
      <c r="D1901" s="1">
        <v>40</v>
      </c>
      <c r="E1901" s="1">
        <v>3</v>
      </c>
      <c r="F1901" s="1" t="s">
        <v>920</v>
      </c>
      <c r="G1901" s="1" t="s">
        <v>1209</v>
      </c>
      <c r="H1901" s="1" t="s">
        <v>26</v>
      </c>
      <c r="I1901" s="1" t="s">
        <v>56</v>
      </c>
      <c r="J1901" s="1" t="s">
        <v>28</v>
      </c>
      <c r="K1901" s="4" t="s">
        <v>1210</v>
      </c>
      <c r="L1901" s="4"/>
      <c r="M1901" s="1">
        <v>2</v>
      </c>
      <c r="V1901" s="4" t="s">
        <v>1211</v>
      </c>
      <c r="AL1901" s="60" t="s">
        <v>30</v>
      </c>
      <c r="AN1901" s="4" t="s">
        <v>30</v>
      </c>
    </row>
    <row r="1902" spans="1:40" ht="108" x14ac:dyDescent="0.2">
      <c r="A1902" s="1" t="s">
        <v>916</v>
      </c>
      <c r="B1902" s="1" t="s">
        <v>1484</v>
      </c>
      <c r="C1902" s="1" t="s">
        <v>5734</v>
      </c>
      <c r="D1902" s="1">
        <v>41</v>
      </c>
      <c r="E1902" s="1">
        <v>3</v>
      </c>
      <c r="F1902" s="1" t="s">
        <v>920</v>
      </c>
      <c r="G1902" s="1" t="s">
        <v>1485</v>
      </c>
      <c r="I1902" s="1" t="s">
        <v>56</v>
      </c>
      <c r="J1902" s="1" t="s">
        <v>28</v>
      </c>
      <c r="K1902" s="4" t="s">
        <v>1159</v>
      </c>
      <c r="L1902" s="4"/>
      <c r="M1902" s="1">
        <v>1</v>
      </c>
      <c r="V1902" s="4" t="s">
        <v>1486</v>
      </c>
      <c r="AL1902" s="60" t="s">
        <v>30</v>
      </c>
      <c r="AN1902" s="4" t="s">
        <v>30</v>
      </c>
    </row>
    <row r="1903" spans="1:40" ht="84" x14ac:dyDescent="0.2">
      <c r="A1903" s="1" t="s">
        <v>916</v>
      </c>
      <c r="B1903" s="1" t="s">
        <v>1334</v>
      </c>
      <c r="C1903" s="1" t="s">
        <v>5734</v>
      </c>
      <c r="D1903" s="1">
        <v>42</v>
      </c>
      <c r="E1903" s="1">
        <v>3</v>
      </c>
      <c r="F1903" s="1" t="s">
        <v>920</v>
      </c>
      <c r="G1903" s="1" t="s">
        <v>1335</v>
      </c>
      <c r="I1903" s="1" t="s">
        <v>56</v>
      </c>
      <c r="J1903" s="1" t="s">
        <v>50</v>
      </c>
      <c r="K1903" s="4" t="s">
        <v>1336</v>
      </c>
      <c r="L1903" s="4"/>
      <c r="M1903" s="1">
        <v>2</v>
      </c>
      <c r="V1903" s="4" t="s">
        <v>1337</v>
      </c>
      <c r="AL1903" s="60" t="s">
        <v>30</v>
      </c>
      <c r="AN1903" s="4" t="s">
        <v>30</v>
      </c>
    </row>
    <row r="1904" spans="1:40" ht="84" x14ac:dyDescent="0.2">
      <c r="A1904" s="1" t="s">
        <v>916</v>
      </c>
      <c r="B1904" s="1" t="s">
        <v>1157</v>
      </c>
      <c r="C1904" s="1" t="s">
        <v>5734</v>
      </c>
      <c r="D1904" s="1">
        <v>43</v>
      </c>
      <c r="E1904" s="1">
        <v>3</v>
      </c>
      <c r="F1904" s="1" t="s">
        <v>920</v>
      </c>
      <c r="G1904" s="1" t="s">
        <v>1158</v>
      </c>
      <c r="I1904" s="1" t="s">
        <v>56</v>
      </c>
      <c r="J1904" s="1" t="s">
        <v>39</v>
      </c>
      <c r="K1904" s="4" t="s">
        <v>1159</v>
      </c>
      <c r="L1904" s="4"/>
      <c r="M1904" s="1">
        <v>0</v>
      </c>
      <c r="V1904" s="4" t="s">
        <v>1160</v>
      </c>
      <c r="AL1904" s="60" t="s">
        <v>30</v>
      </c>
      <c r="AN1904" s="4" t="s">
        <v>30</v>
      </c>
    </row>
    <row r="1905" spans="1:40" ht="84" x14ac:dyDescent="0.2">
      <c r="A1905" s="1" t="s">
        <v>916</v>
      </c>
      <c r="B1905" s="1" t="s">
        <v>1154</v>
      </c>
      <c r="C1905" s="1" t="s">
        <v>5734</v>
      </c>
      <c r="D1905" s="1">
        <v>44</v>
      </c>
      <c r="E1905" s="1">
        <v>3</v>
      </c>
      <c r="F1905" s="1" t="s">
        <v>920</v>
      </c>
      <c r="G1905" s="1" t="s">
        <v>1155</v>
      </c>
      <c r="H1905" s="1" t="s">
        <v>26</v>
      </c>
      <c r="I1905" s="1" t="s">
        <v>56</v>
      </c>
      <c r="J1905" s="1" t="s">
        <v>39</v>
      </c>
      <c r="K1905" s="4" t="s">
        <v>261</v>
      </c>
      <c r="L1905" s="4"/>
      <c r="M1905" s="1">
        <v>1</v>
      </c>
      <c r="V1905" s="4" t="s">
        <v>1156</v>
      </c>
      <c r="AL1905" s="60" t="s">
        <v>30</v>
      </c>
      <c r="AN1905" s="4" t="s">
        <v>30</v>
      </c>
    </row>
    <row r="1906" spans="1:40" ht="48" x14ac:dyDescent="0.2">
      <c r="A1906" s="1" t="s">
        <v>916</v>
      </c>
      <c r="B1906" s="1" t="s">
        <v>1114</v>
      </c>
      <c r="C1906" s="1" t="s">
        <v>5734</v>
      </c>
      <c r="D1906" s="1">
        <v>45</v>
      </c>
      <c r="E1906" s="1">
        <v>3</v>
      </c>
      <c r="F1906" s="1" t="s">
        <v>920</v>
      </c>
      <c r="G1906" s="1" t="s">
        <v>1115</v>
      </c>
      <c r="I1906" s="1" t="s">
        <v>56</v>
      </c>
      <c r="J1906" s="1" t="s">
        <v>39</v>
      </c>
      <c r="K1906" s="4" t="s">
        <v>1116</v>
      </c>
      <c r="L1906" s="4"/>
      <c r="M1906" s="1">
        <v>1</v>
      </c>
      <c r="V1906" s="4" t="s">
        <v>1117</v>
      </c>
      <c r="AL1906" s="60" t="s">
        <v>30</v>
      </c>
      <c r="AN1906" s="4" t="s">
        <v>30</v>
      </c>
    </row>
    <row r="1907" spans="1:40" ht="48" x14ac:dyDescent="0.2">
      <c r="A1907" s="1" t="s">
        <v>916</v>
      </c>
      <c r="B1907" s="1" t="s">
        <v>1165</v>
      </c>
      <c r="C1907" s="1" t="s">
        <v>5734</v>
      </c>
      <c r="D1907" s="1">
        <v>46</v>
      </c>
      <c r="E1907" s="1">
        <v>3</v>
      </c>
      <c r="F1907" s="1" t="s">
        <v>920</v>
      </c>
      <c r="G1907" s="1" t="s">
        <v>1166</v>
      </c>
      <c r="I1907" s="1" t="s">
        <v>56</v>
      </c>
      <c r="J1907" s="1" t="s">
        <v>44</v>
      </c>
      <c r="K1907" s="4" t="s">
        <v>261</v>
      </c>
      <c r="L1907" s="4" t="s">
        <v>1167</v>
      </c>
      <c r="M1907" s="1">
        <v>0</v>
      </c>
      <c r="V1907" s="4" t="s">
        <v>1168</v>
      </c>
      <c r="AL1907" s="60" t="s">
        <v>30</v>
      </c>
      <c r="AN1907" s="4" t="s">
        <v>30</v>
      </c>
    </row>
    <row r="1908" spans="1:40" ht="48" x14ac:dyDescent="0.2">
      <c r="A1908" s="1" t="s">
        <v>916</v>
      </c>
      <c r="B1908" s="1" t="s">
        <v>1429</v>
      </c>
      <c r="C1908" s="1" t="s">
        <v>5734</v>
      </c>
      <c r="D1908" s="1">
        <v>47</v>
      </c>
      <c r="E1908" s="1">
        <v>3</v>
      </c>
      <c r="F1908" s="1" t="s">
        <v>920</v>
      </c>
      <c r="G1908" s="1" t="s">
        <v>1430</v>
      </c>
      <c r="I1908" s="1" t="s">
        <v>56</v>
      </c>
      <c r="J1908" s="1" t="s">
        <v>39</v>
      </c>
      <c r="K1908" s="4" t="s">
        <v>1084</v>
      </c>
      <c r="L1908" s="4"/>
      <c r="M1908" s="1">
        <v>3</v>
      </c>
      <c r="V1908" s="4" t="s">
        <v>1431</v>
      </c>
      <c r="AL1908" s="60" t="s">
        <v>30</v>
      </c>
      <c r="AN1908" s="4" t="s">
        <v>30</v>
      </c>
    </row>
    <row r="1909" spans="1:40" ht="48" x14ac:dyDescent="0.2">
      <c r="A1909" s="1" t="s">
        <v>916</v>
      </c>
      <c r="B1909" s="1" t="s">
        <v>1383</v>
      </c>
      <c r="C1909" s="1" t="s">
        <v>5734</v>
      </c>
      <c r="D1909" s="1">
        <v>48</v>
      </c>
      <c r="E1909" s="1">
        <v>3</v>
      </c>
      <c r="F1909" s="1" t="s">
        <v>920</v>
      </c>
      <c r="G1909" s="1" t="s">
        <v>1384</v>
      </c>
      <c r="H1909" s="1" t="s">
        <v>26</v>
      </c>
      <c r="I1909" s="1" t="s">
        <v>56</v>
      </c>
      <c r="J1909" s="1" t="s">
        <v>28</v>
      </c>
      <c r="K1909" s="4" t="s">
        <v>474</v>
      </c>
      <c r="L1909" s="4"/>
      <c r="M1909" s="1">
        <v>2</v>
      </c>
      <c r="V1909" s="4" t="s">
        <v>1385</v>
      </c>
      <c r="AL1909" s="60" t="s">
        <v>30</v>
      </c>
      <c r="AN1909" s="4" t="s">
        <v>30</v>
      </c>
    </row>
    <row r="1910" spans="1:40" ht="72" x14ac:dyDescent="0.2">
      <c r="A1910" s="1" t="s">
        <v>916</v>
      </c>
      <c r="B1910" s="1" t="s">
        <v>1273</v>
      </c>
      <c r="C1910" s="1" t="s">
        <v>5734</v>
      </c>
      <c r="D1910" s="1">
        <v>49</v>
      </c>
      <c r="E1910" s="1">
        <v>3</v>
      </c>
      <c r="F1910" s="1" t="s">
        <v>920</v>
      </c>
      <c r="G1910" s="1" t="s">
        <v>1274</v>
      </c>
      <c r="H1910" s="1" t="s">
        <v>26</v>
      </c>
      <c r="I1910" s="1" t="s">
        <v>56</v>
      </c>
      <c r="J1910" s="1" t="s">
        <v>50</v>
      </c>
      <c r="K1910" s="4" t="s">
        <v>196</v>
      </c>
      <c r="L1910" s="4"/>
      <c r="M1910" s="1">
        <v>2</v>
      </c>
      <c r="V1910" s="4" t="s">
        <v>1275</v>
      </c>
      <c r="AL1910" s="60" t="s">
        <v>30</v>
      </c>
      <c r="AN1910" s="4" t="s">
        <v>30</v>
      </c>
    </row>
    <row r="1911" spans="1:40" ht="60" x14ac:dyDescent="0.2">
      <c r="A1911" s="1" t="s">
        <v>916</v>
      </c>
      <c r="B1911" s="1" t="s">
        <v>1082</v>
      </c>
      <c r="C1911" s="1" t="s">
        <v>5734</v>
      </c>
      <c r="D1911" s="1">
        <v>50</v>
      </c>
      <c r="E1911" s="1">
        <v>3</v>
      </c>
      <c r="F1911" s="1" t="s">
        <v>920</v>
      </c>
      <c r="G1911" s="1" t="s">
        <v>1083</v>
      </c>
      <c r="H1911" s="1" t="s">
        <v>26</v>
      </c>
      <c r="I1911" s="1" t="s">
        <v>56</v>
      </c>
      <c r="J1911" s="1" t="s">
        <v>50</v>
      </c>
      <c r="K1911" s="4" t="s">
        <v>1084</v>
      </c>
      <c r="L1911" s="4"/>
      <c r="M1911" s="1">
        <v>2</v>
      </c>
      <c r="V1911" s="4" t="s">
        <v>1085</v>
      </c>
      <c r="AL1911" s="60" t="s">
        <v>30</v>
      </c>
      <c r="AN1911" s="4" t="s">
        <v>30</v>
      </c>
    </row>
    <row r="1912" spans="1:40" ht="36" x14ac:dyDescent="0.2">
      <c r="A1912" s="1" t="s">
        <v>916</v>
      </c>
      <c r="B1912" s="1" t="s">
        <v>1404</v>
      </c>
      <c r="C1912" s="1" t="s">
        <v>5734</v>
      </c>
      <c r="D1912" s="1">
        <v>51</v>
      </c>
      <c r="E1912" s="1">
        <v>3</v>
      </c>
      <c r="F1912" s="1" t="s">
        <v>920</v>
      </c>
      <c r="G1912" s="1" t="s">
        <v>1405</v>
      </c>
      <c r="H1912" s="1" t="s">
        <v>26</v>
      </c>
      <c r="I1912" s="1" t="s">
        <v>56</v>
      </c>
      <c r="J1912" s="1" t="s">
        <v>50</v>
      </c>
      <c r="K1912" s="4" t="s">
        <v>467</v>
      </c>
      <c r="L1912" s="4"/>
      <c r="M1912" s="1">
        <v>1</v>
      </c>
      <c r="V1912" s="4" t="s">
        <v>1406</v>
      </c>
      <c r="AL1912" s="60" t="s">
        <v>30</v>
      </c>
      <c r="AN1912" s="4" t="s">
        <v>30</v>
      </c>
    </row>
    <row r="1913" spans="1:40" ht="96" x14ac:dyDescent="0.2">
      <c r="A1913" s="1" t="s">
        <v>916</v>
      </c>
      <c r="B1913" s="1" t="s">
        <v>1324</v>
      </c>
      <c r="C1913" s="1" t="s">
        <v>5734</v>
      </c>
      <c r="D1913" s="1">
        <v>52</v>
      </c>
      <c r="E1913" s="1">
        <v>3</v>
      </c>
      <c r="F1913" s="1" t="s">
        <v>920</v>
      </c>
      <c r="G1913" s="1" t="s">
        <v>1325</v>
      </c>
      <c r="H1913" s="1" t="s">
        <v>26</v>
      </c>
      <c r="I1913" s="1" t="s">
        <v>56</v>
      </c>
      <c r="J1913" s="1" t="s">
        <v>50</v>
      </c>
      <c r="K1913" s="4" t="s">
        <v>1326</v>
      </c>
      <c r="L1913" s="4"/>
      <c r="M1913" s="1">
        <v>3</v>
      </c>
      <c r="V1913" s="4" t="s">
        <v>1327</v>
      </c>
      <c r="AL1913" s="60" t="s">
        <v>30</v>
      </c>
      <c r="AN1913" s="4" t="s">
        <v>30</v>
      </c>
    </row>
    <row r="1914" spans="1:40" ht="60" x14ac:dyDescent="0.2">
      <c r="A1914" s="1" t="s">
        <v>916</v>
      </c>
      <c r="B1914" s="1" t="s">
        <v>1314</v>
      </c>
      <c r="C1914" s="1" t="s">
        <v>5734</v>
      </c>
      <c r="D1914" s="1">
        <v>53</v>
      </c>
      <c r="E1914" s="1">
        <v>3</v>
      </c>
      <c r="F1914" s="1" t="s">
        <v>920</v>
      </c>
      <c r="G1914" s="1" t="s">
        <v>1315</v>
      </c>
      <c r="H1914" s="1" t="s">
        <v>26</v>
      </c>
      <c r="I1914" s="1" t="s">
        <v>56</v>
      </c>
      <c r="J1914" s="1" t="s">
        <v>57</v>
      </c>
      <c r="K1914" s="4" t="s">
        <v>474</v>
      </c>
      <c r="L1914" s="4"/>
      <c r="M1914" s="1">
        <v>0</v>
      </c>
      <c r="V1914" s="4" t="s">
        <v>1316</v>
      </c>
      <c r="AL1914" s="60" t="s">
        <v>30</v>
      </c>
      <c r="AN1914" s="4" t="s">
        <v>30</v>
      </c>
    </row>
    <row r="1915" spans="1:40" ht="60" x14ac:dyDescent="0.2">
      <c r="A1915" s="1" t="s">
        <v>916</v>
      </c>
      <c r="B1915" s="1" t="s">
        <v>1367</v>
      </c>
      <c r="C1915" s="1" t="s">
        <v>5734</v>
      </c>
      <c r="D1915" s="1">
        <v>54</v>
      </c>
      <c r="E1915" s="1">
        <v>3</v>
      </c>
      <c r="F1915" s="1" t="s">
        <v>920</v>
      </c>
      <c r="G1915" s="1" t="s">
        <v>1368</v>
      </c>
      <c r="H1915" s="1" t="s">
        <v>26</v>
      </c>
      <c r="I1915" s="1" t="s">
        <v>56</v>
      </c>
      <c r="J1915" s="1" t="s">
        <v>971</v>
      </c>
      <c r="K1915" s="4" t="s">
        <v>196</v>
      </c>
      <c r="L1915" s="4" t="s">
        <v>1369</v>
      </c>
      <c r="M1915" s="1">
        <v>2</v>
      </c>
      <c r="V1915" s="4" t="s">
        <v>1370</v>
      </c>
      <c r="AL1915" s="60" t="s">
        <v>30</v>
      </c>
      <c r="AN1915" s="4" t="s">
        <v>30</v>
      </c>
    </row>
    <row r="1916" spans="1:40" ht="36" x14ac:dyDescent="0.2">
      <c r="A1916" s="1" t="s">
        <v>916</v>
      </c>
      <c r="B1916" s="1" t="s">
        <v>1494</v>
      </c>
      <c r="C1916" s="1" t="s">
        <v>5734</v>
      </c>
      <c r="D1916" s="1">
        <v>55</v>
      </c>
      <c r="E1916" s="1">
        <v>3</v>
      </c>
      <c r="F1916" s="1" t="s">
        <v>920</v>
      </c>
      <c r="G1916" s="1" t="s">
        <v>1495</v>
      </c>
      <c r="I1916" s="1" t="s">
        <v>63</v>
      </c>
      <c r="J1916" s="1" t="s">
        <v>28</v>
      </c>
      <c r="K1916" s="4"/>
      <c r="L1916" s="4"/>
      <c r="M1916" s="1">
        <v>3</v>
      </c>
      <c r="V1916" s="4" t="s">
        <v>1496</v>
      </c>
      <c r="AL1916" s="60" t="s">
        <v>30</v>
      </c>
      <c r="AN1916" s="4" t="s">
        <v>30</v>
      </c>
    </row>
    <row r="1917" spans="1:40" ht="48" x14ac:dyDescent="0.2">
      <c r="A1917" s="1" t="s">
        <v>916</v>
      </c>
      <c r="B1917" s="1" t="s">
        <v>917</v>
      </c>
      <c r="C1917" s="1" t="s">
        <v>5734</v>
      </c>
      <c r="D1917" s="1">
        <v>56</v>
      </c>
      <c r="E1917" s="1">
        <v>3</v>
      </c>
      <c r="F1917" s="1" t="s">
        <v>920</v>
      </c>
      <c r="G1917" s="1" t="s">
        <v>918</v>
      </c>
      <c r="I1917" s="1" t="s">
        <v>63</v>
      </c>
      <c r="J1917" s="1" t="s">
        <v>57</v>
      </c>
      <c r="K1917" s="4" t="s">
        <v>261</v>
      </c>
      <c r="L1917" s="4"/>
      <c r="M1917" s="1">
        <v>3</v>
      </c>
      <c r="V1917" s="4" t="s">
        <v>919</v>
      </c>
      <c r="AL1917" s="60" t="s">
        <v>30</v>
      </c>
      <c r="AN1917" s="4" t="s">
        <v>30</v>
      </c>
    </row>
    <row r="1918" spans="1:40" x14ac:dyDescent="0.2">
      <c r="A1918" s="1" t="s">
        <v>916</v>
      </c>
      <c r="B1918" s="1" t="s">
        <v>1212</v>
      </c>
      <c r="C1918" s="1" t="s">
        <v>5734</v>
      </c>
      <c r="D1918" s="1">
        <v>57</v>
      </c>
      <c r="E1918" s="1">
        <v>3</v>
      </c>
      <c r="F1918" s="1" t="s">
        <v>920</v>
      </c>
      <c r="G1918" s="1" t="s">
        <v>1213</v>
      </c>
      <c r="I1918" s="1" t="s">
        <v>63</v>
      </c>
      <c r="J1918" s="1" t="s">
        <v>57</v>
      </c>
      <c r="K1918" s="4"/>
      <c r="L1918" s="4"/>
      <c r="M1918" s="1">
        <v>2</v>
      </c>
      <c r="V1918" s="4" t="s">
        <v>1214</v>
      </c>
      <c r="AL1918" s="60" t="s">
        <v>30</v>
      </c>
      <c r="AN1918" s="4" t="s">
        <v>30</v>
      </c>
    </row>
    <row r="1919" spans="1:40" ht="24" x14ac:dyDescent="0.2">
      <c r="A1919" s="1" t="s">
        <v>916</v>
      </c>
      <c r="B1919" s="1" t="s">
        <v>925</v>
      </c>
      <c r="C1919" s="1" t="s">
        <v>5734</v>
      </c>
      <c r="D1919" s="1">
        <v>58</v>
      </c>
      <c r="E1919" s="1">
        <v>3</v>
      </c>
      <c r="F1919" s="1" t="s">
        <v>920</v>
      </c>
      <c r="G1919" s="1" t="s">
        <v>926</v>
      </c>
      <c r="I1919" s="1" t="s">
        <v>63</v>
      </c>
      <c r="J1919" s="1" t="s">
        <v>57</v>
      </c>
      <c r="K1919" s="4" t="s">
        <v>324</v>
      </c>
      <c r="L1919" s="4"/>
      <c r="M1919" s="1">
        <v>2</v>
      </c>
      <c r="V1919" s="4" t="s">
        <v>927</v>
      </c>
      <c r="AL1919" s="60" t="s">
        <v>30</v>
      </c>
      <c r="AN1919" s="4" t="s">
        <v>30</v>
      </c>
    </row>
    <row r="1920" spans="1:40" ht="24" x14ac:dyDescent="0.2">
      <c r="A1920" s="1" t="s">
        <v>916</v>
      </c>
      <c r="B1920" s="1" t="s">
        <v>1007</v>
      </c>
      <c r="C1920" s="1" t="s">
        <v>5734</v>
      </c>
      <c r="D1920" s="1">
        <v>59</v>
      </c>
      <c r="E1920" s="1">
        <v>3</v>
      </c>
      <c r="F1920" s="1" t="s">
        <v>920</v>
      </c>
      <c r="G1920" s="1" t="s">
        <v>1008</v>
      </c>
      <c r="I1920" s="1" t="s">
        <v>63</v>
      </c>
      <c r="J1920" s="1" t="s">
        <v>57</v>
      </c>
      <c r="K1920" s="4" t="s">
        <v>324</v>
      </c>
      <c r="L1920" s="4"/>
      <c r="M1920" s="1">
        <v>1</v>
      </c>
      <c r="V1920" s="4" t="s">
        <v>1009</v>
      </c>
      <c r="AL1920" s="60" t="s">
        <v>30</v>
      </c>
      <c r="AN1920" s="4" t="s">
        <v>30</v>
      </c>
    </row>
    <row r="1921" spans="1:40" ht="36" x14ac:dyDescent="0.2">
      <c r="A1921" s="1" t="s">
        <v>916</v>
      </c>
      <c r="B1921" s="1" t="s">
        <v>1258</v>
      </c>
      <c r="C1921" s="1" t="s">
        <v>5734</v>
      </c>
      <c r="D1921" s="1">
        <v>60</v>
      </c>
      <c r="E1921" s="1">
        <v>3</v>
      </c>
      <c r="F1921" s="1" t="s">
        <v>920</v>
      </c>
      <c r="G1921" s="1" t="s">
        <v>1259</v>
      </c>
      <c r="I1921" s="1" t="s">
        <v>63</v>
      </c>
      <c r="J1921" s="1" t="s">
        <v>39</v>
      </c>
      <c r="K1921" s="4" t="s">
        <v>1077</v>
      </c>
      <c r="L1921" s="4"/>
      <c r="M1921" s="1">
        <v>3</v>
      </c>
      <c r="U1921" s="1">
        <v>1</v>
      </c>
      <c r="V1921" s="4" t="s">
        <v>1260</v>
      </c>
      <c r="AL1921" s="60" t="s">
        <v>30</v>
      </c>
      <c r="AN1921" s="4" t="s">
        <v>30</v>
      </c>
    </row>
    <row r="1922" spans="1:40" ht="24" x14ac:dyDescent="0.2">
      <c r="A1922" s="1" t="s">
        <v>916</v>
      </c>
      <c r="B1922" s="1" t="s">
        <v>1126</v>
      </c>
      <c r="C1922" s="1" t="s">
        <v>5734</v>
      </c>
      <c r="D1922" s="1">
        <v>61</v>
      </c>
      <c r="E1922" s="1">
        <v>3</v>
      </c>
      <c r="F1922" s="1" t="s">
        <v>920</v>
      </c>
      <c r="G1922" s="1" t="s">
        <v>1127</v>
      </c>
      <c r="I1922" s="1" t="s">
        <v>63</v>
      </c>
      <c r="J1922" s="1" t="s">
        <v>39</v>
      </c>
      <c r="K1922" s="4"/>
      <c r="L1922" s="4"/>
      <c r="M1922" s="1">
        <v>1</v>
      </c>
      <c r="V1922" s="4" t="s">
        <v>1128</v>
      </c>
      <c r="AL1922" s="60" t="s">
        <v>30</v>
      </c>
      <c r="AN1922" s="4" t="s">
        <v>30</v>
      </c>
    </row>
    <row r="1923" spans="1:40" ht="36" x14ac:dyDescent="0.2">
      <c r="A1923" s="1" t="s">
        <v>916</v>
      </c>
      <c r="B1923" s="1" t="s">
        <v>1401</v>
      </c>
      <c r="C1923" s="1" t="s">
        <v>5734</v>
      </c>
      <c r="D1923" s="1">
        <v>62</v>
      </c>
      <c r="E1923" s="1">
        <v>3</v>
      </c>
      <c r="F1923" s="1" t="s">
        <v>920</v>
      </c>
      <c r="G1923" s="1" t="s">
        <v>1402</v>
      </c>
      <c r="I1923" s="1" t="s">
        <v>63</v>
      </c>
      <c r="J1923" s="1" t="s">
        <v>44</v>
      </c>
      <c r="K1923" s="4"/>
      <c r="L1923" s="4"/>
      <c r="M1923" s="1">
        <v>0</v>
      </c>
      <c r="V1923" s="4" t="s">
        <v>1403</v>
      </c>
      <c r="AL1923" s="60" t="s">
        <v>30</v>
      </c>
      <c r="AN1923" s="4" t="s">
        <v>30</v>
      </c>
    </row>
    <row r="1924" spans="1:40" ht="36" x14ac:dyDescent="0.2">
      <c r="A1924" s="1" t="s">
        <v>916</v>
      </c>
      <c r="B1924" s="1" t="s">
        <v>1331</v>
      </c>
      <c r="C1924" s="1" t="s">
        <v>5734</v>
      </c>
      <c r="D1924" s="1">
        <v>63</v>
      </c>
      <c r="E1924" s="1">
        <v>3</v>
      </c>
      <c r="F1924" s="1" t="s">
        <v>920</v>
      </c>
      <c r="G1924" s="1" t="s">
        <v>1332</v>
      </c>
      <c r="I1924" s="1" t="s">
        <v>63</v>
      </c>
      <c r="J1924" s="1" t="s">
        <v>28</v>
      </c>
      <c r="K1924" s="4"/>
      <c r="L1924" s="4"/>
      <c r="M1924" s="1">
        <v>2</v>
      </c>
      <c r="V1924" s="4" t="s">
        <v>1333</v>
      </c>
      <c r="AL1924" s="60" t="s">
        <v>30</v>
      </c>
      <c r="AN1924" s="4" t="s">
        <v>30</v>
      </c>
    </row>
    <row r="1925" spans="1:40" ht="36" x14ac:dyDescent="0.2">
      <c r="A1925" s="1" t="s">
        <v>916</v>
      </c>
      <c r="B1925" s="1" t="s">
        <v>1147</v>
      </c>
      <c r="C1925" s="1" t="s">
        <v>5734</v>
      </c>
      <c r="D1925" s="1">
        <v>64</v>
      </c>
      <c r="E1925" s="1">
        <v>3</v>
      </c>
      <c r="F1925" s="1" t="s">
        <v>920</v>
      </c>
      <c r="G1925" s="1" t="s">
        <v>1148</v>
      </c>
      <c r="I1925" s="1" t="s">
        <v>63</v>
      </c>
      <c r="J1925" s="1" t="s">
        <v>39</v>
      </c>
      <c r="K1925" s="4" t="s">
        <v>1149</v>
      </c>
      <c r="L1925" s="4"/>
      <c r="M1925" s="1">
        <v>2</v>
      </c>
      <c r="V1925" s="4" t="s">
        <v>1150</v>
      </c>
      <c r="AL1925" s="60" t="s">
        <v>30</v>
      </c>
      <c r="AN1925" s="4" t="s">
        <v>30</v>
      </c>
    </row>
    <row r="1926" spans="1:40" ht="36" x14ac:dyDescent="0.2">
      <c r="A1926" s="1" t="s">
        <v>916</v>
      </c>
      <c r="B1926" s="1" t="s">
        <v>1497</v>
      </c>
      <c r="C1926" s="1" t="s">
        <v>5734</v>
      </c>
      <c r="D1926" s="1">
        <v>65</v>
      </c>
      <c r="E1926" s="1">
        <v>3</v>
      </c>
      <c r="F1926" s="1" t="s">
        <v>920</v>
      </c>
      <c r="G1926" s="1" t="s">
        <v>1498</v>
      </c>
      <c r="I1926" s="1" t="s">
        <v>63</v>
      </c>
      <c r="J1926" s="1" t="s">
        <v>50</v>
      </c>
      <c r="K1926" s="4"/>
      <c r="L1926" s="4"/>
      <c r="M1926" s="1">
        <v>1</v>
      </c>
      <c r="V1926" s="4" t="s">
        <v>1499</v>
      </c>
      <c r="AL1926" s="60" t="s">
        <v>30</v>
      </c>
      <c r="AN1926" s="4" t="s">
        <v>30</v>
      </c>
    </row>
    <row r="1927" spans="1:40" ht="24" x14ac:dyDescent="0.2">
      <c r="A1927" s="1" t="s">
        <v>916</v>
      </c>
      <c r="B1927" s="1" t="s">
        <v>1545</v>
      </c>
      <c r="C1927" s="1" t="s">
        <v>5734</v>
      </c>
      <c r="D1927" s="1">
        <v>66</v>
      </c>
      <c r="E1927" s="1">
        <v>3</v>
      </c>
      <c r="F1927" s="1" t="s">
        <v>920</v>
      </c>
      <c r="G1927" s="1" t="s">
        <v>1546</v>
      </c>
      <c r="I1927" s="1" t="s">
        <v>63</v>
      </c>
      <c r="J1927" s="1" t="s">
        <v>50</v>
      </c>
      <c r="K1927" s="4"/>
      <c r="L1927" s="4"/>
      <c r="M1927" s="1">
        <v>3</v>
      </c>
      <c r="V1927" s="4" t="s">
        <v>1547</v>
      </c>
      <c r="AL1927" s="60" t="s">
        <v>30</v>
      </c>
      <c r="AN1927" s="4" t="s">
        <v>30</v>
      </c>
    </row>
    <row r="1928" spans="1:40" ht="36" x14ac:dyDescent="0.2">
      <c r="A1928" s="1" t="s">
        <v>916</v>
      </c>
      <c r="B1928" s="1" t="s">
        <v>1423</v>
      </c>
      <c r="C1928" s="1" t="s">
        <v>5734</v>
      </c>
      <c r="D1928" s="1">
        <v>67</v>
      </c>
      <c r="E1928" s="1">
        <v>3</v>
      </c>
      <c r="F1928" s="1" t="s">
        <v>920</v>
      </c>
      <c r="G1928" s="1" t="s">
        <v>1424</v>
      </c>
      <c r="I1928" s="1" t="s">
        <v>63</v>
      </c>
      <c r="J1928" s="1" t="s">
        <v>50</v>
      </c>
      <c r="K1928" s="4"/>
      <c r="L1928" s="4"/>
      <c r="M1928" s="1">
        <v>1</v>
      </c>
      <c r="V1928" s="4" t="s">
        <v>1425</v>
      </c>
      <c r="AL1928" s="60" t="s">
        <v>30</v>
      </c>
      <c r="AN1928" s="4" t="s">
        <v>30</v>
      </c>
    </row>
    <row r="1929" spans="1:40" ht="24" x14ac:dyDescent="0.2">
      <c r="A1929" s="1" t="s">
        <v>916</v>
      </c>
      <c r="B1929" s="1" t="s">
        <v>1051</v>
      </c>
      <c r="C1929" s="1" t="s">
        <v>5734</v>
      </c>
      <c r="D1929" s="1">
        <v>68</v>
      </c>
      <c r="E1929" s="1">
        <v>3</v>
      </c>
      <c r="F1929" s="1" t="s">
        <v>920</v>
      </c>
      <c r="G1929" s="1" t="s">
        <v>1052</v>
      </c>
      <c r="I1929" s="1" t="s">
        <v>63</v>
      </c>
      <c r="J1929" s="1" t="s">
        <v>57</v>
      </c>
      <c r="K1929" s="4"/>
      <c r="L1929" s="4"/>
      <c r="M1929" s="1">
        <v>1</v>
      </c>
      <c r="V1929" s="4" t="s">
        <v>1053</v>
      </c>
      <c r="AL1929" s="60" t="s">
        <v>30</v>
      </c>
      <c r="AN1929" s="4" t="s">
        <v>30</v>
      </c>
    </row>
    <row r="1930" spans="1:40" ht="24" x14ac:dyDescent="0.2">
      <c r="A1930" s="1" t="s">
        <v>916</v>
      </c>
      <c r="B1930" s="1" t="s">
        <v>1562</v>
      </c>
      <c r="C1930" s="1" t="s">
        <v>5734</v>
      </c>
      <c r="D1930" s="1">
        <v>69</v>
      </c>
      <c r="E1930" s="1">
        <v>3</v>
      </c>
      <c r="F1930" s="1" t="s">
        <v>920</v>
      </c>
      <c r="G1930" s="1" t="s">
        <v>1563</v>
      </c>
      <c r="I1930" s="1" t="s">
        <v>63</v>
      </c>
      <c r="J1930" s="1" t="s">
        <v>28</v>
      </c>
      <c r="K1930" s="4" t="s">
        <v>1159</v>
      </c>
      <c r="L1930" s="4"/>
      <c r="M1930" s="1">
        <v>1</v>
      </c>
      <c r="V1930" s="4" t="s">
        <v>1564</v>
      </c>
      <c r="AL1930" s="60" t="s">
        <v>30</v>
      </c>
      <c r="AN1930" s="4" t="s">
        <v>30</v>
      </c>
    </row>
    <row r="1931" spans="1:40" ht="36" x14ac:dyDescent="0.2">
      <c r="A1931" s="1" t="s">
        <v>916</v>
      </c>
      <c r="B1931" s="1" t="s">
        <v>1407</v>
      </c>
      <c r="C1931" s="1" t="s">
        <v>5734</v>
      </c>
      <c r="D1931" s="1">
        <v>70</v>
      </c>
      <c r="E1931" s="1">
        <v>3</v>
      </c>
      <c r="F1931" s="1" t="s">
        <v>920</v>
      </c>
      <c r="G1931" s="1" t="s">
        <v>1408</v>
      </c>
      <c r="I1931" s="1" t="s">
        <v>63</v>
      </c>
      <c r="J1931" s="1" t="s">
        <v>28</v>
      </c>
      <c r="K1931" s="4" t="s">
        <v>1319</v>
      </c>
      <c r="L1931" s="4"/>
      <c r="M1931" s="1">
        <v>0</v>
      </c>
      <c r="V1931" s="4" t="s">
        <v>1409</v>
      </c>
      <c r="AL1931" s="60" t="s">
        <v>30</v>
      </c>
      <c r="AN1931" s="4" t="s">
        <v>30</v>
      </c>
    </row>
    <row r="1932" spans="1:40" ht="24" x14ac:dyDescent="0.2">
      <c r="A1932" s="1" t="s">
        <v>916</v>
      </c>
      <c r="B1932" s="1" t="s">
        <v>1069</v>
      </c>
      <c r="C1932" s="1" t="s">
        <v>5734</v>
      </c>
      <c r="D1932" s="1">
        <v>71</v>
      </c>
      <c r="E1932" s="1">
        <v>3</v>
      </c>
      <c r="F1932" s="1" t="s">
        <v>920</v>
      </c>
      <c r="G1932" s="1" t="s">
        <v>1070</v>
      </c>
      <c r="I1932" s="1" t="s">
        <v>63</v>
      </c>
      <c r="J1932" s="1" t="s">
        <v>39</v>
      </c>
      <c r="K1932" s="4"/>
      <c r="L1932" s="4"/>
      <c r="M1932" s="1">
        <v>1</v>
      </c>
      <c r="V1932" s="4" t="s">
        <v>1071</v>
      </c>
      <c r="AL1932" s="60" t="s">
        <v>30</v>
      </c>
      <c r="AN1932" s="4" t="s">
        <v>30</v>
      </c>
    </row>
    <row r="1933" spans="1:40" ht="72" x14ac:dyDescent="0.2">
      <c r="A1933" s="1" t="s">
        <v>916</v>
      </c>
      <c r="B1933" s="1" t="s">
        <v>1317</v>
      </c>
      <c r="C1933" s="1" t="s">
        <v>5734</v>
      </c>
      <c r="D1933" s="1">
        <v>72</v>
      </c>
      <c r="E1933" s="1">
        <v>3</v>
      </c>
      <c r="F1933" s="1" t="s">
        <v>920</v>
      </c>
      <c r="G1933" s="1" t="s">
        <v>1318</v>
      </c>
      <c r="I1933" s="1" t="s">
        <v>63</v>
      </c>
      <c r="J1933" s="1" t="s">
        <v>39</v>
      </c>
      <c r="K1933" s="4" t="s">
        <v>1319</v>
      </c>
      <c r="L1933" s="4"/>
      <c r="M1933" s="1">
        <v>1</v>
      </c>
      <c r="V1933" s="4" t="s">
        <v>1320</v>
      </c>
      <c r="AL1933" s="60" t="s">
        <v>30</v>
      </c>
      <c r="AN1933" s="4" t="s">
        <v>30</v>
      </c>
    </row>
    <row r="1934" spans="1:40" ht="60" x14ac:dyDescent="0.2">
      <c r="A1934" s="1" t="s">
        <v>916</v>
      </c>
      <c r="B1934" s="1" t="s">
        <v>1328</v>
      </c>
      <c r="C1934" s="1" t="s">
        <v>5734</v>
      </c>
      <c r="D1934" s="1">
        <v>73</v>
      </c>
      <c r="E1934" s="1">
        <v>3</v>
      </c>
      <c r="F1934" s="1" t="s">
        <v>920</v>
      </c>
      <c r="G1934" s="1" t="s">
        <v>1329</v>
      </c>
      <c r="I1934" s="1" t="s">
        <v>63</v>
      </c>
      <c r="J1934" s="1" t="s">
        <v>39</v>
      </c>
      <c r="K1934" s="4" t="s">
        <v>1319</v>
      </c>
      <c r="L1934" s="4"/>
      <c r="M1934" s="1">
        <v>2</v>
      </c>
      <c r="V1934" s="4" t="s">
        <v>1330</v>
      </c>
      <c r="AL1934" s="60" t="s">
        <v>30</v>
      </c>
      <c r="AN1934" s="4" t="s">
        <v>30</v>
      </c>
    </row>
    <row r="1935" spans="1:40" ht="24" x14ac:dyDescent="0.2">
      <c r="A1935" s="1" t="s">
        <v>916</v>
      </c>
      <c r="B1935" s="1" t="s">
        <v>1410</v>
      </c>
      <c r="C1935" s="1" t="s">
        <v>5734</v>
      </c>
      <c r="D1935" s="1">
        <v>74</v>
      </c>
      <c r="E1935" s="1">
        <v>3</v>
      </c>
      <c r="F1935" s="1" t="s">
        <v>920</v>
      </c>
      <c r="G1935" s="1" t="s">
        <v>1411</v>
      </c>
      <c r="I1935" s="1" t="s">
        <v>63</v>
      </c>
      <c r="J1935" s="1" t="s">
        <v>50</v>
      </c>
      <c r="K1935" s="4"/>
      <c r="L1935" s="4"/>
      <c r="M1935" s="1">
        <v>0</v>
      </c>
      <c r="V1935" s="4" t="s">
        <v>1412</v>
      </c>
      <c r="AL1935" s="60" t="s">
        <v>30</v>
      </c>
      <c r="AN1935" s="4" t="s">
        <v>30</v>
      </c>
    </row>
    <row r="1936" spans="1:40" ht="36" x14ac:dyDescent="0.2">
      <c r="A1936" s="1" t="s">
        <v>916</v>
      </c>
      <c r="B1936" s="1" t="s">
        <v>1248</v>
      </c>
      <c r="C1936" s="1" t="s">
        <v>5734</v>
      </c>
      <c r="D1936" s="1">
        <v>75</v>
      </c>
      <c r="E1936" s="1">
        <v>3</v>
      </c>
      <c r="F1936" s="1" t="s">
        <v>920</v>
      </c>
      <c r="G1936" s="1" t="s">
        <v>1249</v>
      </c>
      <c r="I1936" s="1" t="s">
        <v>63</v>
      </c>
      <c r="J1936" s="1" t="s">
        <v>28</v>
      </c>
      <c r="K1936" s="4"/>
      <c r="L1936" s="4"/>
      <c r="M1936" s="1">
        <v>1</v>
      </c>
      <c r="V1936" s="4" t="s">
        <v>1250</v>
      </c>
      <c r="AL1936" s="60" t="s">
        <v>30</v>
      </c>
      <c r="AN1936" s="4" t="s">
        <v>30</v>
      </c>
    </row>
    <row r="1937" spans="1:40" ht="36" x14ac:dyDescent="0.2">
      <c r="A1937" s="1" t="s">
        <v>916</v>
      </c>
      <c r="B1937" s="1" t="s">
        <v>1432</v>
      </c>
      <c r="C1937" s="1" t="s">
        <v>5734</v>
      </c>
      <c r="D1937" s="1">
        <v>76</v>
      </c>
      <c r="E1937" s="1">
        <v>3</v>
      </c>
      <c r="F1937" s="1" t="s">
        <v>920</v>
      </c>
      <c r="G1937" s="1" t="s">
        <v>1433</v>
      </c>
      <c r="I1937" s="1" t="s">
        <v>63</v>
      </c>
      <c r="J1937" s="1" t="s">
        <v>50</v>
      </c>
      <c r="K1937" s="4"/>
      <c r="L1937" s="4"/>
      <c r="M1937" s="1">
        <v>1</v>
      </c>
      <c r="V1937" s="4" t="s">
        <v>1434</v>
      </c>
      <c r="AL1937" s="60" t="s">
        <v>30</v>
      </c>
      <c r="AN1937" s="4" t="s">
        <v>30</v>
      </c>
    </row>
    <row r="1938" spans="1:40" ht="36" x14ac:dyDescent="0.2">
      <c r="A1938" s="1" t="s">
        <v>916</v>
      </c>
      <c r="B1938" s="1" t="s">
        <v>1100</v>
      </c>
      <c r="C1938" s="1" t="s">
        <v>5734</v>
      </c>
      <c r="D1938" s="1">
        <v>77</v>
      </c>
      <c r="E1938" s="1">
        <v>3</v>
      </c>
      <c r="F1938" s="1" t="s">
        <v>920</v>
      </c>
      <c r="G1938" s="1" t="s">
        <v>1101</v>
      </c>
      <c r="I1938" s="1" t="s">
        <v>63</v>
      </c>
      <c r="J1938" s="1" t="s">
        <v>57</v>
      </c>
      <c r="K1938" s="4" t="s">
        <v>324</v>
      </c>
      <c r="L1938" s="4"/>
      <c r="M1938" s="1">
        <v>0</v>
      </c>
      <c r="V1938" s="4" t="s">
        <v>1102</v>
      </c>
      <c r="AL1938" s="60" t="s">
        <v>30</v>
      </c>
      <c r="AN1938" s="4" t="s">
        <v>30</v>
      </c>
    </row>
    <row r="1939" spans="1:40" ht="72" x14ac:dyDescent="0.2">
      <c r="A1939" s="1" t="s">
        <v>916</v>
      </c>
      <c r="B1939" s="1" t="s">
        <v>1185</v>
      </c>
      <c r="C1939" s="1" t="s">
        <v>5734</v>
      </c>
      <c r="D1939" s="1">
        <v>78</v>
      </c>
      <c r="E1939" s="1">
        <v>3</v>
      </c>
      <c r="F1939" s="1" t="s">
        <v>920</v>
      </c>
      <c r="G1939" s="1" t="s">
        <v>1186</v>
      </c>
      <c r="I1939" s="1" t="s">
        <v>63</v>
      </c>
      <c r="J1939" s="1" t="s">
        <v>28</v>
      </c>
      <c r="K1939" s="4"/>
      <c r="L1939" s="4"/>
      <c r="M1939" s="1">
        <v>1</v>
      </c>
      <c r="V1939" s="4" t="s">
        <v>1187</v>
      </c>
      <c r="AL1939" s="60" t="s">
        <v>30</v>
      </c>
      <c r="AN1939" s="4" t="s">
        <v>30</v>
      </c>
    </row>
    <row r="1940" spans="1:40" ht="48" x14ac:dyDescent="0.2">
      <c r="A1940" s="1" t="s">
        <v>916</v>
      </c>
      <c r="B1940" s="1" t="s">
        <v>1255</v>
      </c>
      <c r="C1940" s="1" t="s">
        <v>5734</v>
      </c>
      <c r="D1940" s="1">
        <v>79</v>
      </c>
      <c r="E1940" s="1">
        <v>3</v>
      </c>
      <c r="F1940" s="1" t="s">
        <v>920</v>
      </c>
      <c r="G1940" s="1" t="s">
        <v>1256</v>
      </c>
      <c r="I1940" s="1" t="s">
        <v>63</v>
      </c>
      <c r="J1940" s="1" t="s">
        <v>50</v>
      </c>
      <c r="K1940" s="4"/>
      <c r="L1940" s="4"/>
      <c r="M1940" s="1">
        <v>1</v>
      </c>
      <c r="V1940" s="4" t="s">
        <v>1257</v>
      </c>
      <c r="AL1940" s="60" t="s">
        <v>30</v>
      </c>
      <c r="AN1940" s="4" t="s">
        <v>30</v>
      </c>
    </row>
    <row r="1941" spans="1:40" ht="60" x14ac:dyDescent="0.2">
      <c r="A1941" s="1" t="s">
        <v>916</v>
      </c>
      <c r="B1941" s="1" t="s">
        <v>1269</v>
      </c>
      <c r="C1941" s="1" t="s">
        <v>5734</v>
      </c>
      <c r="D1941" s="1">
        <v>80</v>
      </c>
      <c r="E1941" s="1">
        <v>1</v>
      </c>
      <c r="F1941" s="1" t="s">
        <v>920</v>
      </c>
      <c r="G1941" s="1" t="s">
        <v>1270</v>
      </c>
      <c r="H1941" s="1" t="s">
        <v>26</v>
      </c>
      <c r="I1941" s="1" t="s">
        <v>27</v>
      </c>
      <c r="J1941" s="1" t="s">
        <v>971</v>
      </c>
      <c r="K1941" s="4" t="s">
        <v>1271</v>
      </c>
      <c r="L1941" s="4"/>
      <c r="M1941" s="1">
        <v>12</v>
      </c>
      <c r="P1941" s="56">
        <v>3</v>
      </c>
      <c r="Q1941" s="57">
        <v>4</v>
      </c>
      <c r="R1941" s="58">
        <v>1</v>
      </c>
      <c r="S1941" s="59">
        <v>5</v>
      </c>
      <c r="V1941" s="4" t="s">
        <v>1272</v>
      </c>
      <c r="AL1941" s="60" t="s">
        <v>30</v>
      </c>
      <c r="AN1941" s="4" t="s">
        <v>30</v>
      </c>
    </row>
    <row r="1942" spans="1:40" ht="72" x14ac:dyDescent="0.2">
      <c r="A1942" s="1" t="s">
        <v>916</v>
      </c>
      <c r="B1942" s="1" t="s">
        <v>1043</v>
      </c>
      <c r="C1942" s="1" t="s">
        <v>5734</v>
      </c>
      <c r="D1942" s="1">
        <v>81</v>
      </c>
      <c r="E1942" s="1">
        <v>1</v>
      </c>
      <c r="F1942" s="1" t="s">
        <v>920</v>
      </c>
      <c r="G1942" s="1" t="s">
        <v>1044</v>
      </c>
      <c r="H1942" s="1" t="s">
        <v>26</v>
      </c>
      <c r="I1942" s="1" t="s">
        <v>27</v>
      </c>
      <c r="J1942" s="1" t="s">
        <v>971</v>
      </c>
      <c r="K1942" s="4" t="s">
        <v>1017</v>
      </c>
      <c r="L1942" s="4"/>
      <c r="M1942" s="1">
        <v>7</v>
      </c>
      <c r="P1942" s="56">
        <v>3</v>
      </c>
      <c r="Q1942" s="57">
        <v>1</v>
      </c>
      <c r="R1942" s="58">
        <v>2</v>
      </c>
      <c r="S1942" s="59">
        <v>4</v>
      </c>
      <c r="V1942" s="4" t="s">
        <v>1045</v>
      </c>
      <c r="AL1942" s="60" t="s">
        <v>30</v>
      </c>
      <c r="AN1942" s="4" t="s">
        <v>30</v>
      </c>
    </row>
    <row r="1943" spans="1:40" ht="72" x14ac:dyDescent="0.2">
      <c r="A1943" s="1" t="s">
        <v>916</v>
      </c>
      <c r="B1943" s="1" t="s">
        <v>1092</v>
      </c>
      <c r="C1943" s="1" t="s">
        <v>5734</v>
      </c>
      <c r="D1943" s="1">
        <v>82</v>
      </c>
      <c r="E1943" s="1">
        <v>1</v>
      </c>
      <c r="F1943" s="1" t="s">
        <v>920</v>
      </c>
      <c r="G1943" s="1" t="s">
        <v>1093</v>
      </c>
      <c r="H1943" s="1" t="s">
        <v>26</v>
      </c>
      <c r="I1943" s="1" t="s">
        <v>27</v>
      </c>
      <c r="J1943" s="1" t="s">
        <v>971</v>
      </c>
      <c r="K1943" s="4" t="s">
        <v>1094</v>
      </c>
      <c r="L1943" s="4"/>
      <c r="M1943" s="1">
        <v>9</v>
      </c>
      <c r="P1943" s="56">
        <v>1</v>
      </c>
      <c r="Q1943" s="57">
        <v>2</v>
      </c>
      <c r="R1943" s="58">
        <v>2</v>
      </c>
      <c r="S1943" s="59">
        <v>4</v>
      </c>
      <c r="V1943" s="4" t="s">
        <v>1095</v>
      </c>
      <c r="AL1943" s="60" t="s">
        <v>30</v>
      </c>
      <c r="AN1943" s="4" t="s">
        <v>30</v>
      </c>
    </row>
    <row r="1944" spans="1:40" ht="48" x14ac:dyDescent="0.2">
      <c r="A1944" s="1" t="s">
        <v>916</v>
      </c>
      <c r="B1944" s="1" t="s">
        <v>1481</v>
      </c>
      <c r="C1944" s="1" t="s">
        <v>5734</v>
      </c>
      <c r="D1944" s="1">
        <v>83</v>
      </c>
      <c r="E1944" s="1">
        <v>3</v>
      </c>
      <c r="F1944" s="1" t="s">
        <v>920</v>
      </c>
      <c r="G1944" s="1" t="s">
        <v>1482</v>
      </c>
      <c r="H1944" s="1" t="s">
        <v>26</v>
      </c>
      <c r="I1944" s="1" t="s">
        <v>38</v>
      </c>
      <c r="J1944" s="1" t="s">
        <v>971</v>
      </c>
      <c r="K1944" s="4" t="s">
        <v>972</v>
      </c>
      <c r="L1944" s="4"/>
      <c r="M1944" s="1">
        <v>3</v>
      </c>
      <c r="P1944" s="56">
        <v>1</v>
      </c>
      <c r="Q1944" s="57">
        <v>3</v>
      </c>
      <c r="R1944" s="58">
        <v>1</v>
      </c>
      <c r="S1944" s="59">
        <v>3</v>
      </c>
      <c r="V1944" s="4" t="s">
        <v>1483</v>
      </c>
      <c r="AL1944" s="60" t="s">
        <v>30</v>
      </c>
      <c r="AN1944" s="4" t="s">
        <v>30</v>
      </c>
    </row>
    <row r="1945" spans="1:40" ht="36" x14ac:dyDescent="0.2">
      <c r="A1945" s="1" t="s">
        <v>916</v>
      </c>
      <c r="B1945" s="1" t="s">
        <v>969</v>
      </c>
      <c r="C1945" s="1" t="s">
        <v>5734</v>
      </c>
      <c r="D1945" s="1">
        <v>84</v>
      </c>
      <c r="E1945" s="1">
        <v>3</v>
      </c>
      <c r="F1945" s="1" t="s">
        <v>920</v>
      </c>
      <c r="G1945" s="1" t="s">
        <v>970</v>
      </c>
      <c r="H1945" s="1" t="s">
        <v>26</v>
      </c>
      <c r="I1945" s="1" t="s">
        <v>38</v>
      </c>
      <c r="J1945" s="1" t="s">
        <v>971</v>
      </c>
      <c r="K1945" s="4" t="s">
        <v>972</v>
      </c>
      <c r="L1945" s="4"/>
      <c r="M1945" s="1">
        <v>4</v>
      </c>
      <c r="P1945" s="56">
        <v>3</v>
      </c>
      <c r="Q1945" s="57">
        <v>1</v>
      </c>
      <c r="R1945" s="58">
        <v>1</v>
      </c>
      <c r="S1945" s="59">
        <v>2</v>
      </c>
      <c r="V1945" s="4" t="s">
        <v>973</v>
      </c>
      <c r="AL1945" s="60" t="s">
        <v>30</v>
      </c>
      <c r="AN1945" s="4" t="s">
        <v>30</v>
      </c>
    </row>
    <row r="1946" spans="1:40" ht="72" x14ac:dyDescent="0.2">
      <c r="A1946" s="1" t="s">
        <v>916</v>
      </c>
      <c r="B1946" s="1" t="s">
        <v>1575</v>
      </c>
      <c r="C1946" s="1" t="s">
        <v>5734</v>
      </c>
      <c r="D1946" s="1">
        <v>85</v>
      </c>
      <c r="E1946" s="1">
        <v>3</v>
      </c>
      <c r="F1946" s="1" t="s">
        <v>920</v>
      </c>
      <c r="G1946" s="1" t="s">
        <v>1576</v>
      </c>
      <c r="H1946" s="1" t="s">
        <v>26</v>
      </c>
      <c r="I1946" s="1" t="s">
        <v>38</v>
      </c>
      <c r="J1946" s="1" t="s">
        <v>971</v>
      </c>
      <c r="K1946" s="4" t="s">
        <v>972</v>
      </c>
      <c r="L1946" s="4"/>
      <c r="M1946" s="1">
        <v>3</v>
      </c>
      <c r="P1946" s="56">
        <v>0</v>
      </c>
      <c r="Q1946" s="57">
        <v>2</v>
      </c>
      <c r="R1946" s="58">
        <v>1</v>
      </c>
      <c r="S1946" s="59">
        <v>3</v>
      </c>
      <c r="V1946" s="4" t="s">
        <v>1577</v>
      </c>
      <c r="AL1946" s="60" t="s">
        <v>30</v>
      </c>
      <c r="AN1946" s="4" t="s">
        <v>30</v>
      </c>
    </row>
    <row r="1947" spans="1:40" ht="36" x14ac:dyDescent="0.2">
      <c r="A1947" s="1" t="s">
        <v>916</v>
      </c>
      <c r="B1947" s="1" t="s">
        <v>1439</v>
      </c>
      <c r="C1947" s="1" t="s">
        <v>5734</v>
      </c>
      <c r="D1947" s="1">
        <v>86</v>
      </c>
      <c r="E1947" s="1">
        <v>3</v>
      </c>
      <c r="F1947" s="1" t="s">
        <v>920</v>
      </c>
      <c r="G1947" s="1" t="s">
        <v>1440</v>
      </c>
      <c r="H1947" s="1" t="s">
        <v>26</v>
      </c>
      <c r="I1947" s="1" t="s">
        <v>38</v>
      </c>
      <c r="J1947" s="1" t="s">
        <v>971</v>
      </c>
      <c r="K1947" s="4" t="s">
        <v>1441</v>
      </c>
      <c r="L1947" s="4"/>
      <c r="M1947" s="1">
        <v>3</v>
      </c>
      <c r="P1947" s="56">
        <v>0</v>
      </c>
      <c r="Q1947" s="57">
        <v>2</v>
      </c>
      <c r="R1947" s="58">
        <v>1</v>
      </c>
      <c r="S1947" s="59">
        <v>2</v>
      </c>
      <c r="V1947" s="4" t="s">
        <v>1442</v>
      </c>
      <c r="AL1947" s="60" t="s">
        <v>30</v>
      </c>
      <c r="AN1947" s="4" t="s">
        <v>30</v>
      </c>
    </row>
    <row r="1948" spans="1:40" ht="84" x14ac:dyDescent="0.2">
      <c r="A1948" s="1" t="s">
        <v>916</v>
      </c>
      <c r="B1948" s="1" t="s">
        <v>1054</v>
      </c>
      <c r="C1948" s="1" t="s">
        <v>5734</v>
      </c>
      <c r="D1948" s="1">
        <v>87</v>
      </c>
      <c r="E1948" s="1">
        <v>3</v>
      </c>
      <c r="F1948" s="1" t="s">
        <v>920</v>
      </c>
      <c r="G1948" s="1" t="s">
        <v>1055</v>
      </c>
      <c r="H1948" s="1" t="s">
        <v>26</v>
      </c>
      <c r="I1948" s="1" t="s">
        <v>38</v>
      </c>
      <c r="J1948" s="1" t="s">
        <v>971</v>
      </c>
      <c r="K1948" s="4" t="s">
        <v>972</v>
      </c>
      <c r="L1948" s="4"/>
      <c r="M1948" s="1">
        <v>5</v>
      </c>
      <c r="P1948" s="56">
        <v>3</v>
      </c>
      <c r="Q1948" s="57">
        <v>3</v>
      </c>
      <c r="R1948" s="58">
        <v>2</v>
      </c>
      <c r="S1948" s="59">
        <v>3</v>
      </c>
      <c r="V1948" s="4" t="s">
        <v>1056</v>
      </c>
      <c r="AL1948" s="60" t="s">
        <v>30</v>
      </c>
      <c r="AN1948" s="4" t="s">
        <v>30</v>
      </c>
    </row>
    <row r="1949" spans="1:40" ht="36" x14ac:dyDescent="0.2">
      <c r="A1949" s="1" t="s">
        <v>916</v>
      </c>
      <c r="B1949" s="1" t="s">
        <v>1238</v>
      </c>
      <c r="C1949" s="1" t="s">
        <v>5734</v>
      </c>
      <c r="D1949" s="1">
        <v>88</v>
      </c>
      <c r="E1949" s="1">
        <v>3</v>
      </c>
      <c r="F1949" s="1" t="s">
        <v>920</v>
      </c>
      <c r="G1949" s="1" t="s">
        <v>1239</v>
      </c>
      <c r="H1949" s="1" t="s">
        <v>26</v>
      </c>
      <c r="I1949" s="1" t="s">
        <v>38</v>
      </c>
      <c r="J1949" s="1" t="s">
        <v>971</v>
      </c>
      <c r="K1949" s="4" t="s">
        <v>972</v>
      </c>
      <c r="L1949" s="4"/>
      <c r="M1949" s="1">
        <v>3</v>
      </c>
      <c r="P1949" s="56">
        <v>2</v>
      </c>
      <c r="Q1949" s="57">
        <v>2</v>
      </c>
      <c r="R1949" s="58">
        <v>0</v>
      </c>
      <c r="S1949" s="59">
        <v>3</v>
      </c>
      <c r="V1949" s="4" t="s">
        <v>1240</v>
      </c>
      <c r="AL1949" s="60" t="s">
        <v>30</v>
      </c>
      <c r="AN1949" s="4" t="s">
        <v>30</v>
      </c>
    </row>
    <row r="1950" spans="1:40" ht="84" x14ac:dyDescent="0.2">
      <c r="A1950" s="1" t="s">
        <v>916</v>
      </c>
      <c r="B1950" s="1" t="s">
        <v>1321</v>
      </c>
      <c r="C1950" s="1" t="s">
        <v>5734</v>
      </c>
      <c r="D1950" s="1">
        <v>89</v>
      </c>
      <c r="E1950" s="1">
        <v>3</v>
      </c>
      <c r="F1950" s="1" t="s">
        <v>920</v>
      </c>
      <c r="G1950" s="1" t="s">
        <v>1322</v>
      </c>
      <c r="I1950" s="1" t="s">
        <v>56</v>
      </c>
      <c r="J1950" s="1" t="s">
        <v>971</v>
      </c>
      <c r="K1950" s="4" t="s">
        <v>1159</v>
      </c>
      <c r="L1950" s="4"/>
      <c r="M1950" s="1">
        <v>1</v>
      </c>
      <c r="V1950" s="4" t="s">
        <v>1323</v>
      </c>
      <c r="AL1950" s="60" t="s">
        <v>30</v>
      </c>
      <c r="AN1950" s="4" t="s">
        <v>30</v>
      </c>
    </row>
    <row r="1951" spans="1:40" ht="96" x14ac:dyDescent="0.2">
      <c r="A1951" s="1" t="s">
        <v>916</v>
      </c>
      <c r="B1951" s="1" t="s">
        <v>1096</v>
      </c>
      <c r="C1951" s="1" t="s">
        <v>5734</v>
      </c>
      <c r="D1951" s="1">
        <v>90</v>
      </c>
      <c r="E1951" s="1">
        <v>3</v>
      </c>
      <c r="F1951" s="1" t="s">
        <v>920</v>
      </c>
      <c r="G1951" s="1" t="s">
        <v>1097</v>
      </c>
      <c r="H1951" s="1" t="s">
        <v>26</v>
      </c>
      <c r="I1951" s="1" t="s">
        <v>56</v>
      </c>
      <c r="J1951" s="1" t="s">
        <v>971</v>
      </c>
      <c r="K1951" s="4" t="s">
        <v>1098</v>
      </c>
      <c r="L1951" s="4"/>
      <c r="M1951" s="1">
        <v>5</v>
      </c>
      <c r="V1951" s="4" t="s">
        <v>1099</v>
      </c>
      <c r="AL1951" s="60" t="s">
        <v>30</v>
      </c>
      <c r="AN1951" s="4" t="s">
        <v>30</v>
      </c>
    </row>
    <row r="1952" spans="1:40" ht="48" x14ac:dyDescent="0.2">
      <c r="A1952" s="1" t="s">
        <v>916</v>
      </c>
      <c r="B1952" s="1" t="s">
        <v>1559</v>
      </c>
      <c r="C1952" s="1" t="s">
        <v>5734</v>
      </c>
      <c r="D1952" s="1">
        <v>91</v>
      </c>
      <c r="E1952" s="1">
        <v>3</v>
      </c>
      <c r="F1952" s="1" t="s">
        <v>920</v>
      </c>
      <c r="G1952" s="1" t="s">
        <v>1560</v>
      </c>
      <c r="I1952" s="1" t="s">
        <v>56</v>
      </c>
      <c r="J1952" s="1" t="s">
        <v>971</v>
      </c>
      <c r="K1952" s="4" t="s">
        <v>467</v>
      </c>
      <c r="L1952" s="4"/>
      <c r="M1952" s="1">
        <v>2</v>
      </c>
      <c r="V1952" s="4" t="s">
        <v>1561</v>
      </c>
      <c r="AL1952" s="60" t="s">
        <v>30</v>
      </c>
      <c r="AN1952" s="4" t="s">
        <v>30</v>
      </c>
    </row>
    <row r="1953" spans="1:40" ht="96" x14ac:dyDescent="0.2">
      <c r="A1953" s="1" t="s">
        <v>916</v>
      </c>
      <c r="B1953" s="1" t="s">
        <v>1413</v>
      </c>
      <c r="C1953" s="1" t="s">
        <v>5734</v>
      </c>
      <c r="D1953" s="1">
        <v>92</v>
      </c>
      <c r="E1953" s="1">
        <v>3</v>
      </c>
      <c r="F1953" s="1" t="s">
        <v>920</v>
      </c>
      <c r="G1953" s="1" t="s">
        <v>1414</v>
      </c>
      <c r="I1953" s="1" t="s">
        <v>56</v>
      </c>
      <c r="J1953" s="1" t="s">
        <v>971</v>
      </c>
      <c r="K1953" s="4" t="s">
        <v>196</v>
      </c>
      <c r="L1953" s="4"/>
      <c r="M1953" s="1">
        <v>2</v>
      </c>
      <c r="V1953" s="4" t="s">
        <v>1415</v>
      </c>
      <c r="AL1953" s="60" t="s">
        <v>30</v>
      </c>
      <c r="AN1953" s="4" t="s">
        <v>30</v>
      </c>
    </row>
    <row r="1954" spans="1:40" ht="96" x14ac:dyDescent="0.2">
      <c r="A1954" s="1" t="s">
        <v>916</v>
      </c>
      <c r="B1954" s="1" t="s">
        <v>1040</v>
      </c>
      <c r="C1954" s="1" t="s">
        <v>5734</v>
      </c>
      <c r="D1954" s="1">
        <v>93</v>
      </c>
      <c r="E1954" s="1">
        <v>3</v>
      </c>
      <c r="F1954" s="1" t="s">
        <v>920</v>
      </c>
      <c r="G1954" s="1" t="s">
        <v>1041</v>
      </c>
      <c r="H1954" s="1" t="s">
        <v>26</v>
      </c>
      <c r="I1954" s="1" t="s">
        <v>56</v>
      </c>
      <c r="J1954" s="1" t="s">
        <v>971</v>
      </c>
      <c r="K1954" s="4" t="s">
        <v>196</v>
      </c>
      <c r="L1954" s="4"/>
      <c r="M1954" s="1">
        <v>2</v>
      </c>
      <c r="V1954" s="4" t="s">
        <v>1042</v>
      </c>
      <c r="AL1954" s="60" t="s">
        <v>30</v>
      </c>
      <c r="AN1954" s="4" t="s">
        <v>30</v>
      </c>
    </row>
    <row r="1955" spans="1:40" ht="60" x14ac:dyDescent="0.2">
      <c r="A1955" s="1" t="s">
        <v>916</v>
      </c>
      <c r="B1955" s="1" t="s">
        <v>1300</v>
      </c>
      <c r="C1955" s="1" t="s">
        <v>5734</v>
      </c>
      <c r="D1955" s="1">
        <v>94</v>
      </c>
      <c r="E1955" s="1">
        <v>3</v>
      </c>
      <c r="F1955" s="1" t="s">
        <v>920</v>
      </c>
      <c r="G1955" s="1" t="s">
        <v>1301</v>
      </c>
      <c r="H1955" s="1" t="s">
        <v>26</v>
      </c>
      <c r="I1955" s="1" t="s">
        <v>56</v>
      </c>
      <c r="J1955" s="1" t="s">
        <v>971</v>
      </c>
      <c r="K1955" s="4" t="s">
        <v>1302</v>
      </c>
      <c r="L1955" s="4"/>
      <c r="M1955" s="1">
        <v>1</v>
      </c>
      <c r="V1955" s="4" t="s">
        <v>1303</v>
      </c>
      <c r="AL1955" s="60" t="s">
        <v>30</v>
      </c>
      <c r="AN1955" s="4" t="s">
        <v>30</v>
      </c>
    </row>
    <row r="1956" spans="1:40" ht="24" x14ac:dyDescent="0.2">
      <c r="A1956" s="1" t="s">
        <v>916</v>
      </c>
      <c r="B1956" s="1" t="s">
        <v>1523</v>
      </c>
      <c r="C1956" s="1" t="s">
        <v>5734</v>
      </c>
      <c r="D1956" s="1">
        <v>95</v>
      </c>
      <c r="E1956" s="1">
        <v>3</v>
      </c>
      <c r="F1956" s="1" t="s">
        <v>920</v>
      </c>
      <c r="G1956" s="1" t="s">
        <v>1524</v>
      </c>
      <c r="I1956" s="1" t="s">
        <v>63</v>
      </c>
      <c r="J1956" s="1" t="s">
        <v>971</v>
      </c>
      <c r="K1956" s="4"/>
      <c r="L1956" s="4"/>
      <c r="M1956" s="1">
        <v>0</v>
      </c>
      <c r="V1956" s="4" t="s">
        <v>1525</v>
      </c>
      <c r="AL1956" s="60" t="s">
        <v>30</v>
      </c>
      <c r="AN1956" s="4" t="s">
        <v>30</v>
      </c>
    </row>
    <row r="1957" spans="1:40" ht="48" x14ac:dyDescent="0.2">
      <c r="A1957" s="1" t="s">
        <v>916</v>
      </c>
      <c r="B1957" s="1" t="s">
        <v>1144</v>
      </c>
      <c r="C1957" s="1" t="s">
        <v>5734</v>
      </c>
      <c r="D1957" s="1">
        <v>96</v>
      </c>
      <c r="E1957" s="1">
        <v>3</v>
      </c>
      <c r="F1957" s="1" t="s">
        <v>920</v>
      </c>
      <c r="G1957" s="1" t="s">
        <v>1145</v>
      </c>
      <c r="I1957" s="1" t="s">
        <v>63</v>
      </c>
      <c r="J1957" s="1" t="s">
        <v>971</v>
      </c>
      <c r="K1957" s="4" t="s">
        <v>261</v>
      </c>
      <c r="L1957" s="4"/>
      <c r="M1957" s="1">
        <v>0</v>
      </c>
      <c r="V1957" s="4" t="s">
        <v>1146</v>
      </c>
      <c r="AL1957" s="60" t="s">
        <v>30</v>
      </c>
      <c r="AN1957" s="4" t="s">
        <v>30</v>
      </c>
    </row>
    <row r="1958" spans="1:40" ht="24" x14ac:dyDescent="0.2">
      <c r="A1958" s="1" t="s">
        <v>916</v>
      </c>
      <c r="B1958" s="1" t="s">
        <v>1338</v>
      </c>
      <c r="C1958" s="1" t="s">
        <v>5734</v>
      </c>
      <c r="D1958" s="1">
        <v>97</v>
      </c>
      <c r="E1958" s="1">
        <v>3</v>
      </c>
      <c r="F1958" s="1" t="s">
        <v>920</v>
      </c>
      <c r="G1958" s="1" t="s">
        <v>1339</v>
      </c>
      <c r="I1958" s="1" t="s">
        <v>63</v>
      </c>
      <c r="J1958" s="1" t="s">
        <v>971</v>
      </c>
      <c r="K1958" s="4"/>
      <c r="L1958" s="4"/>
      <c r="M1958" s="1">
        <v>1</v>
      </c>
      <c r="V1958" s="4" t="s">
        <v>1340</v>
      </c>
      <c r="AL1958" s="60" t="s">
        <v>30</v>
      </c>
      <c r="AN1958" s="4" t="s">
        <v>30</v>
      </c>
    </row>
    <row r="1959" spans="1:40" ht="24" x14ac:dyDescent="0.2">
      <c r="A1959" s="1" t="s">
        <v>916</v>
      </c>
      <c r="B1959" s="1" t="s">
        <v>1307</v>
      </c>
      <c r="C1959" s="1" t="s">
        <v>5734</v>
      </c>
      <c r="D1959" s="1">
        <v>98</v>
      </c>
      <c r="E1959" s="1">
        <v>3</v>
      </c>
      <c r="F1959" s="1" t="s">
        <v>920</v>
      </c>
      <c r="G1959" s="1" t="s">
        <v>1308</v>
      </c>
      <c r="I1959" s="1" t="s">
        <v>63</v>
      </c>
      <c r="J1959" s="1" t="s">
        <v>971</v>
      </c>
      <c r="K1959" s="4"/>
      <c r="L1959" s="4"/>
      <c r="M1959" s="1">
        <v>0</v>
      </c>
      <c r="V1959" s="4" t="s">
        <v>1309</v>
      </c>
      <c r="AL1959" s="60" t="s">
        <v>30</v>
      </c>
      <c r="AN1959" s="4" t="s">
        <v>30</v>
      </c>
    </row>
    <row r="1960" spans="1:40" ht="48" x14ac:dyDescent="0.2">
      <c r="A1960" s="1" t="s">
        <v>916</v>
      </c>
      <c r="B1960" s="1" t="s">
        <v>1220</v>
      </c>
      <c r="C1960" s="1" t="s">
        <v>5734</v>
      </c>
      <c r="D1960" s="1">
        <v>99</v>
      </c>
      <c r="E1960" s="1">
        <v>3</v>
      </c>
      <c r="F1960" s="1" t="s">
        <v>920</v>
      </c>
      <c r="G1960" s="1" t="s">
        <v>1221</v>
      </c>
      <c r="I1960" s="1" t="s">
        <v>63</v>
      </c>
      <c r="J1960" s="1" t="s">
        <v>971</v>
      </c>
      <c r="K1960" s="4"/>
      <c r="L1960" s="4"/>
      <c r="M1960" s="1">
        <v>0</v>
      </c>
      <c r="V1960" s="4" t="s">
        <v>1222</v>
      </c>
      <c r="AL1960" s="60" t="s">
        <v>30</v>
      </c>
      <c r="AN1960" s="4" t="s">
        <v>30</v>
      </c>
    </row>
    <row r="1961" spans="1:40" ht="24" x14ac:dyDescent="0.2">
      <c r="A1961" s="1" t="s">
        <v>916</v>
      </c>
      <c r="B1961" s="1" t="s">
        <v>1230</v>
      </c>
      <c r="C1961" s="1" t="s">
        <v>5734</v>
      </c>
      <c r="D1961" s="1">
        <v>100</v>
      </c>
      <c r="E1961" s="1">
        <v>3</v>
      </c>
      <c r="F1961" s="1" t="s">
        <v>920</v>
      </c>
      <c r="G1961" s="1" t="s">
        <v>1231</v>
      </c>
      <c r="I1961" s="1" t="s">
        <v>63</v>
      </c>
      <c r="J1961" s="1" t="s">
        <v>971</v>
      </c>
      <c r="K1961" s="4" t="s">
        <v>1232</v>
      </c>
      <c r="L1961" s="4" t="s">
        <v>1233</v>
      </c>
      <c r="M1961" s="1">
        <v>0</v>
      </c>
      <c r="V1961" s="4" t="s">
        <v>1234</v>
      </c>
      <c r="AL1961" s="60" t="s">
        <v>30</v>
      </c>
      <c r="AN1961" s="4" t="s">
        <v>30</v>
      </c>
    </row>
    <row r="1962" spans="1:40" ht="24" x14ac:dyDescent="0.2">
      <c r="A1962" s="111" t="s">
        <v>916</v>
      </c>
      <c r="B1962" s="111" t="s">
        <v>1118</v>
      </c>
      <c r="C1962" s="111" t="s">
        <v>5734</v>
      </c>
      <c r="D1962" s="111">
        <v>101</v>
      </c>
      <c r="E1962" s="111">
        <v>2</v>
      </c>
      <c r="F1962" s="111" t="s">
        <v>924</v>
      </c>
      <c r="G1962" s="111" t="s">
        <v>1119</v>
      </c>
      <c r="I1962" s="1" t="s">
        <v>82</v>
      </c>
      <c r="K1962" s="4" t="s">
        <v>324</v>
      </c>
      <c r="L1962" s="4"/>
      <c r="M1962" s="1"/>
      <c r="V1962" s="4" t="s">
        <v>1120</v>
      </c>
      <c r="W1962" s="4" t="s">
        <v>1121</v>
      </c>
      <c r="AL1962" s="60" t="s">
        <v>30</v>
      </c>
      <c r="AN1962" s="4" t="s">
        <v>30</v>
      </c>
    </row>
    <row r="1963" spans="1:40" ht="36" x14ac:dyDescent="0.2">
      <c r="A1963" s="1" t="s">
        <v>916</v>
      </c>
      <c r="B1963" s="1" t="s">
        <v>1137</v>
      </c>
      <c r="C1963" s="1" t="s">
        <v>5734</v>
      </c>
      <c r="D1963" s="1">
        <v>102</v>
      </c>
      <c r="E1963" s="1">
        <v>2</v>
      </c>
      <c r="F1963" s="1" t="s">
        <v>924</v>
      </c>
      <c r="G1963" s="1" t="s">
        <v>1138</v>
      </c>
      <c r="I1963" s="1" t="s">
        <v>82</v>
      </c>
      <c r="K1963" s="4" t="s">
        <v>261</v>
      </c>
      <c r="L1963" s="4"/>
      <c r="M1963" s="1"/>
      <c r="V1963" s="4" t="s">
        <v>1139</v>
      </c>
      <c r="AL1963" s="60" t="s">
        <v>30</v>
      </c>
      <c r="AN1963" s="4" t="s">
        <v>30</v>
      </c>
    </row>
    <row r="1964" spans="1:40" ht="36" x14ac:dyDescent="0.2">
      <c r="A1964" s="1" t="s">
        <v>916</v>
      </c>
      <c r="B1964" s="1" t="s">
        <v>1181</v>
      </c>
      <c r="C1964" s="1" t="s">
        <v>5734</v>
      </c>
      <c r="D1964" s="1">
        <v>103</v>
      </c>
      <c r="E1964" s="1">
        <v>2</v>
      </c>
      <c r="F1964" s="1" t="s">
        <v>924</v>
      </c>
      <c r="G1964" s="1" t="s">
        <v>1182</v>
      </c>
      <c r="I1964" s="1" t="s">
        <v>82</v>
      </c>
      <c r="K1964" s="4"/>
      <c r="L1964" s="4"/>
      <c r="M1964" s="1"/>
      <c r="V1964" s="4" t="s">
        <v>1183</v>
      </c>
      <c r="W1964" s="4" t="s">
        <v>1184</v>
      </c>
      <c r="AL1964" s="60" t="s">
        <v>30</v>
      </c>
      <c r="AN1964" s="4" t="s">
        <v>30</v>
      </c>
    </row>
    <row r="1965" spans="1:40" ht="36" x14ac:dyDescent="0.2">
      <c r="A1965" s="1" t="s">
        <v>916</v>
      </c>
      <c r="B1965" s="1" t="s">
        <v>1122</v>
      </c>
      <c r="C1965" s="1" t="s">
        <v>5734</v>
      </c>
      <c r="D1965" s="1">
        <v>104</v>
      </c>
      <c r="E1965" s="1">
        <v>2</v>
      </c>
      <c r="F1965" s="1" t="s">
        <v>924</v>
      </c>
      <c r="G1965" s="1" t="s">
        <v>1123</v>
      </c>
      <c r="I1965" s="1" t="s">
        <v>82</v>
      </c>
      <c r="K1965" s="4" t="s">
        <v>1124</v>
      </c>
      <c r="L1965" s="4"/>
      <c r="M1965" s="1"/>
      <c r="V1965" s="4" t="s">
        <v>1125</v>
      </c>
      <c r="AL1965" s="60" t="s">
        <v>30</v>
      </c>
      <c r="AN1965" s="4" t="s">
        <v>30</v>
      </c>
    </row>
    <row r="1966" spans="1:40" ht="36" x14ac:dyDescent="0.2">
      <c r="A1966" s="1" t="s">
        <v>916</v>
      </c>
      <c r="B1966" s="1" t="s">
        <v>1556</v>
      </c>
      <c r="C1966" s="1" t="s">
        <v>5734</v>
      </c>
      <c r="D1966" s="1">
        <v>105</v>
      </c>
      <c r="E1966" s="1">
        <v>2</v>
      </c>
      <c r="F1966" s="1" t="s">
        <v>924</v>
      </c>
      <c r="G1966" s="1" t="s">
        <v>1557</v>
      </c>
      <c r="I1966" s="1" t="s">
        <v>63</v>
      </c>
      <c r="K1966" s="4" t="s">
        <v>1124</v>
      </c>
      <c r="L1966" s="4"/>
      <c r="M1966" s="1"/>
      <c r="V1966" s="4" t="s">
        <v>1558</v>
      </c>
      <c r="AL1966" s="60" t="s">
        <v>30</v>
      </c>
      <c r="AN1966" s="4" t="s">
        <v>30</v>
      </c>
    </row>
    <row r="1967" spans="1:40" ht="48" x14ac:dyDescent="0.2">
      <c r="A1967" s="1" t="s">
        <v>916</v>
      </c>
      <c r="B1967" s="1" t="s">
        <v>1355</v>
      </c>
      <c r="C1967" s="1" t="s">
        <v>5734</v>
      </c>
      <c r="D1967" s="1">
        <v>106</v>
      </c>
      <c r="E1967" s="1">
        <v>2</v>
      </c>
      <c r="F1967" s="1" t="s">
        <v>924</v>
      </c>
      <c r="G1967" s="1" t="s">
        <v>1356</v>
      </c>
      <c r="I1967" s="1" t="s">
        <v>82</v>
      </c>
      <c r="K1967" s="4"/>
      <c r="L1967" s="4"/>
      <c r="M1967" s="1"/>
      <c r="V1967" s="4" t="s">
        <v>1357</v>
      </c>
      <c r="W1967" s="4" t="s">
        <v>1358</v>
      </c>
      <c r="AL1967" s="60" t="s">
        <v>30</v>
      </c>
      <c r="AN1967" s="4" t="s">
        <v>30</v>
      </c>
    </row>
    <row r="1968" spans="1:40" ht="24" x14ac:dyDescent="0.2">
      <c r="A1968" s="1" t="s">
        <v>916</v>
      </c>
      <c r="B1968" s="1" t="s">
        <v>921</v>
      </c>
      <c r="C1968" s="1" t="s">
        <v>5734</v>
      </c>
      <c r="D1968" s="1">
        <v>107</v>
      </c>
      <c r="E1968" s="1">
        <v>2</v>
      </c>
      <c r="F1968" s="1" t="s">
        <v>924</v>
      </c>
      <c r="G1968" s="1" t="s">
        <v>922</v>
      </c>
      <c r="I1968" s="1" t="s">
        <v>104</v>
      </c>
      <c r="K1968" s="4" t="s">
        <v>697</v>
      </c>
      <c r="L1968" s="4"/>
      <c r="M1968" s="1"/>
      <c r="O1968" s="55">
        <v>2</v>
      </c>
      <c r="T1968" s="60">
        <v>7</v>
      </c>
      <c r="V1968" s="4" t="s">
        <v>923</v>
      </c>
      <c r="AL1968" s="60" t="s">
        <v>30</v>
      </c>
      <c r="AN1968" s="4" t="s">
        <v>30</v>
      </c>
    </row>
    <row r="1969" spans="1:43" ht="24" x14ac:dyDescent="0.2">
      <c r="A1969" s="1" t="s">
        <v>916</v>
      </c>
      <c r="B1969" s="1" t="s">
        <v>1390</v>
      </c>
      <c r="C1969" s="1" t="s">
        <v>5734</v>
      </c>
      <c r="D1969" s="1">
        <v>108</v>
      </c>
      <c r="E1969" s="1">
        <v>2</v>
      </c>
      <c r="F1969" s="1" t="s">
        <v>924</v>
      </c>
      <c r="G1969" s="1" t="s">
        <v>1391</v>
      </c>
      <c r="I1969" s="1" t="s">
        <v>104</v>
      </c>
      <c r="K1969" s="4" t="s">
        <v>956</v>
      </c>
      <c r="L1969" s="4" t="s">
        <v>331</v>
      </c>
      <c r="M1969" s="1"/>
      <c r="O1969" s="55">
        <v>4</v>
      </c>
      <c r="T1969" s="60">
        <v>2</v>
      </c>
      <c r="V1969" s="4" t="s">
        <v>1392</v>
      </c>
      <c r="AL1969" s="60" t="s">
        <v>30</v>
      </c>
      <c r="AN1969" s="4" t="s">
        <v>30</v>
      </c>
    </row>
    <row r="1970" spans="1:43" ht="24" x14ac:dyDescent="0.2">
      <c r="A1970" s="1" t="s">
        <v>916</v>
      </c>
      <c r="B1970" s="1" t="s">
        <v>1548</v>
      </c>
      <c r="C1970" s="1" t="s">
        <v>5734</v>
      </c>
      <c r="D1970" s="1">
        <v>109</v>
      </c>
      <c r="E1970" s="1">
        <v>3</v>
      </c>
      <c r="F1970" s="1" t="s">
        <v>924</v>
      </c>
      <c r="G1970" s="1" t="s">
        <v>1549</v>
      </c>
      <c r="I1970" s="1" t="s">
        <v>104</v>
      </c>
      <c r="K1970" s="4" t="s">
        <v>956</v>
      </c>
      <c r="L1970" s="4"/>
      <c r="M1970" s="1"/>
      <c r="O1970" s="55">
        <v>2</v>
      </c>
      <c r="T1970" s="60">
        <v>3</v>
      </c>
      <c r="V1970" s="4" t="s">
        <v>1550</v>
      </c>
      <c r="W1970" s="4" t="s">
        <v>1551</v>
      </c>
      <c r="AL1970" s="60" t="s">
        <v>30</v>
      </c>
      <c r="AN1970" s="4" t="s">
        <v>30</v>
      </c>
    </row>
    <row r="1971" spans="1:43" ht="60" x14ac:dyDescent="0.2">
      <c r="A1971" s="1" t="s">
        <v>916</v>
      </c>
      <c r="B1971" s="1" t="s">
        <v>954</v>
      </c>
      <c r="C1971" s="1" t="s">
        <v>5734</v>
      </c>
      <c r="D1971" s="1">
        <v>110</v>
      </c>
      <c r="E1971" s="1">
        <v>1</v>
      </c>
      <c r="F1971" s="1" t="s">
        <v>924</v>
      </c>
      <c r="G1971" s="1" t="s">
        <v>955</v>
      </c>
      <c r="H1971" s="1" t="s">
        <v>26</v>
      </c>
      <c r="I1971" s="1" t="s">
        <v>104</v>
      </c>
      <c r="K1971" s="4" t="s">
        <v>956</v>
      </c>
      <c r="L1971" s="4"/>
      <c r="M1971" s="1"/>
      <c r="O1971" s="55">
        <v>5</v>
      </c>
      <c r="T1971" s="60">
        <v>5</v>
      </c>
      <c r="V1971" s="4" t="s">
        <v>957</v>
      </c>
      <c r="AL1971" s="60" t="s">
        <v>30</v>
      </c>
      <c r="AN1971" s="4" t="s">
        <v>30</v>
      </c>
    </row>
    <row r="1972" spans="1:43" ht="24" x14ac:dyDescent="0.2">
      <c r="A1972" s="1" t="s">
        <v>916</v>
      </c>
      <c r="B1972" s="1" t="s">
        <v>1215</v>
      </c>
      <c r="C1972" s="1" t="s">
        <v>5734</v>
      </c>
      <c r="D1972" s="1">
        <v>111</v>
      </c>
      <c r="E1972" s="1">
        <v>2</v>
      </c>
      <c r="F1972" s="1" t="s">
        <v>924</v>
      </c>
      <c r="G1972" s="1" t="s">
        <v>1216</v>
      </c>
      <c r="I1972" s="1" t="s">
        <v>104</v>
      </c>
      <c r="K1972" s="4" t="s">
        <v>1217</v>
      </c>
      <c r="L1972" s="4"/>
      <c r="M1972" s="1"/>
      <c r="O1972" s="55">
        <v>3</v>
      </c>
      <c r="T1972" s="60">
        <v>6</v>
      </c>
      <c r="V1972" s="4" t="s">
        <v>1218</v>
      </c>
      <c r="W1972" s="4" t="s">
        <v>1219</v>
      </c>
      <c r="AL1972" s="60" t="s">
        <v>30</v>
      </c>
      <c r="AN1972" s="4" t="s">
        <v>30</v>
      </c>
    </row>
    <row r="1973" spans="1:43" ht="24" x14ac:dyDescent="0.2">
      <c r="A1973" s="1" t="s">
        <v>916</v>
      </c>
      <c r="B1973" s="1" t="s">
        <v>1517</v>
      </c>
      <c r="C1973" s="1" t="s">
        <v>5734</v>
      </c>
      <c r="D1973" s="1">
        <v>112</v>
      </c>
      <c r="E1973" s="1">
        <v>2</v>
      </c>
      <c r="F1973" s="1" t="s">
        <v>924</v>
      </c>
      <c r="G1973" s="1" t="s">
        <v>1518</v>
      </c>
      <c r="I1973" s="1" t="s">
        <v>104</v>
      </c>
      <c r="K1973" s="4" t="s">
        <v>697</v>
      </c>
      <c r="L1973" s="4"/>
      <c r="M1973" s="1"/>
      <c r="O1973" s="55">
        <v>2</v>
      </c>
      <c r="T1973" s="60">
        <v>4</v>
      </c>
      <c r="V1973" s="4" t="s">
        <v>1519</v>
      </c>
      <c r="W1973" s="4" t="s">
        <v>1520</v>
      </c>
      <c r="AL1973" s="60" t="s">
        <v>30</v>
      </c>
      <c r="AN1973" s="4" t="s">
        <v>30</v>
      </c>
    </row>
    <row r="1974" spans="1:43" ht="60" x14ac:dyDescent="0.2">
      <c r="A1974" s="1" t="s">
        <v>916</v>
      </c>
      <c r="B1974" s="1" t="s">
        <v>1288</v>
      </c>
      <c r="C1974" s="1" t="s">
        <v>5734</v>
      </c>
      <c r="D1974" s="1">
        <v>113</v>
      </c>
      <c r="E1974" s="1">
        <v>1</v>
      </c>
      <c r="F1974" s="1" t="s">
        <v>924</v>
      </c>
      <c r="G1974" s="1" t="s">
        <v>1289</v>
      </c>
      <c r="H1974" s="1" t="s">
        <v>26</v>
      </c>
      <c r="I1974" s="1" t="s">
        <v>104</v>
      </c>
      <c r="K1974" s="4" t="s">
        <v>1059</v>
      </c>
      <c r="L1974" s="4" t="s">
        <v>331</v>
      </c>
      <c r="M1974" s="1"/>
      <c r="O1974" s="55">
        <v>3</v>
      </c>
      <c r="T1974" s="60">
        <v>6</v>
      </c>
      <c r="U1974" s="1">
        <v>2</v>
      </c>
      <c r="V1974" s="4" t="s">
        <v>1290</v>
      </c>
      <c r="AL1974" s="60" t="s">
        <v>30</v>
      </c>
      <c r="AN1974" s="4" t="s">
        <v>30</v>
      </c>
    </row>
    <row r="1975" spans="1:43" ht="96" x14ac:dyDescent="0.2">
      <c r="A1975" s="1" t="s">
        <v>916</v>
      </c>
      <c r="B1975" s="1" t="s">
        <v>958</v>
      </c>
      <c r="C1975" s="1" t="s">
        <v>5734</v>
      </c>
      <c r="D1975" s="1">
        <v>114</v>
      </c>
      <c r="E1975" s="1">
        <v>1</v>
      </c>
      <c r="F1975" s="1" t="s">
        <v>924</v>
      </c>
      <c r="G1975" s="1" t="s">
        <v>959</v>
      </c>
      <c r="I1975" s="1" t="s">
        <v>88</v>
      </c>
      <c r="K1975" s="4" t="s">
        <v>960</v>
      </c>
      <c r="L1975" s="4"/>
      <c r="M1975" s="1"/>
      <c r="V1975" s="4" t="s">
        <v>961</v>
      </c>
      <c r="AL1975" s="60" t="s">
        <v>30</v>
      </c>
      <c r="AN1975" s="4" t="s">
        <v>30</v>
      </c>
    </row>
    <row r="1976" spans="1:43" ht="24" x14ac:dyDescent="0.2">
      <c r="A1976" s="1" t="s">
        <v>916</v>
      </c>
      <c r="B1976" s="1" t="s">
        <v>1276</v>
      </c>
      <c r="C1976" s="1" t="s">
        <v>5734</v>
      </c>
      <c r="D1976" s="1">
        <v>115</v>
      </c>
      <c r="E1976" s="1">
        <v>1</v>
      </c>
      <c r="F1976" s="1" t="s">
        <v>924</v>
      </c>
      <c r="G1976" s="1" t="s">
        <v>1277</v>
      </c>
      <c r="H1976" s="1" t="s">
        <v>26</v>
      </c>
      <c r="I1976" s="1" t="s">
        <v>88</v>
      </c>
      <c r="K1976" s="4" t="s">
        <v>1278</v>
      </c>
      <c r="L1976" s="4"/>
      <c r="M1976" s="1"/>
      <c r="P1976" s="56">
        <v>3</v>
      </c>
      <c r="Q1976" s="57">
        <v>3</v>
      </c>
      <c r="R1976" s="58">
        <v>1</v>
      </c>
      <c r="S1976" s="59">
        <v>4</v>
      </c>
      <c r="V1976" s="4" t="s">
        <v>1279</v>
      </c>
      <c r="AL1976" s="60" t="s">
        <v>30</v>
      </c>
      <c r="AN1976" s="4" t="s">
        <v>30</v>
      </c>
    </row>
    <row r="1977" spans="1:43" ht="24" x14ac:dyDescent="0.2">
      <c r="A1977" s="1" t="s">
        <v>916</v>
      </c>
      <c r="B1977" s="1" t="s">
        <v>1594</v>
      </c>
      <c r="C1977" s="1" t="s">
        <v>5734</v>
      </c>
      <c r="D1977" s="1">
        <v>116</v>
      </c>
      <c r="E1977" s="1">
        <v>1</v>
      </c>
      <c r="F1977" s="1" t="s">
        <v>924</v>
      </c>
      <c r="G1977" s="1" t="s">
        <v>1595</v>
      </c>
      <c r="H1977" s="1" t="s">
        <v>26</v>
      </c>
      <c r="I1977" s="1" t="s">
        <v>94</v>
      </c>
      <c r="K1977" s="4" t="s">
        <v>930</v>
      </c>
      <c r="L1977" s="4" t="s">
        <v>1294</v>
      </c>
      <c r="M1977" s="1"/>
      <c r="N1977" s="54">
        <v>45</v>
      </c>
      <c r="O1977" s="55">
        <v>4</v>
      </c>
      <c r="Q1977" s="57">
        <v>7</v>
      </c>
      <c r="R1977" s="58">
        <v>4</v>
      </c>
      <c r="S1977" s="59">
        <v>12</v>
      </c>
      <c r="U1977" s="1">
        <v>3</v>
      </c>
      <c r="V1977" s="4" t="s">
        <v>1596</v>
      </c>
      <c r="AL1977" s="60" t="s">
        <v>30</v>
      </c>
      <c r="AN1977" s="4" t="s">
        <v>30</v>
      </c>
      <c r="AQ1977" s="1"/>
    </row>
    <row r="1978" spans="1:43" ht="24" x14ac:dyDescent="0.2">
      <c r="A1978" s="1" t="s">
        <v>916</v>
      </c>
      <c r="B1978" s="1" t="s">
        <v>1291</v>
      </c>
      <c r="C1978" s="1" t="s">
        <v>5734</v>
      </c>
      <c r="D1978" s="1">
        <v>117</v>
      </c>
      <c r="E1978" s="1">
        <v>1</v>
      </c>
      <c r="F1978" s="1" t="s">
        <v>924</v>
      </c>
      <c r="G1978" s="1" t="s">
        <v>1292</v>
      </c>
      <c r="H1978" s="1" t="s">
        <v>26</v>
      </c>
      <c r="I1978" s="1" t="s">
        <v>94</v>
      </c>
      <c r="K1978" s="4" t="s">
        <v>1293</v>
      </c>
      <c r="L1978" s="4" t="s">
        <v>1294</v>
      </c>
      <c r="M1978" s="1"/>
      <c r="N1978" s="54">
        <v>48</v>
      </c>
      <c r="O1978" s="55">
        <v>5</v>
      </c>
      <c r="Q1978" s="57">
        <v>9</v>
      </c>
      <c r="R1978" s="58">
        <v>5</v>
      </c>
      <c r="S1978" s="59">
        <v>20</v>
      </c>
      <c r="U1978" s="1">
        <v>5</v>
      </c>
      <c r="V1978" s="4" t="s">
        <v>1295</v>
      </c>
      <c r="AL1978" s="60" t="s">
        <v>30</v>
      </c>
      <c r="AN1978" s="4" t="s">
        <v>30</v>
      </c>
      <c r="AQ1978" s="1"/>
    </row>
    <row r="1979" spans="1:43" ht="24" x14ac:dyDescent="0.2">
      <c r="A1979" s="1" t="s">
        <v>916</v>
      </c>
      <c r="B1979" s="1" t="s">
        <v>1351</v>
      </c>
      <c r="C1979" s="1" t="s">
        <v>5734</v>
      </c>
      <c r="D1979" s="1">
        <v>118</v>
      </c>
      <c r="E1979" s="1">
        <v>4</v>
      </c>
      <c r="F1979" s="1" t="s">
        <v>924</v>
      </c>
      <c r="G1979" s="1" t="s">
        <v>1352</v>
      </c>
      <c r="I1979" s="1" t="s">
        <v>94</v>
      </c>
      <c r="K1979" s="4" t="s">
        <v>930</v>
      </c>
      <c r="L1979" s="4"/>
      <c r="M1979" s="1"/>
      <c r="N1979" s="54">
        <v>30</v>
      </c>
      <c r="O1979" s="55">
        <v>1</v>
      </c>
      <c r="Q1979" s="57">
        <v>2</v>
      </c>
      <c r="R1979" s="58">
        <v>1</v>
      </c>
      <c r="S1979" s="59">
        <v>5</v>
      </c>
      <c r="V1979" s="4" t="s">
        <v>1353</v>
      </c>
      <c r="W1979" s="4" t="s">
        <v>1354</v>
      </c>
      <c r="AL1979" s="60" t="s">
        <v>30</v>
      </c>
      <c r="AN1979" s="4" t="s">
        <v>30</v>
      </c>
      <c r="AQ1979" s="1"/>
    </row>
    <row r="1980" spans="1:43" ht="24" x14ac:dyDescent="0.2">
      <c r="A1980" s="1" t="s">
        <v>916</v>
      </c>
      <c r="B1980" s="1" t="s">
        <v>1027</v>
      </c>
      <c r="C1980" s="1" t="s">
        <v>5734</v>
      </c>
      <c r="D1980" s="1">
        <v>119</v>
      </c>
      <c r="E1980" s="1">
        <v>1</v>
      </c>
      <c r="F1980" s="1" t="s">
        <v>924</v>
      </c>
      <c r="G1980" s="1" t="s">
        <v>1028</v>
      </c>
      <c r="H1980" s="1" t="s">
        <v>26</v>
      </c>
      <c r="I1980" s="1" t="s">
        <v>94</v>
      </c>
      <c r="K1980" s="4" t="s">
        <v>1029</v>
      </c>
      <c r="L1980" s="4"/>
      <c r="M1980" s="1"/>
      <c r="N1980" s="54">
        <v>33</v>
      </c>
      <c r="O1980" s="55">
        <v>3</v>
      </c>
      <c r="Q1980" s="57">
        <v>5</v>
      </c>
      <c r="R1980" s="58">
        <v>1</v>
      </c>
      <c r="S1980" s="59">
        <v>6</v>
      </c>
      <c r="V1980" s="4" t="s">
        <v>1030</v>
      </c>
      <c r="W1980" s="4" t="s">
        <v>1031</v>
      </c>
      <c r="AL1980" s="60" t="s">
        <v>30</v>
      </c>
      <c r="AN1980" s="4" t="s">
        <v>30</v>
      </c>
      <c r="AQ1980" s="1"/>
    </row>
    <row r="1981" spans="1:43" ht="36" x14ac:dyDescent="0.2">
      <c r="A1981" s="1" t="s">
        <v>916</v>
      </c>
      <c r="B1981" s="1" t="s">
        <v>1471</v>
      </c>
      <c r="C1981" s="1" t="s">
        <v>5734</v>
      </c>
      <c r="D1981" s="1">
        <v>120</v>
      </c>
      <c r="E1981" s="1">
        <v>2</v>
      </c>
      <c r="F1981" s="1" t="s">
        <v>924</v>
      </c>
      <c r="G1981" s="1" t="s">
        <v>1472</v>
      </c>
      <c r="I1981" s="1" t="s">
        <v>94</v>
      </c>
      <c r="K1981" s="4" t="s">
        <v>1473</v>
      </c>
      <c r="L1981" s="4"/>
      <c r="M1981" s="1"/>
      <c r="N1981" s="54">
        <v>20</v>
      </c>
      <c r="O1981" s="55">
        <v>2</v>
      </c>
      <c r="Q1981" s="57">
        <v>4</v>
      </c>
      <c r="R1981" s="58">
        <v>1</v>
      </c>
      <c r="S1981" s="59">
        <v>4</v>
      </c>
      <c r="V1981" s="4" t="s">
        <v>1474</v>
      </c>
      <c r="AL1981" s="60" t="s">
        <v>30</v>
      </c>
      <c r="AN1981" s="4" t="s">
        <v>30</v>
      </c>
      <c r="AQ1981" s="1"/>
    </row>
    <row r="1982" spans="1:43" ht="48" x14ac:dyDescent="0.2">
      <c r="A1982" s="1" t="s">
        <v>916</v>
      </c>
      <c r="B1982" s="1" t="s">
        <v>1019</v>
      </c>
      <c r="C1982" s="1" t="s">
        <v>5734</v>
      </c>
      <c r="D1982" s="1">
        <v>121</v>
      </c>
      <c r="E1982" s="1">
        <v>3</v>
      </c>
      <c r="F1982" s="1" t="s">
        <v>924</v>
      </c>
      <c r="G1982" s="1" t="s">
        <v>1020</v>
      </c>
      <c r="I1982" s="1" t="s">
        <v>94</v>
      </c>
      <c r="K1982" s="4" t="s">
        <v>930</v>
      </c>
      <c r="L1982" s="4"/>
      <c r="M1982" s="1"/>
      <c r="N1982" s="54">
        <v>25</v>
      </c>
      <c r="O1982" s="55">
        <v>2</v>
      </c>
      <c r="Q1982" s="57">
        <v>2</v>
      </c>
      <c r="R1982" s="58">
        <v>3</v>
      </c>
      <c r="S1982" s="59">
        <v>5</v>
      </c>
      <c r="V1982" s="4" t="s">
        <v>1021</v>
      </c>
      <c r="W1982" s="4" t="s">
        <v>1022</v>
      </c>
      <c r="AL1982" s="60" t="s">
        <v>30</v>
      </c>
      <c r="AN1982" s="4" t="s">
        <v>30</v>
      </c>
      <c r="AQ1982" s="1"/>
    </row>
    <row r="1983" spans="1:43" ht="24" x14ac:dyDescent="0.2">
      <c r="A1983" s="1" t="s">
        <v>916</v>
      </c>
      <c r="B1983" s="1" t="s">
        <v>1261</v>
      </c>
      <c r="C1983" s="1" t="s">
        <v>5734</v>
      </c>
      <c r="D1983" s="1">
        <v>122</v>
      </c>
      <c r="E1983" s="1">
        <v>4</v>
      </c>
      <c r="F1983" s="1" t="s">
        <v>924</v>
      </c>
      <c r="G1983" s="1" t="s">
        <v>1262</v>
      </c>
      <c r="I1983" s="1" t="s">
        <v>94</v>
      </c>
      <c r="K1983" s="4" t="s">
        <v>930</v>
      </c>
      <c r="L1983" s="4"/>
      <c r="M1983" s="1"/>
      <c r="N1983" s="54">
        <v>32</v>
      </c>
      <c r="O1983" s="55">
        <v>3</v>
      </c>
      <c r="Q1983" s="57">
        <v>3</v>
      </c>
      <c r="R1983" s="58">
        <v>2</v>
      </c>
      <c r="S1983" s="59">
        <v>4</v>
      </c>
      <c r="V1983" s="4" t="s">
        <v>1263</v>
      </c>
      <c r="W1983" s="4" t="s">
        <v>1264</v>
      </c>
      <c r="AL1983" s="60" t="s">
        <v>30</v>
      </c>
      <c r="AN1983" s="4" t="s">
        <v>30</v>
      </c>
      <c r="AQ1983" s="1"/>
    </row>
    <row r="1984" spans="1:43" ht="84" x14ac:dyDescent="0.2">
      <c r="A1984" s="1" t="s">
        <v>916</v>
      </c>
      <c r="B1984" s="1" t="s">
        <v>1552</v>
      </c>
      <c r="C1984" s="1" t="s">
        <v>5734</v>
      </c>
      <c r="D1984" s="1">
        <v>123</v>
      </c>
      <c r="E1984" s="1">
        <v>3</v>
      </c>
      <c r="F1984" s="1" t="s">
        <v>924</v>
      </c>
      <c r="G1984" s="1" t="s">
        <v>1553</v>
      </c>
      <c r="I1984" s="1" t="s">
        <v>94</v>
      </c>
      <c r="K1984" s="4" t="s">
        <v>1554</v>
      </c>
      <c r="L1984" s="4"/>
      <c r="M1984" s="1"/>
      <c r="N1984" s="54">
        <v>28</v>
      </c>
      <c r="O1984" s="55">
        <v>1</v>
      </c>
      <c r="Q1984" s="57">
        <v>2</v>
      </c>
      <c r="R1984" s="58">
        <v>1</v>
      </c>
      <c r="S1984" s="59">
        <v>3</v>
      </c>
      <c r="V1984" s="4" t="s">
        <v>1555</v>
      </c>
      <c r="AL1984" s="60" t="s">
        <v>30</v>
      </c>
      <c r="AN1984" s="4" t="s">
        <v>30</v>
      </c>
      <c r="AQ1984" s="1"/>
    </row>
    <row r="1985" spans="1:43" ht="24" x14ac:dyDescent="0.2">
      <c r="A1985" s="1" t="s">
        <v>916</v>
      </c>
      <c r="B1985" s="1" t="s">
        <v>1435</v>
      </c>
      <c r="C1985" s="1" t="s">
        <v>5734</v>
      </c>
      <c r="D1985" s="1">
        <v>124</v>
      </c>
      <c r="E1985" s="1">
        <v>1</v>
      </c>
      <c r="F1985" s="1" t="s">
        <v>924</v>
      </c>
      <c r="G1985" s="1" t="s">
        <v>1436</v>
      </c>
      <c r="H1985" s="1" t="s">
        <v>26</v>
      </c>
      <c r="I1985" s="1" t="s">
        <v>94</v>
      </c>
      <c r="K1985" s="4" t="s">
        <v>930</v>
      </c>
      <c r="L1985" s="4" t="s">
        <v>1437</v>
      </c>
      <c r="M1985" s="1"/>
      <c r="N1985" s="54">
        <v>1</v>
      </c>
      <c r="O1985" s="55">
        <v>3</v>
      </c>
      <c r="Q1985" s="57">
        <v>6</v>
      </c>
      <c r="R1985" s="58">
        <v>3</v>
      </c>
      <c r="S1985" s="59">
        <v>10</v>
      </c>
      <c r="V1985" s="4" t="s">
        <v>1438</v>
      </c>
      <c r="AL1985" s="60" t="s">
        <v>30</v>
      </c>
      <c r="AN1985" s="4" t="s">
        <v>30</v>
      </c>
      <c r="AQ1985" s="1"/>
    </row>
    <row r="1986" spans="1:43" ht="72" x14ac:dyDescent="0.2">
      <c r="A1986" s="111" t="s">
        <v>916</v>
      </c>
      <c r="B1986" s="111" t="s">
        <v>1569</v>
      </c>
      <c r="C1986" s="111" t="s">
        <v>5734</v>
      </c>
      <c r="D1986" s="111">
        <v>125</v>
      </c>
      <c r="E1986" s="111">
        <v>1</v>
      </c>
      <c r="F1986" s="111" t="s">
        <v>938</v>
      </c>
      <c r="G1986" s="111" t="s">
        <v>1570</v>
      </c>
      <c r="H1986" s="1" t="s">
        <v>26</v>
      </c>
      <c r="I1986" s="1" t="s">
        <v>94</v>
      </c>
      <c r="K1986" s="4" t="s">
        <v>1319</v>
      </c>
      <c r="L1986" s="4" t="s">
        <v>1571</v>
      </c>
      <c r="M1986" s="1"/>
      <c r="N1986" s="54">
        <v>50</v>
      </c>
      <c r="O1986" s="55">
        <v>8</v>
      </c>
      <c r="Q1986" s="57">
        <v>15</v>
      </c>
      <c r="R1986" s="58">
        <v>9</v>
      </c>
      <c r="S1986" s="59">
        <v>40</v>
      </c>
      <c r="V1986" s="4" t="s">
        <v>1572</v>
      </c>
      <c r="AL1986" s="60" t="s">
        <v>30</v>
      </c>
      <c r="AN1986" s="4" t="s">
        <v>30</v>
      </c>
      <c r="AQ1986" s="1"/>
    </row>
    <row r="1987" spans="1:43" ht="60" x14ac:dyDescent="0.2">
      <c r="A1987" s="1" t="s">
        <v>916</v>
      </c>
      <c r="B1987" s="1" t="s">
        <v>1283</v>
      </c>
      <c r="C1987" s="1" t="s">
        <v>5734</v>
      </c>
      <c r="D1987" s="1">
        <v>126</v>
      </c>
      <c r="E1987" s="1">
        <v>1</v>
      </c>
      <c r="F1987" s="1" t="s">
        <v>938</v>
      </c>
      <c r="G1987" s="1" t="s">
        <v>1284</v>
      </c>
      <c r="H1987" s="1" t="s">
        <v>26</v>
      </c>
      <c r="I1987" s="1" t="s">
        <v>104</v>
      </c>
      <c r="K1987" s="4" t="s">
        <v>1285</v>
      </c>
      <c r="L1987" s="4" t="s">
        <v>1286</v>
      </c>
      <c r="M1987" s="1"/>
      <c r="O1987" s="55">
        <v>5</v>
      </c>
      <c r="T1987" s="60">
        <v>15</v>
      </c>
      <c r="U1987" s="1">
        <v>1</v>
      </c>
      <c r="V1987" s="4" t="s">
        <v>1287</v>
      </c>
      <c r="AL1987" s="60" t="s">
        <v>30</v>
      </c>
      <c r="AN1987" s="4" t="s">
        <v>30</v>
      </c>
      <c r="AQ1987" s="1"/>
    </row>
    <row r="1988" spans="1:43" ht="24" x14ac:dyDescent="0.2">
      <c r="A1988" s="1" t="s">
        <v>916</v>
      </c>
      <c r="B1988" s="1" t="s">
        <v>1529</v>
      </c>
      <c r="C1988" s="1" t="s">
        <v>5734</v>
      </c>
      <c r="D1988" s="1">
        <v>127</v>
      </c>
      <c r="E1988" s="1">
        <v>2</v>
      </c>
      <c r="F1988" s="1" t="s">
        <v>938</v>
      </c>
      <c r="G1988" s="1" t="s">
        <v>1530</v>
      </c>
      <c r="I1988" s="1" t="s">
        <v>94</v>
      </c>
      <c r="K1988" s="4" t="s">
        <v>1142</v>
      </c>
      <c r="L1988" s="4" t="s">
        <v>945</v>
      </c>
      <c r="M1988" s="1"/>
      <c r="N1988" s="54">
        <v>42</v>
      </c>
      <c r="O1988" s="55">
        <v>5</v>
      </c>
      <c r="Q1988" s="57">
        <v>9</v>
      </c>
      <c r="R1988" s="58">
        <v>5</v>
      </c>
      <c r="S1988" s="59">
        <v>21</v>
      </c>
      <c r="U1988" s="1">
        <v>5</v>
      </c>
      <c r="V1988" s="4" t="s">
        <v>1531</v>
      </c>
      <c r="W1988" s="4" t="s">
        <v>1532</v>
      </c>
      <c r="AL1988" s="60" t="s">
        <v>30</v>
      </c>
      <c r="AN1988" s="4" t="s">
        <v>30</v>
      </c>
      <c r="AQ1988" s="1"/>
    </row>
    <row r="1989" spans="1:43" ht="48" x14ac:dyDescent="0.2">
      <c r="A1989" s="1" t="s">
        <v>916</v>
      </c>
      <c r="B1989" s="1" t="s">
        <v>1304</v>
      </c>
      <c r="C1989" s="1" t="s">
        <v>5734</v>
      </c>
      <c r="D1989" s="1">
        <v>128</v>
      </c>
      <c r="E1989" s="1">
        <v>1</v>
      </c>
      <c r="F1989" s="1" t="s">
        <v>938</v>
      </c>
      <c r="G1989" s="1" t="s">
        <v>1305</v>
      </c>
      <c r="H1989" s="1" t="s">
        <v>26</v>
      </c>
      <c r="I1989" s="1" t="s">
        <v>88</v>
      </c>
      <c r="K1989" s="4" t="s">
        <v>1098</v>
      </c>
      <c r="L1989" s="4"/>
      <c r="M1989" s="1"/>
      <c r="V1989" s="4" t="s">
        <v>1306</v>
      </c>
      <c r="AL1989" s="60" t="s">
        <v>30</v>
      </c>
      <c r="AN1989" s="4" t="s">
        <v>30</v>
      </c>
      <c r="AQ1989" s="1"/>
    </row>
    <row r="1990" spans="1:43" ht="24" x14ac:dyDescent="0.2">
      <c r="A1990" s="1" t="s">
        <v>916</v>
      </c>
      <c r="B1990" s="1" t="s">
        <v>1023</v>
      </c>
      <c r="C1990" s="1" t="s">
        <v>5734</v>
      </c>
      <c r="D1990" s="1">
        <v>129</v>
      </c>
      <c r="E1990" s="1">
        <v>1</v>
      </c>
      <c r="F1990" s="1" t="s">
        <v>938</v>
      </c>
      <c r="G1990" s="1" t="s">
        <v>1024</v>
      </c>
      <c r="H1990" s="1" t="s">
        <v>26</v>
      </c>
      <c r="I1990" s="1" t="s">
        <v>94</v>
      </c>
      <c r="K1990" s="4" t="s">
        <v>1025</v>
      </c>
      <c r="L1990" s="4" t="s">
        <v>945</v>
      </c>
      <c r="M1990" s="1"/>
      <c r="N1990" s="54">
        <v>40</v>
      </c>
      <c r="O1990" s="55">
        <v>5</v>
      </c>
      <c r="Q1990" s="57">
        <v>10</v>
      </c>
      <c r="R1990" s="58">
        <v>4</v>
      </c>
      <c r="S1990" s="59">
        <v>25</v>
      </c>
      <c r="U1990" s="1">
        <v>6</v>
      </c>
      <c r="V1990" s="4" t="s">
        <v>1026</v>
      </c>
      <c r="AL1990" s="60" t="s">
        <v>30</v>
      </c>
      <c r="AN1990" s="4" t="s">
        <v>30</v>
      </c>
      <c r="AQ1990" s="1"/>
    </row>
    <row r="1991" spans="1:43" ht="24" x14ac:dyDescent="0.2">
      <c r="A1991" s="1" t="s">
        <v>916</v>
      </c>
      <c r="B1991" s="1" t="s">
        <v>1397</v>
      </c>
      <c r="C1991" s="1" t="s">
        <v>5734</v>
      </c>
      <c r="D1991" s="1">
        <v>130</v>
      </c>
      <c r="E1991" s="1">
        <v>3</v>
      </c>
      <c r="F1991" s="1" t="s">
        <v>938</v>
      </c>
      <c r="G1991" s="1" t="s">
        <v>1398</v>
      </c>
      <c r="I1991" s="1" t="s">
        <v>94</v>
      </c>
      <c r="K1991" s="4" t="s">
        <v>287</v>
      </c>
      <c r="L1991" s="4" t="s">
        <v>945</v>
      </c>
      <c r="M1991" s="1"/>
      <c r="N1991" s="54">
        <v>30</v>
      </c>
      <c r="O1991" s="55">
        <v>2</v>
      </c>
      <c r="Q1991" s="57">
        <v>6</v>
      </c>
      <c r="R1991" s="58">
        <v>3</v>
      </c>
      <c r="S1991" s="59">
        <v>9</v>
      </c>
      <c r="V1991" s="4" t="s">
        <v>1399</v>
      </c>
      <c r="W1991" s="4" t="s">
        <v>1400</v>
      </c>
      <c r="AL1991" s="60" t="s">
        <v>30</v>
      </c>
      <c r="AN1991" s="4" t="s">
        <v>30</v>
      </c>
      <c r="AQ1991" s="1"/>
    </row>
    <row r="1992" spans="1:43" ht="24" x14ac:dyDescent="0.2">
      <c r="A1992" s="1" t="s">
        <v>916</v>
      </c>
      <c r="B1992" s="1" t="s">
        <v>942</v>
      </c>
      <c r="C1992" s="1" t="s">
        <v>5734</v>
      </c>
      <c r="D1992" s="1">
        <v>131</v>
      </c>
      <c r="E1992" s="1">
        <v>2</v>
      </c>
      <c r="F1992" s="1" t="s">
        <v>938</v>
      </c>
      <c r="G1992" s="1" t="s">
        <v>943</v>
      </c>
      <c r="I1992" s="1" t="s">
        <v>94</v>
      </c>
      <c r="K1992" s="4" t="s">
        <v>944</v>
      </c>
      <c r="L1992" s="4" t="s">
        <v>945</v>
      </c>
      <c r="M1992" s="1"/>
      <c r="N1992" s="54">
        <v>28</v>
      </c>
      <c r="O1992" s="55">
        <v>3</v>
      </c>
      <c r="Q1992" s="57">
        <v>5</v>
      </c>
      <c r="R1992" s="58">
        <v>2</v>
      </c>
      <c r="S1992" s="59">
        <v>6</v>
      </c>
      <c r="V1992" s="4" t="s">
        <v>946</v>
      </c>
      <c r="AL1992" s="60" t="s">
        <v>30</v>
      </c>
      <c r="AN1992" s="4" t="s">
        <v>30</v>
      </c>
      <c r="AQ1992" s="1"/>
    </row>
    <row r="1993" spans="1:43" ht="24" x14ac:dyDescent="0.2">
      <c r="A1993" s="1" t="s">
        <v>916</v>
      </c>
      <c r="B1993" s="1" t="s">
        <v>1443</v>
      </c>
      <c r="C1993" s="1" t="s">
        <v>5734</v>
      </c>
      <c r="D1993" s="1">
        <v>132</v>
      </c>
      <c r="E1993" s="1">
        <v>3</v>
      </c>
      <c r="F1993" s="1" t="s">
        <v>938</v>
      </c>
      <c r="G1993" s="1" t="s">
        <v>1444</v>
      </c>
      <c r="I1993" s="1" t="s">
        <v>94</v>
      </c>
      <c r="K1993" s="4" t="s">
        <v>944</v>
      </c>
      <c r="L1993" s="4" t="s">
        <v>1445</v>
      </c>
      <c r="M1993" s="1"/>
      <c r="N1993" s="54">
        <v>25</v>
      </c>
      <c r="O1993" s="55">
        <v>2</v>
      </c>
      <c r="Q1993" s="57">
        <v>4</v>
      </c>
      <c r="R1993" s="58">
        <v>1</v>
      </c>
      <c r="S1993" s="59">
        <v>5</v>
      </c>
      <c r="V1993" s="4" t="s">
        <v>1446</v>
      </c>
      <c r="W1993" s="4" t="s">
        <v>1447</v>
      </c>
      <c r="AL1993" s="60" t="s">
        <v>30</v>
      </c>
      <c r="AN1993" s="4" t="s">
        <v>30</v>
      </c>
      <c r="AQ1993" s="1"/>
    </row>
    <row r="1994" spans="1:43" ht="36" x14ac:dyDescent="0.2">
      <c r="A1994" s="1" t="s">
        <v>916</v>
      </c>
      <c r="B1994" s="1" t="s">
        <v>1363</v>
      </c>
      <c r="C1994" s="1" t="s">
        <v>5734</v>
      </c>
      <c r="D1994" s="1">
        <v>133</v>
      </c>
      <c r="E1994" s="1">
        <v>2</v>
      </c>
      <c r="F1994" s="1" t="s">
        <v>938</v>
      </c>
      <c r="G1994" s="1" t="s">
        <v>1364</v>
      </c>
      <c r="I1994" s="1" t="s">
        <v>94</v>
      </c>
      <c r="K1994" s="4" t="s">
        <v>1025</v>
      </c>
      <c r="L1994" s="4" t="s">
        <v>945</v>
      </c>
      <c r="M1994" s="1"/>
      <c r="N1994" s="54">
        <v>37</v>
      </c>
      <c r="O1994" s="55">
        <v>4</v>
      </c>
      <c r="Q1994" s="57">
        <v>7</v>
      </c>
      <c r="R1994" s="58">
        <v>3</v>
      </c>
      <c r="S1994" s="59">
        <v>22</v>
      </c>
      <c r="U1994" s="1">
        <v>5</v>
      </c>
      <c r="V1994" s="4" t="s">
        <v>1365</v>
      </c>
      <c r="W1994" s="4" t="s">
        <v>1366</v>
      </c>
      <c r="AL1994" s="60" t="s">
        <v>30</v>
      </c>
      <c r="AN1994" s="4" t="s">
        <v>30</v>
      </c>
      <c r="AQ1994" s="1"/>
    </row>
    <row r="1995" spans="1:43" ht="24" x14ac:dyDescent="0.2">
      <c r="A1995" s="1" t="s">
        <v>916</v>
      </c>
      <c r="B1995" s="1" t="s">
        <v>1140</v>
      </c>
      <c r="C1995" s="1" t="s">
        <v>5734</v>
      </c>
      <c r="D1995" s="1">
        <v>134</v>
      </c>
      <c r="E1995" s="1">
        <v>2</v>
      </c>
      <c r="F1995" s="1" t="s">
        <v>938</v>
      </c>
      <c r="G1995" s="1" t="s">
        <v>1141</v>
      </c>
      <c r="I1995" s="1" t="s">
        <v>94</v>
      </c>
      <c r="K1995" s="4" t="s">
        <v>1142</v>
      </c>
      <c r="L1995" s="4" t="s">
        <v>945</v>
      </c>
      <c r="M1995" s="1"/>
      <c r="N1995" s="54">
        <v>40</v>
      </c>
      <c r="O1995" s="55">
        <v>5</v>
      </c>
      <c r="Q1995" s="57">
        <v>8</v>
      </c>
      <c r="R1995" s="58">
        <v>5</v>
      </c>
      <c r="S1995" s="59">
        <v>20</v>
      </c>
      <c r="U1995" s="1">
        <v>5</v>
      </c>
      <c r="V1995" s="4" t="s">
        <v>1143</v>
      </c>
      <c r="AL1995" s="60" t="s">
        <v>30</v>
      </c>
      <c r="AN1995" s="4" t="s">
        <v>30</v>
      </c>
      <c r="AQ1995" s="1"/>
    </row>
    <row r="1996" spans="1:43" ht="36" x14ac:dyDescent="0.2">
      <c r="A1996" s="1" t="s">
        <v>916</v>
      </c>
      <c r="B1996" s="1" t="s">
        <v>1393</v>
      </c>
      <c r="C1996" s="1" t="s">
        <v>5734</v>
      </c>
      <c r="D1996" s="1">
        <v>135</v>
      </c>
      <c r="E1996" s="1">
        <v>1</v>
      </c>
      <c r="F1996" s="1" t="s">
        <v>938</v>
      </c>
      <c r="G1996" s="1" t="s">
        <v>1394</v>
      </c>
      <c r="H1996" s="1" t="s">
        <v>26</v>
      </c>
      <c r="I1996" s="1" t="s">
        <v>94</v>
      </c>
      <c r="K1996" s="4" t="s">
        <v>930</v>
      </c>
      <c r="L1996" s="4" t="s">
        <v>1395</v>
      </c>
      <c r="M1996" s="1"/>
      <c r="N1996" s="54">
        <v>35</v>
      </c>
      <c r="O1996" s="55">
        <v>5</v>
      </c>
      <c r="Q1996" s="57">
        <v>7</v>
      </c>
      <c r="R1996" s="58">
        <v>4</v>
      </c>
      <c r="S1996" s="59">
        <v>15</v>
      </c>
      <c r="V1996" s="4" t="s">
        <v>1396</v>
      </c>
      <c r="AL1996" s="60" t="s">
        <v>30</v>
      </c>
      <c r="AN1996" s="4" t="s">
        <v>30</v>
      </c>
      <c r="AQ1996" s="1"/>
    </row>
    <row r="1997" spans="1:43" ht="36" x14ac:dyDescent="0.2">
      <c r="A1997" s="1" t="s">
        <v>916</v>
      </c>
      <c r="B1997" s="1" t="s">
        <v>934</v>
      </c>
      <c r="C1997" s="1" t="s">
        <v>5734</v>
      </c>
      <c r="D1997" s="1">
        <v>136</v>
      </c>
      <c r="E1997" s="1">
        <v>2</v>
      </c>
      <c r="F1997" s="1" t="s">
        <v>938</v>
      </c>
      <c r="G1997" s="1" t="s">
        <v>935</v>
      </c>
      <c r="I1997" s="1" t="s">
        <v>82</v>
      </c>
      <c r="K1997" s="4"/>
      <c r="L1997" s="4"/>
      <c r="M1997" s="1"/>
      <c r="V1997" s="4" t="s">
        <v>936</v>
      </c>
      <c r="W1997" s="4" t="s">
        <v>937</v>
      </c>
      <c r="AL1997" s="60" t="s">
        <v>30</v>
      </c>
      <c r="AN1997" s="4" t="s">
        <v>30</v>
      </c>
      <c r="AQ1997" s="1"/>
    </row>
    <row r="1998" spans="1:43" ht="36" x14ac:dyDescent="0.2">
      <c r="A1998" s="1" t="s">
        <v>916</v>
      </c>
      <c r="B1998" s="1" t="s">
        <v>1110</v>
      </c>
      <c r="C1998" s="1" t="s">
        <v>5734</v>
      </c>
      <c r="D1998" s="1">
        <v>137</v>
      </c>
      <c r="E1998" s="1">
        <v>2</v>
      </c>
      <c r="F1998" s="1" t="s">
        <v>938</v>
      </c>
      <c r="G1998" s="1" t="s">
        <v>1111</v>
      </c>
      <c r="I1998" s="1" t="s">
        <v>104</v>
      </c>
      <c r="K1998" s="4" t="s">
        <v>1112</v>
      </c>
      <c r="L1998" s="4"/>
      <c r="M1998" s="1"/>
      <c r="O1998" s="55">
        <v>3</v>
      </c>
      <c r="T1998" s="60">
        <v>4</v>
      </c>
      <c r="V1998" s="4" t="s">
        <v>1113</v>
      </c>
      <c r="AL1998" s="60" t="s">
        <v>30</v>
      </c>
      <c r="AN1998" s="4" t="s">
        <v>30</v>
      </c>
      <c r="AQ1998" s="1"/>
    </row>
    <row r="1999" spans="1:43" ht="36" x14ac:dyDescent="0.2">
      <c r="A1999" s="1" t="s">
        <v>916</v>
      </c>
      <c r="B1999" s="1" t="s">
        <v>1500</v>
      </c>
      <c r="C1999" s="1" t="s">
        <v>5734</v>
      </c>
      <c r="D1999" s="1">
        <v>138</v>
      </c>
      <c r="E1999" s="1">
        <v>3</v>
      </c>
      <c r="F1999" s="1" t="s">
        <v>938</v>
      </c>
      <c r="G1999" s="1" t="s">
        <v>1501</v>
      </c>
      <c r="I1999" s="1" t="s">
        <v>104</v>
      </c>
      <c r="K1999" s="4" t="s">
        <v>1112</v>
      </c>
      <c r="L1999" s="4"/>
      <c r="M1999" s="1"/>
      <c r="O1999" s="55">
        <v>2</v>
      </c>
      <c r="T1999" s="60">
        <v>6</v>
      </c>
      <c r="V1999" s="4" t="s">
        <v>1502</v>
      </c>
      <c r="W1999" s="4" t="s">
        <v>1503</v>
      </c>
      <c r="AL1999" s="60" t="s">
        <v>30</v>
      </c>
      <c r="AN1999" s="4" t="s">
        <v>30</v>
      </c>
      <c r="AQ1999" s="1"/>
    </row>
    <row r="2000" spans="1:43" ht="96" x14ac:dyDescent="0.2">
      <c r="A2000" s="1" t="s">
        <v>916</v>
      </c>
      <c r="B2000" s="1" t="s">
        <v>947</v>
      </c>
      <c r="C2000" s="1" t="s">
        <v>5734</v>
      </c>
      <c r="D2000" s="1">
        <v>139</v>
      </c>
      <c r="E2000" s="1">
        <v>1</v>
      </c>
      <c r="F2000" s="1" t="s">
        <v>938</v>
      </c>
      <c r="G2000" s="1" t="s">
        <v>948</v>
      </c>
      <c r="I2000" s="1" t="s">
        <v>88</v>
      </c>
      <c r="K2000" s="4" t="s">
        <v>196</v>
      </c>
      <c r="L2000" s="4" t="s">
        <v>949</v>
      </c>
      <c r="M2000" s="1"/>
      <c r="V2000" s="4" t="s">
        <v>950</v>
      </c>
      <c r="AL2000" s="60" t="s">
        <v>30</v>
      </c>
      <c r="AN2000" s="4" t="s">
        <v>30</v>
      </c>
      <c r="AQ2000" s="1"/>
    </row>
    <row r="2001" spans="1:43" ht="36" x14ac:dyDescent="0.2">
      <c r="A2001" s="1" t="s">
        <v>916</v>
      </c>
      <c r="B2001" s="1" t="s">
        <v>1586</v>
      </c>
      <c r="C2001" s="1" t="s">
        <v>5734</v>
      </c>
      <c r="D2001" s="1">
        <v>140</v>
      </c>
      <c r="E2001" s="1">
        <v>2</v>
      </c>
      <c r="F2001" s="1" t="s">
        <v>938</v>
      </c>
      <c r="G2001" s="1" t="s">
        <v>1587</v>
      </c>
      <c r="I2001" s="1" t="s">
        <v>104</v>
      </c>
      <c r="K2001" s="4" t="s">
        <v>1112</v>
      </c>
      <c r="L2001" s="4"/>
      <c r="M2001" s="1"/>
      <c r="O2001" s="55">
        <v>4</v>
      </c>
      <c r="T2001" s="60">
        <v>3</v>
      </c>
      <c r="V2001" s="4" t="s">
        <v>1588</v>
      </c>
      <c r="W2001" s="4" t="s">
        <v>1589</v>
      </c>
      <c r="AL2001" s="60" t="s">
        <v>30</v>
      </c>
      <c r="AN2001" s="4" t="s">
        <v>30</v>
      </c>
      <c r="AQ2001" s="1"/>
    </row>
    <row r="2002" spans="1:43" ht="24" x14ac:dyDescent="0.2">
      <c r="A2002" s="1" t="s">
        <v>916</v>
      </c>
      <c r="B2002" s="1" t="s">
        <v>1590</v>
      </c>
      <c r="C2002" s="1" t="s">
        <v>5734</v>
      </c>
      <c r="D2002" s="1">
        <v>141</v>
      </c>
      <c r="E2002" s="1">
        <v>2</v>
      </c>
      <c r="F2002" s="1" t="s">
        <v>938</v>
      </c>
      <c r="G2002" s="1" t="s">
        <v>1591</v>
      </c>
      <c r="I2002" s="1" t="s">
        <v>104</v>
      </c>
      <c r="K2002" s="4" t="s">
        <v>1592</v>
      </c>
      <c r="L2002" s="4"/>
      <c r="M2002" s="1"/>
      <c r="O2002" s="55">
        <v>1</v>
      </c>
      <c r="T2002" s="60">
        <v>8</v>
      </c>
      <c r="V2002" s="4" t="s">
        <v>1593</v>
      </c>
      <c r="AL2002" s="60" t="s">
        <v>30</v>
      </c>
      <c r="AN2002" s="4" t="s">
        <v>30</v>
      </c>
      <c r="AQ2002" s="1"/>
    </row>
    <row r="2003" spans="1:43" ht="96" x14ac:dyDescent="0.2">
      <c r="A2003" s="1" t="s">
        <v>916</v>
      </c>
      <c r="B2003" s="1" t="s">
        <v>1458</v>
      </c>
      <c r="C2003" s="1" t="s">
        <v>5734</v>
      </c>
      <c r="D2003" s="1">
        <v>142</v>
      </c>
      <c r="E2003" s="1">
        <v>1</v>
      </c>
      <c r="F2003" s="1" t="s">
        <v>938</v>
      </c>
      <c r="G2003" s="1" t="s">
        <v>1459</v>
      </c>
      <c r="H2003" s="1" t="s">
        <v>26</v>
      </c>
      <c r="I2003" s="1" t="s">
        <v>104</v>
      </c>
      <c r="K2003" s="4" t="s">
        <v>1285</v>
      </c>
      <c r="L2003" s="4"/>
      <c r="M2003" s="1"/>
      <c r="O2003" s="55">
        <v>1</v>
      </c>
      <c r="T2003" s="60">
        <v>20</v>
      </c>
      <c r="U2003" s="1">
        <v>1</v>
      </c>
      <c r="V2003" s="4" t="s">
        <v>1460</v>
      </c>
      <c r="AL2003" s="60" t="s">
        <v>30</v>
      </c>
      <c r="AN2003" s="4" t="s">
        <v>30</v>
      </c>
      <c r="AQ2003" s="1"/>
    </row>
    <row r="2004" spans="1:43" ht="84" x14ac:dyDescent="0.2">
      <c r="A2004" s="1" t="s">
        <v>916</v>
      </c>
      <c r="B2004" s="1" t="s">
        <v>1504</v>
      </c>
      <c r="C2004" s="1" t="s">
        <v>5734</v>
      </c>
      <c r="D2004" s="1">
        <v>143</v>
      </c>
      <c r="E2004" s="1">
        <v>1</v>
      </c>
      <c r="F2004" s="1" t="s">
        <v>938</v>
      </c>
      <c r="G2004" s="1" t="s">
        <v>1505</v>
      </c>
      <c r="H2004" s="1" t="s">
        <v>26</v>
      </c>
      <c r="I2004" s="1" t="s">
        <v>104</v>
      </c>
      <c r="K2004" s="4" t="s">
        <v>1285</v>
      </c>
      <c r="L2004" s="4"/>
      <c r="M2004" s="1"/>
      <c r="O2004" s="55">
        <v>10</v>
      </c>
      <c r="T2004" s="60">
        <v>10</v>
      </c>
      <c r="U2004" s="1">
        <v>1</v>
      </c>
      <c r="V2004" s="4" t="s">
        <v>1506</v>
      </c>
      <c r="AL2004" s="60" t="s">
        <v>30</v>
      </c>
      <c r="AN2004" s="4" t="s">
        <v>30</v>
      </c>
      <c r="AQ2004" s="1"/>
    </row>
    <row r="2005" spans="1:43" ht="72" x14ac:dyDescent="0.2">
      <c r="A2005" s="1" t="s">
        <v>916</v>
      </c>
      <c r="B2005" s="1" t="s">
        <v>1310</v>
      </c>
      <c r="C2005" s="1" t="s">
        <v>5734</v>
      </c>
      <c r="D2005" s="1">
        <v>144</v>
      </c>
      <c r="E2005" s="1">
        <v>1</v>
      </c>
      <c r="F2005" s="1" t="s">
        <v>938</v>
      </c>
      <c r="G2005" s="1" t="s">
        <v>1311</v>
      </c>
      <c r="I2005" s="1" t="s">
        <v>104</v>
      </c>
      <c r="K2005" s="4" t="s">
        <v>1312</v>
      </c>
      <c r="L2005" s="4"/>
      <c r="M2005" s="1"/>
      <c r="O2005" s="55">
        <v>2</v>
      </c>
      <c r="T2005" s="60">
        <v>4</v>
      </c>
      <c r="V2005" s="4" t="s">
        <v>1313</v>
      </c>
      <c r="AL2005" s="60" t="s">
        <v>30</v>
      </c>
      <c r="AN2005" s="4" t="s">
        <v>30</v>
      </c>
      <c r="AQ2005" s="1"/>
    </row>
    <row r="2006" spans="1:43" ht="72" x14ac:dyDescent="0.2">
      <c r="A2006" s="1" t="s">
        <v>916</v>
      </c>
      <c r="B2006" s="1" t="s">
        <v>1223</v>
      </c>
      <c r="C2006" s="1" t="s">
        <v>5734</v>
      </c>
      <c r="D2006" s="1">
        <v>145</v>
      </c>
      <c r="E2006" s="1">
        <v>2</v>
      </c>
      <c r="F2006" s="1" t="s">
        <v>938</v>
      </c>
      <c r="G2006" s="1" t="s">
        <v>1224</v>
      </c>
      <c r="I2006" s="1" t="s">
        <v>104</v>
      </c>
      <c r="K2006" s="4" t="s">
        <v>1225</v>
      </c>
      <c r="L2006" s="4"/>
      <c r="M2006" s="1"/>
      <c r="O2006" s="55">
        <v>3</v>
      </c>
      <c r="T2006" s="60">
        <v>3</v>
      </c>
      <c r="V2006" s="4" t="s">
        <v>1226</v>
      </c>
      <c r="W2006" s="4" t="s">
        <v>1050</v>
      </c>
      <c r="AL2006" s="60" t="s">
        <v>30</v>
      </c>
      <c r="AN2006" s="4" t="s">
        <v>30</v>
      </c>
      <c r="AQ2006" s="1"/>
    </row>
    <row r="2007" spans="1:43" ht="60" x14ac:dyDescent="0.2">
      <c r="A2007" s="1" t="s">
        <v>916</v>
      </c>
      <c r="B2007" s="1" t="s">
        <v>1046</v>
      </c>
      <c r="C2007" s="1" t="s">
        <v>5734</v>
      </c>
      <c r="D2007" s="1">
        <v>146</v>
      </c>
      <c r="E2007" s="1">
        <v>1</v>
      </c>
      <c r="F2007" s="1" t="s">
        <v>938</v>
      </c>
      <c r="G2007" s="1" t="s">
        <v>1047</v>
      </c>
      <c r="H2007" s="1" t="s">
        <v>26</v>
      </c>
      <c r="I2007" s="1" t="s">
        <v>104</v>
      </c>
      <c r="K2007" s="4" t="s">
        <v>1048</v>
      </c>
      <c r="L2007" s="4"/>
      <c r="M2007" s="1"/>
      <c r="O2007" s="55">
        <v>5</v>
      </c>
      <c r="T2007" s="60">
        <v>7</v>
      </c>
      <c r="U2007" s="1">
        <v>2</v>
      </c>
      <c r="V2007" s="4" t="s">
        <v>1049</v>
      </c>
      <c r="W2007" s="4" t="s">
        <v>1050</v>
      </c>
      <c r="AL2007" s="60" t="s">
        <v>30</v>
      </c>
      <c r="AN2007" s="4" t="s">
        <v>30</v>
      </c>
      <c r="AQ2007" s="1"/>
    </row>
    <row r="2008" spans="1:43" ht="36" x14ac:dyDescent="0.2">
      <c r="A2008" s="1" t="s">
        <v>916</v>
      </c>
      <c r="B2008" s="1" t="s">
        <v>1241</v>
      </c>
      <c r="C2008" s="1" t="s">
        <v>5734</v>
      </c>
      <c r="D2008" s="1">
        <v>147</v>
      </c>
      <c r="E2008" s="1">
        <v>3</v>
      </c>
      <c r="F2008" s="1" t="s">
        <v>938</v>
      </c>
      <c r="G2008" s="1" t="s">
        <v>1242</v>
      </c>
      <c r="I2008" s="1" t="s">
        <v>82</v>
      </c>
      <c r="K2008" s="4" t="s">
        <v>1243</v>
      </c>
      <c r="L2008" s="4"/>
      <c r="M2008" s="1"/>
      <c r="V2008" s="4" t="s">
        <v>1244</v>
      </c>
      <c r="W2008" s="4" t="s">
        <v>1245</v>
      </c>
      <c r="AL2008" s="60" t="s">
        <v>30</v>
      </c>
      <c r="AN2008" s="4" t="s">
        <v>30</v>
      </c>
      <c r="AQ2008" s="1"/>
    </row>
    <row r="2009" spans="1:43" ht="48" x14ac:dyDescent="0.2">
      <c r="A2009" s="1" t="s">
        <v>916</v>
      </c>
      <c r="B2009" s="1" t="s">
        <v>951</v>
      </c>
      <c r="C2009" s="1" t="s">
        <v>5734</v>
      </c>
      <c r="D2009" s="1">
        <v>148</v>
      </c>
      <c r="E2009" s="1">
        <v>2</v>
      </c>
      <c r="F2009" s="1" t="s">
        <v>938</v>
      </c>
      <c r="G2009" s="1" t="s">
        <v>952</v>
      </c>
      <c r="I2009" s="1" t="s">
        <v>82</v>
      </c>
      <c r="K2009" s="4" t="s">
        <v>261</v>
      </c>
      <c r="L2009" s="4"/>
      <c r="M2009" s="1"/>
      <c r="V2009" s="4" t="s">
        <v>953</v>
      </c>
      <c r="AL2009" s="60" t="s">
        <v>30</v>
      </c>
      <c r="AN2009" s="4" t="s">
        <v>30</v>
      </c>
      <c r="AQ2009" s="1"/>
    </row>
    <row r="2010" spans="1:43" ht="24" x14ac:dyDescent="0.2">
      <c r="A2010" s="1" t="s">
        <v>916</v>
      </c>
      <c r="B2010" s="1" t="s">
        <v>939</v>
      </c>
      <c r="C2010" s="1" t="s">
        <v>5734</v>
      </c>
      <c r="D2010" s="1">
        <v>149</v>
      </c>
      <c r="E2010" s="1">
        <v>3</v>
      </c>
      <c r="F2010" s="1" t="s">
        <v>938</v>
      </c>
      <c r="G2010" s="1" t="s">
        <v>940</v>
      </c>
      <c r="I2010" s="1" t="s">
        <v>82</v>
      </c>
      <c r="K2010" s="4"/>
      <c r="L2010" s="4" t="s">
        <v>685</v>
      </c>
      <c r="M2010" s="1"/>
      <c r="V2010" s="4" t="s">
        <v>941</v>
      </c>
      <c r="AL2010" s="60" t="s">
        <v>30</v>
      </c>
      <c r="AN2010" s="4" t="s">
        <v>30</v>
      </c>
      <c r="AQ2010" s="1"/>
    </row>
    <row r="2011" spans="1:43" ht="36" x14ac:dyDescent="0.2">
      <c r="A2011" s="1" t="s">
        <v>916</v>
      </c>
      <c r="B2011" s="1" t="s">
        <v>966</v>
      </c>
      <c r="C2011" s="1" t="s">
        <v>5734</v>
      </c>
      <c r="D2011" s="1">
        <v>150</v>
      </c>
      <c r="E2011" s="1">
        <v>2</v>
      </c>
      <c r="F2011" s="1" t="s">
        <v>938</v>
      </c>
      <c r="G2011" s="1" t="s">
        <v>967</v>
      </c>
      <c r="I2011" s="1" t="s">
        <v>82</v>
      </c>
      <c r="K2011" s="4" t="s">
        <v>261</v>
      </c>
      <c r="L2011" s="4"/>
      <c r="M2011" s="1"/>
      <c r="V2011" s="4" t="s">
        <v>968</v>
      </c>
      <c r="AL2011" s="60" t="s">
        <v>30</v>
      </c>
      <c r="AN2011" s="4" t="s">
        <v>30</v>
      </c>
      <c r="AQ2011" s="1"/>
    </row>
    <row r="2012" spans="1:43" ht="36" x14ac:dyDescent="0.2">
      <c r="A2012" s="1" t="s">
        <v>916</v>
      </c>
      <c r="B2012" s="1" t="s">
        <v>1487</v>
      </c>
      <c r="C2012" s="1" t="s">
        <v>5734</v>
      </c>
      <c r="D2012" s="1">
        <v>151</v>
      </c>
      <c r="E2012" s="1">
        <v>3</v>
      </c>
      <c r="F2012" s="1" t="s">
        <v>938</v>
      </c>
      <c r="G2012" s="1" t="s">
        <v>1488</v>
      </c>
      <c r="I2012" s="1" t="s">
        <v>82</v>
      </c>
      <c r="K2012" s="4" t="s">
        <v>1243</v>
      </c>
      <c r="L2012" s="4" t="s">
        <v>1233</v>
      </c>
      <c r="M2012" s="1"/>
      <c r="V2012" s="4" t="s">
        <v>1489</v>
      </c>
      <c r="AL2012" s="60" t="s">
        <v>30</v>
      </c>
      <c r="AN2012" s="4" t="s">
        <v>30</v>
      </c>
      <c r="AQ2012" s="1"/>
    </row>
    <row r="2013" spans="1:43" ht="48" x14ac:dyDescent="0.2">
      <c r="A2013" s="1" t="s">
        <v>916</v>
      </c>
      <c r="B2013" s="1" t="s">
        <v>1251</v>
      </c>
      <c r="C2013" s="1" t="s">
        <v>5734</v>
      </c>
      <c r="D2013" s="1">
        <v>152</v>
      </c>
      <c r="E2013" s="1">
        <v>1</v>
      </c>
      <c r="F2013" s="1" t="s">
        <v>938</v>
      </c>
      <c r="G2013" s="1" t="s">
        <v>1252</v>
      </c>
      <c r="I2013" s="1" t="s">
        <v>88</v>
      </c>
      <c r="K2013" s="4" t="s">
        <v>1253</v>
      </c>
      <c r="L2013" s="4"/>
      <c r="M2013" s="1"/>
      <c r="V2013" s="4" t="s">
        <v>1254</v>
      </c>
      <c r="AL2013" s="60" t="s">
        <v>30</v>
      </c>
      <c r="AN2013" s="4" t="s">
        <v>30</v>
      </c>
      <c r="AQ2013" s="1"/>
    </row>
    <row r="2014" spans="1:43" ht="48" x14ac:dyDescent="0.2">
      <c r="A2014" s="1" t="s">
        <v>916</v>
      </c>
      <c r="B2014" s="1" t="s">
        <v>1490</v>
      </c>
      <c r="C2014" s="1" t="s">
        <v>5734</v>
      </c>
      <c r="D2014" s="1">
        <v>153</v>
      </c>
      <c r="E2014" s="1">
        <v>1</v>
      </c>
      <c r="F2014" s="1" t="s">
        <v>938</v>
      </c>
      <c r="G2014" s="1" t="s">
        <v>1491</v>
      </c>
      <c r="I2014" s="1" t="s">
        <v>88</v>
      </c>
      <c r="K2014" s="4" t="s">
        <v>1492</v>
      </c>
      <c r="L2014" s="4"/>
      <c r="M2014" s="1"/>
      <c r="V2014" s="4" t="s">
        <v>1493</v>
      </c>
      <c r="AL2014" s="60" t="s">
        <v>30</v>
      </c>
      <c r="AN2014" s="4" t="s">
        <v>30</v>
      </c>
      <c r="AQ2014" s="1"/>
    </row>
    <row r="2015" spans="1:43" ht="24" x14ac:dyDescent="0.2">
      <c r="A2015" s="1" t="s">
        <v>916</v>
      </c>
      <c r="B2015" s="1" t="s">
        <v>1538</v>
      </c>
      <c r="C2015" s="1" t="s">
        <v>5734</v>
      </c>
      <c r="D2015" s="1">
        <v>154</v>
      </c>
      <c r="F2015" s="1" t="s">
        <v>920</v>
      </c>
      <c r="G2015" s="1" t="s">
        <v>1539</v>
      </c>
      <c r="I2015" s="1" t="s">
        <v>63</v>
      </c>
      <c r="J2015" s="1" t="s">
        <v>971</v>
      </c>
      <c r="K2015" s="4"/>
      <c r="L2015" s="4"/>
      <c r="M2015" s="1">
        <v>0</v>
      </c>
      <c r="V2015" s="4" t="s">
        <v>1540</v>
      </c>
      <c r="AL2015" s="60" t="s">
        <v>30</v>
      </c>
      <c r="AN2015" s="4" t="s">
        <v>30</v>
      </c>
      <c r="AQ2015" s="1"/>
    </row>
    <row r="2016" spans="1:43" ht="72" x14ac:dyDescent="0.2">
      <c r="A2016" s="111" t="s">
        <v>916</v>
      </c>
      <c r="B2016" s="111" t="s">
        <v>1420</v>
      </c>
      <c r="C2016" s="111" t="s">
        <v>5734</v>
      </c>
      <c r="D2016" s="111">
        <v>155</v>
      </c>
      <c r="E2016" s="111">
        <v>3</v>
      </c>
      <c r="F2016" s="111" t="s">
        <v>933</v>
      </c>
      <c r="G2016" s="111" t="s">
        <v>1421</v>
      </c>
      <c r="H2016" s="1" t="s">
        <v>26</v>
      </c>
      <c r="I2016" s="1" t="s">
        <v>94</v>
      </c>
      <c r="K2016" s="4" t="s">
        <v>930</v>
      </c>
      <c r="L2016" s="4" t="s">
        <v>931</v>
      </c>
      <c r="M2016" s="1"/>
      <c r="N2016" s="54">
        <v>50</v>
      </c>
      <c r="O2016" s="55">
        <v>5</v>
      </c>
      <c r="Q2016" s="57">
        <v>6</v>
      </c>
      <c r="R2016" s="58">
        <v>7</v>
      </c>
      <c r="S2016" s="59">
        <v>20</v>
      </c>
      <c r="V2016" s="4" t="s">
        <v>1422</v>
      </c>
      <c r="AL2016" s="60" t="s">
        <v>30</v>
      </c>
      <c r="AN2016" s="4" t="s">
        <v>30</v>
      </c>
      <c r="AQ2016" s="1"/>
    </row>
    <row r="2017" spans="1:43" ht="36" x14ac:dyDescent="0.2">
      <c r="A2017" s="1" t="s">
        <v>916</v>
      </c>
      <c r="B2017" s="1" t="s">
        <v>1359</v>
      </c>
      <c r="C2017" s="1" t="s">
        <v>5734</v>
      </c>
      <c r="D2017" s="1">
        <v>156</v>
      </c>
      <c r="E2017" s="1">
        <v>2</v>
      </c>
      <c r="F2017" s="1" t="s">
        <v>933</v>
      </c>
      <c r="G2017" s="1" t="s">
        <v>1360</v>
      </c>
      <c r="I2017" s="1" t="s">
        <v>104</v>
      </c>
      <c r="K2017" s="4" t="s">
        <v>1361</v>
      </c>
      <c r="L2017" s="4" t="s">
        <v>1179</v>
      </c>
      <c r="M2017" s="1"/>
      <c r="O2017" s="55">
        <v>4</v>
      </c>
      <c r="T2017" s="60">
        <v>2</v>
      </c>
      <c r="V2017" s="4" t="s">
        <v>1362</v>
      </c>
      <c r="AL2017" s="60" t="s">
        <v>30</v>
      </c>
      <c r="AN2017" s="4" t="s">
        <v>30</v>
      </c>
      <c r="AQ2017" s="1"/>
    </row>
    <row r="2018" spans="1:43" x14ac:dyDescent="0.2">
      <c r="A2018" s="1" t="s">
        <v>916</v>
      </c>
      <c r="B2018" s="1" t="s">
        <v>1176</v>
      </c>
      <c r="C2018" s="1" t="s">
        <v>5734</v>
      </c>
      <c r="D2018" s="1">
        <v>157</v>
      </c>
      <c r="E2018" s="1">
        <v>1</v>
      </c>
      <c r="F2018" s="1" t="s">
        <v>933</v>
      </c>
      <c r="G2018" s="1" t="s">
        <v>1177</v>
      </c>
      <c r="H2018" s="1" t="s">
        <v>26</v>
      </c>
      <c r="I2018" s="1" t="s">
        <v>104</v>
      </c>
      <c r="K2018" s="4" t="s">
        <v>1178</v>
      </c>
      <c r="L2018" s="4" t="s">
        <v>1179</v>
      </c>
      <c r="M2018" s="1"/>
      <c r="O2018" s="55">
        <v>3</v>
      </c>
      <c r="T2018" s="60">
        <v>4</v>
      </c>
      <c r="V2018" s="4" t="s">
        <v>1180</v>
      </c>
      <c r="AL2018" s="60" t="s">
        <v>30</v>
      </c>
      <c r="AN2018" s="4" t="s">
        <v>30</v>
      </c>
      <c r="AQ2018" s="1"/>
    </row>
    <row r="2019" spans="1:43" ht="36" x14ac:dyDescent="0.2">
      <c r="A2019" s="1" t="s">
        <v>916</v>
      </c>
      <c r="B2019" s="1" t="s">
        <v>1378</v>
      </c>
      <c r="C2019" s="1" t="s">
        <v>5734</v>
      </c>
      <c r="D2019" s="1">
        <v>158</v>
      </c>
      <c r="E2019" s="1">
        <v>2</v>
      </c>
      <c r="F2019" s="1" t="s">
        <v>933</v>
      </c>
      <c r="G2019" s="1" t="s">
        <v>1379</v>
      </c>
      <c r="I2019" s="1" t="s">
        <v>104</v>
      </c>
      <c r="K2019" s="4" t="s">
        <v>1380</v>
      </c>
      <c r="L2019" s="4" t="s">
        <v>1013</v>
      </c>
      <c r="M2019" s="1"/>
      <c r="O2019" s="55">
        <v>2</v>
      </c>
      <c r="T2019" s="60">
        <v>5</v>
      </c>
      <c r="V2019" s="4" t="s">
        <v>1381</v>
      </c>
      <c r="W2019" s="4" t="s">
        <v>1382</v>
      </c>
      <c r="AL2019" s="60" t="s">
        <v>30</v>
      </c>
      <c r="AN2019" s="4" t="s">
        <v>30</v>
      </c>
      <c r="AQ2019" s="1"/>
    </row>
    <row r="2020" spans="1:43" ht="24" x14ac:dyDescent="0.2">
      <c r="A2020" s="1" t="s">
        <v>916</v>
      </c>
      <c r="B2020" s="1" t="s">
        <v>1578</v>
      </c>
      <c r="C2020" s="1" t="s">
        <v>5734</v>
      </c>
      <c r="D2020" s="1">
        <v>159</v>
      </c>
      <c r="E2020" s="1">
        <v>3</v>
      </c>
      <c r="F2020" s="1" t="s">
        <v>933</v>
      </c>
      <c r="G2020" s="1" t="s">
        <v>1579</v>
      </c>
      <c r="I2020" s="1" t="s">
        <v>104</v>
      </c>
      <c r="K2020" s="4" t="s">
        <v>1543</v>
      </c>
      <c r="L2020" s="4" t="s">
        <v>1179</v>
      </c>
      <c r="M2020" s="1"/>
      <c r="O2020" s="55">
        <v>3</v>
      </c>
      <c r="T2020" s="60">
        <v>6</v>
      </c>
      <c r="V2020" s="4" t="s">
        <v>1580</v>
      </c>
      <c r="W2020" s="4" t="s">
        <v>1581</v>
      </c>
      <c r="AL2020" s="60" t="s">
        <v>30</v>
      </c>
      <c r="AN2020" s="4" t="s">
        <v>30</v>
      </c>
      <c r="AQ2020" s="1"/>
    </row>
    <row r="2021" spans="1:43" ht="48" x14ac:dyDescent="0.2">
      <c r="A2021" s="1" t="s">
        <v>916</v>
      </c>
      <c r="B2021" s="1" t="s">
        <v>1036</v>
      </c>
      <c r="C2021" s="1" t="s">
        <v>5734</v>
      </c>
      <c r="D2021" s="1">
        <v>160</v>
      </c>
      <c r="E2021" s="1">
        <v>3</v>
      </c>
      <c r="F2021" s="1" t="s">
        <v>933</v>
      </c>
      <c r="G2021" s="1" t="s">
        <v>1037</v>
      </c>
      <c r="I2021" s="1" t="s">
        <v>104</v>
      </c>
      <c r="K2021" s="4" t="s">
        <v>105</v>
      </c>
      <c r="L2021" s="4" t="s">
        <v>1013</v>
      </c>
      <c r="M2021" s="1"/>
      <c r="O2021" s="55">
        <v>2</v>
      </c>
      <c r="T2021" s="60">
        <v>3</v>
      </c>
      <c r="V2021" s="4" t="s">
        <v>1038</v>
      </c>
      <c r="W2021" s="4" t="s">
        <v>1039</v>
      </c>
      <c r="AL2021" s="60" t="s">
        <v>30</v>
      </c>
      <c r="AN2021" s="4" t="s">
        <v>30</v>
      </c>
      <c r="AQ2021" s="1"/>
    </row>
    <row r="2022" spans="1:43" ht="48" x14ac:dyDescent="0.2">
      <c r="A2022" s="1" t="s">
        <v>916</v>
      </c>
      <c r="B2022" s="1" t="s">
        <v>1010</v>
      </c>
      <c r="C2022" s="1" t="s">
        <v>5734</v>
      </c>
      <c r="D2022" s="1">
        <v>161</v>
      </c>
      <c r="E2022" s="1">
        <v>2</v>
      </c>
      <c r="F2022" s="1" t="s">
        <v>933</v>
      </c>
      <c r="G2022" s="1" t="s">
        <v>1011</v>
      </c>
      <c r="I2022" s="1" t="s">
        <v>104</v>
      </c>
      <c r="K2022" s="4" t="s">
        <v>1012</v>
      </c>
      <c r="L2022" s="4" t="s">
        <v>1013</v>
      </c>
      <c r="M2022" s="1"/>
      <c r="O2022" s="55">
        <v>2</v>
      </c>
      <c r="T2022" s="60">
        <v>5</v>
      </c>
      <c r="V2022" s="4" t="s">
        <v>1014</v>
      </c>
      <c r="AL2022" s="60" t="s">
        <v>30</v>
      </c>
      <c r="AN2022" s="4" t="s">
        <v>30</v>
      </c>
      <c r="AQ2022" s="1"/>
    </row>
    <row r="2023" spans="1:43" ht="60" x14ac:dyDescent="0.2">
      <c r="A2023" s="1" t="s">
        <v>916</v>
      </c>
      <c r="B2023" s="1" t="s">
        <v>1057</v>
      </c>
      <c r="C2023" s="1" t="s">
        <v>5734</v>
      </c>
      <c r="D2023" s="1">
        <v>162</v>
      </c>
      <c r="E2023" s="1">
        <v>1</v>
      </c>
      <c r="F2023" s="1" t="s">
        <v>933</v>
      </c>
      <c r="G2023" s="1" t="s">
        <v>1058</v>
      </c>
      <c r="H2023" s="1" t="s">
        <v>26</v>
      </c>
      <c r="I2023" s="1" t="s">
        <v>104</v>
      </c>
      <c r="K2023" s="4" t="s">
        <v>1059</v>
      </c>
      <c r="L2023" s="4" t="s">
        <v>1013</v>
      </c>
      <c r="M2023" s="1"/>
      <c r="O2023" s="55">
        <v>5</v>
      </c>
      <c r="T2023" s="60">
        <v>4</v>
      </c>
      <c r="V2023" s="4" t="s">
        <v>1060</v>
      </c>
      <c r="AL2023" s="60" t="s">
        <v>30</v>
      </c>
      <c r="AN2023" s="4" t="s">
        <v>30</v>
      </c>
      <c r="AQ2023" s="1"/>
    </row>
    <row r="2024" spans="1:43" ht="24" x14ac:dyDescent="0.2">
      <c r="A2024" s="1" t="s">
        <v>916</v>
      </c>
      <c r="B2024" s="1" t="s">
        <v>1514</v>
      </c>
      <c r="C2024" s="1" t="s">
        <v>5734</v>
      </c>
      <c r="D2024" s="1">
        <v>163</v>
      </c>
      <c r="E2024" s="1">
        <v>1</v>
      </c>
      <c r="F2024" s="1" t="s">
        <v>933</v>
      </c>
      <c r="G2024" s="1" t="s">
        <v>1515</v>
      </c>
      <c r="H2024" s="1" t="s">
        <v>26</v>
      </c>
      <c r="I2024" s="1" t="s">
        <v>104</v>
      </c>
      <c r="K2024" s="4" t="s">
        <v>956</v>
      </c>
      <c r="L2024" s="4"/>
      <c r="M2024" s="1"/>
      <c r="O2024" s="55">
        <v>4</v>
      </c>
      <c r="T2024" s="60">
        <v>10</v>
      </c>
      <c r="V2024" s="4" t="s">
        <v>1516</v>
      </c>
      <c r="AL2024" s="60" t="s">
        <v>30</v>
      </c>
      <c r="AN2024" s="4" t="s">
        <v>30</v>
      </c>
      <c r="AQ2024" s="1"/>
    </row>
    <row r="2025" spans="1:43" ht="60" x14ac:dyDescent="0.2">
      <c r="A2025" s="1" t="s">
        <v>916</v>
      </c>
      <c r="B2025" s="1" t="s">
        <v>1533</v>
      </c>
      <c r="C2025" s="1" t="s">
        <v>5734</v>
      </c>
      <c r="D2025" s="1">
        <v>164</v>
      </c>
      <c r="E2025" s="1">
        <v>2</v>
      </c>
      <c r="F2025" s="1" t="s">
        <v>933</v>
      </c>
      <c r="G2025" s="1" t="s">
        <v>1534</v>
      </c>
      <c r="H2025" s="1" t="s">
        <v>26</v>
      </c>
      <c r="I2025" s="1" t="s">
        <v>104</v>
      </c>
      <c r="K2025" s="4" t="s">
        <v>1535</v>
      </c>
      <c r="L2025" s="4" t="s">
        <v>1536</v>
      </c>
      <c r="M2025" s="1"/>
      <c r="O2025" s="55">
        <v>2</v>
      </c>
      <c r="T2025" s="60">
        <v>6</v>
      </c>
      <c r="V2025" s="4" t="s">
        <v>1537</v>
      </c>
      <c r="AL2025" s="60" t="s">
        <v>30</v>
      </c>
      <c r="AN2025" s="4" t="s">
        <v>30</v>
      </c>
      <c r="AQ2025" s="1"/>
    </row>
    <row r="2026" spans="1:43" ht="36" x14ac:dyDescent="0.2">
      <c r="A2026" s="1" t="s">
        <v>916</v>
      </c>
      <c r="B2026" s="1" t="s">
        <v>1161</v>
      </c>
      <c r="C2026" s="1" t="s">
        <v>5734</v>
      </c>
      <c r="D2026" s="1">
        <v>165</v>
      </c>
      <c r="E2026" s="1">
        <v>3</v>
      </c>
      <c r="F2026" s="1" t="s">
        <v>933</v>
      </c>
      <c r="G2026" s="1" t="s">
        <v>1162</v>
      </c>
      <c r="I2026" s="1" t="s">
        <v>82</v>
      </c>
      <c r="K2026" s="4" t="s">
        <v>1149</v>
      </c>
      <c r="L2026" s="4"/>
      <c r="M2026" s="1"/>
      <c r="V2026" s="4" t="s">
        <v>1163</v>
      </c>
      <c r="W2026" s="4" t="s">
        <v>1164</v>
      </c>
      <c r="AL2026" s="60" t="s">
        <v>30</v>
      </c>
      <c r="AN2026" s="4" t="s">
        <v>30</v>
      </c>
      <c r="AQ2026" s="1"/>
    </row>
    <row r="2027" spans="1:43" ht="24" x14ac:dyDescent="0.2">
      <c r="A2027" s="1" t="s">
        <v>916</v>
      </c>
      <c r="B2027" s="1" t="s">
        <v>1198</v>
      </c>
      <c r="C2027" s="1" t="s">
        <v>5734</v>
      </c>
      <c r="D2027" s="1">
        <v>166</v>
      </c>
      <c r="E2027" s="1">
        <v>3</v>
      </c>
      <c r="F2027" s="1" t="s">
        <v>933</v>
      </c>
      <c r="G2027" s="1" t="s">
        <v>1199</v>
      </c>
      <c r="I2027" s="1" t="s">
        <v>82</v>
      </c>
      <c r="K2027" s="4"/>
      <c r="L2027" s="4"/>
      <c r="M2027" s="1"/>
      <c r="V2027" s="4" t="s">
        <v>1200</v>
      </c>
      <c r="W2027" s="4" t="s">
        <v>1201</v>
      </c>
      <c r="AL2027" s="60" t="s">
        <v>30</v>
      </c>
      <c r="AN2027" s="4" t="s">
        <v>30</v>
      </c>
      <c r="AQ2027" s="1"/>
    </row>
    <row r="2028" spans="1:43" ht="24" x14ac:dyDescent="0.2">
      <c r="A2028" s="1" t="s">
        <v>916</v>
      </c>
      <c r="B2028" s="1" t="s">
        <v>1347</v>
      </c>
      <c r="C2028" s="1" t="s">
        <v>5734</v>
      </c>
      <c r="D2028" s="1">
        <v>167</v>
      </c>
      <c r="E2028" s="1">
        <v>2</v>
      </c>
      <c r="F2028" s="1" t="s">
        <v>933</v>
      </c>
      <c r="G2028" s="1" t="s">
        <v>1348</v>
      </c>
      <c r="I2028" s="1" t="s">
        <v>82</v>
      </c>
      <c r="K2028" s="4"/>
      <c r="L2028" s="4" t="s">
        <v>155</v>
      </c>
      <c r="M2028" s="1"/>
      <c r="V2028" s="4" t="s">
        <v>1349</v>
      </c>
      <c r="W2028" s="4" t="s">
        <v>1350</v>
      </c>
      <c r="AL2028" s="60" t="s">
        <v>30</v>
      </c>
      <c r="AN2028" s="4" t="s">
        <v>30</v>
      </c>
      <c r="AQ2028" s="1"/>
    </row>
    <row r="2029" spans="1:43" ht="60" x14ac:dyDescent="0.2">
      <c r="A2029" s="1" t="s">
        <v>916</v>
      </c>
      <c r="B2029" s="1" t="s">
        <v>928</v>
      </c>
      <c r="C2029" s="1" t="s">
        <v>5734</v>
      </c>
      <c r="D2029" s="1">
        <v>168</v>
      </c>
      <c r="E2029" s="1">
        <v>3</v>
      </c>
      <c r="F2029" s="1" t="s">
        <v>933</v>
      </c>
      <c r="G2029" s="1" t="s">
        <v>929</v>
      </c>
      <c r="H2029" s="1" t="s">
        <v>26</v>
      </c>
      <c r="I2029" s="1" t="s">
        <v>94</v>
      </c>
      <c r="K2029" s="4" t="s">
        <v>930</v>
      </c>
      <c r="L2029" s="4" t="s">
        <v>931</v>
      </c>
      <c r="M2029" s="1"/>
      <c r="N2029" s="54">
        <v>50</v>
      </c>
      <c r="O2029" s="55">
        <v>6</v>
      </c>
      <c r="Q2029" s="57">
        <v>5</v>
      </c>
      <c r="R2029" s="58">
        <v>8</v>
      </c>
      <c r="S2029" s="59">
        <v>20</v>
      </c>
      <c r="V2029" s="4" t="s">
        <v>932</v>
      </c>
      <c r="AL2029" s="60" t="s">
        <v>30</v>
      </c>
      <c r="AN2029" s="4" t="s">
        <v>30</v>
      </c>
      <c r="AQ2029" s="1"/>
    </row>
    <row r="2030" spans="1:43" ht="36" x14ac:dyDescent="0.2">
      <c r="A2030" s="1" t="s">
        <v>916</v>
      </c>
      <c r="B2030" s="1" t="s">
        <v>982</v>
      </c>
      <c r="C2030" s="1" t="s">
        <v>5734</v>
      </c>
      <c r="D2030" s="1">
        <v>169</v>
      </c>
      <c r="E2030" s="1">
        <v>3</v>
      </c>
      <c r="F2030" s="1" t="s">
        <v>933</v>
      </c>
      <c r="G2030" s="1" t="s">
        <v>983</v>
      </c>
      <c r="I2030" s="1" t="s">
        <v>82</v>
      </c>
      <c r="K2030" s="4"/>
      <c r="L2030" s="4"/>
      <c r="M2030" s="1"/>
      <c r="V2030" s="4" t="s">
        <v>984</v>
      </c>
      <c r="W2030" s="4" t="s">
        <v>985</v>
      </c>
      <c r="AL2030" s="60" t="s">
        <v>30</v>
      </c>
      <c r="AN2030" s="4" t="s">
        <v>30</v>
      </c>
      <c r="AQ2030" s="1"/>
    </row>
    <row r="2031" spans="1:43" ht="24" x14ac:dyDescent="0.2">
      <c r="A2031" s="1" t="s">
        <v>916</v>
      </c>
      <c r="B2031" s="1" t="s">
        <v>1341</v>
      </c>
      <c r="C2031" s="1" t="s">
        <v>5734</v>
      </c>
      <c r="D2031" s="1">
        <v>170</v>
      </c>
      <c r="E2031" s="1">
        <v>3</v>
      </c>
      <c r="F2031" s="1" t="s">
        <v>933</v>
      </c>
      <c r="G2031" s="1" t="s">
        <v>1342</v>
      </c>
      <c r="I2031" s="1" t="s">
        <v>82</v>
      </c>
      <c r="K2031" s="4"/>
      <c r="L2031" s="4"/>
      <c r="M2031" s="1"/>
      <c r="V2031" s="4" t="s">
        <v>1343</v>
      </c>
      <c r="AL2031" s="60" t="s">
        <v>30</v>
      </c>
      <c r="AN2031" s="4" t="s">
        <v>30</v>
      </c>
      <c r="AQ2031" s="1"/>
    </row>
    <row r="2032" spans="1:43" ht="36" x14ac:dyDescent="0.2">
      <c r="A2032" s="1" t="s">
        <v>916</v>
      </c>
      <c r="B2032" s="1" t="s">
        <v>1465</v>
      </c>
      <c r="C2032" s="1" t="s">
        <v>5734</v>
      </c>
      <c r="D2032" s="1">
        <v>171</v>
      </c>
      <c r="E2032" s="1">
        <v>2</v>
      </c>
      <c r="F2032" s="1" t="s">
        <v>933</v>
      </c>
      <c r="G2032" s="1" t="s">
        <v>1466</v>
      </c>
      <c r="I2032" s="1" t="s">
        <v>82</v>
      </c>
      <c r="K2032" s="4"/>
      <c r="L2032" s="4"/>
      <c r="M2032" s="1"/>
      <c r="V2032" s="4" t="s">
        <v>1467</v>
      </c>
      <c r="AL2032" s="60" t="s">
        <v>30</v>
      </c>
      <c r="AN2032" s="4" t="s">
        <v>30</v>
      </c>
      <c r="AQ2032" s="1"/>
    </row>
    <row r="2033" spans="1:43" ht="24" x14ac:dyDescent="0.2">
      <c r="A2033" s="1" t="s">
        <v>916</v>
      </c>
      <c r="B2033" s="1" t="s">
        <v>1079</v>
      </c>
      <c r="C2033" s="1" t="s">
        <v>5734</v>
      </c>
      <c r="D2033" s="1">
        <v>172</v>
      </c>
      <c r="E2033" s="1">
        <v>3</v>
      </c>
      <c r="F2033" s="1" t="s">
        <v>933</v>
      </c>
      <c r="G2033" s="1" t="s">
        <v>1080</v>
      </c>
      <c r="I2033" s="1" t="s">
        <v>82</v>
      </c>
      <c r="K2033" s="4"/>
      <c r="L2033" s="4"/>
      <c r="M2033" s="1"/>
      <c r="V2033" s="4" t="s">
        <v>1081</v>
      </c>
      <c r="AL2033" s="60" t="s">
        <v>30</v>
      </c>
      <c r="AN2033" s="4" t="s">
        <v>30</v>
      </c>
      <c r="AQ2033" s="1"/>
    </row>
    <row r="2034" spans="1:43" ht="24" x14ac:dyDescent="0.2">
      <c r="A2034" s="1" t="s">
        <v>916</v>
      </c>
      <c r="B2034" s="1" t="s">
        <v>1541</v>
      </c>
      <c r="C2034" s="1" t="s">
        <v>5734</v>
      </c>
      <c r="D2034" s="1">
        <v>173</v>
      </c>
      <c r="E2034" s="1">
        <v>3</v>
      </c>
      <c r="F2034" s="1" t="s">
        <v>933</v>
      </c>
      <c r="G2034" s="1" t="s">
        <v>1542</v>
      </c>
      <c r="I2034" s="1" t="s">
        <v>104</v>
      </c>
      <c r="K2034" s="4" t="s">
        <v>1543</v>
      </c>
      <c r="L2034" s="4" t="s">
        <v>1179</v>
      </c>
      <c r="M2034" s="1"/>
      <c r="O2034" s="55">
        <v>3</v>
      </c>
      <c r="T2034" s="60">
        <v>5</v>
      </c>
      <c r="V2034" s="4" t="s">
        <v>1544</v>
      </c>
      <c r="AL2034" s="60" t="s">
        <v>30</v>
      </c>
      <c r="AN2034" s="4" t="s">
        <v>30</v>
      </c>
      <c r="AQ2034" s="1"/>
    </row>
    <row r="2035" spans="1:43" ht="72" x14ac:dyDescent="0.2">
      <c r="A2035" s="1" t="s">
        <v>916</v>
      </c>
      <c r="B2035" s="1" t="s">
        <v>1205</v>
      </c>
      <c r="C2035" s="1" t="s">
        <v>5734</v>
      </c>
      <c r="D2035" s="1">
        <v>174</v>
      </c>
      <c r="E2035" s="1">
        <v>3</v>
      </c>
      <c r="F2035" s="1" t="s">
        <v>933</v>
      </c>
      <c r="G2035" s="1" t="s">
        <v>1206</v>
      </c>
      <c r="H2035" s="1" t="s">
        <v>26</v>
      </c>
      <c r="I2035" s="1" t="s">
        <v>94</v>
      </c>
      <c r="K2035" s="4" t="s">
        <v>930</v>
      </c>
      <c r="L2035" s="4" t="s">
        <v>931</v>
      </c>
      <c r="M2035" s="1"/>
      <c r="N2035" s="54">
        <v>50</v>
      </c>
      <c r="O2035" s="55">
        <v>4</v>
      </c>
      <c r="Q2035" s="57">
        <v>8</v>
      </c>
      <c r="R2035" s="58">
        <v>6</v>
      </c>
      <c r="S2035" s="59">
        <v>20</v>
      </c>
      <c r="V2035" s="4" t="s">
        <v>1207</v>
      </c>
      <c r="AL2035" s="60" t="s">
        <v>30</v>
      </c>
      <c r="AN2035" s="4" t="s">
        <v>30</v>
      </c>
      <c r="AQ2035" s="1"/>
    </row>
    <row r="2036" spans="1:43" ht="60" x14ac:dyDescent="0.2">
      <c r="A2036" s="1" t="s">
        <v>916</v>
      </c>
      <c r="B2036" s="1" t="s">
        <v>992</v>
      </c>
      <c r="C2036" s="1" t="s">
        <v>5734</v>
      </c>
      <c r="D2036" s="1">
        <v>175</v>
      </c>
      <c r="E2036" s="1">
        <v>1</v>
      </c>
      <c r="F2036" s="1" t="s">
        <v>933</v>
      </c>
      <c r="G2036" s="1" t="s">
        <v>993</v>
      </c>
      <c r="H2036" s="1" t="s">
        <v>26</v>
      </c>
      <c r="I2036" s="1" t="s">
        <v>94</v>
      </c>
      <c r="K2036" s="4" t="s">
        <v>930</v>
      </c>
      <c r="L2036" s="4" t="s">
        <v>994</v>
      </c>
      <c r="M2036" s="1"/>
      <c r="N2036" s="54">
        <v>1</v>
      </c>
      <c r="O2036" s="55">
        <v>6</v>
      </c>
      <c r="Q2036" s="57">
        <v>9</v>
      </c>
      <c r="R2036" s="58">
        <v>9</v>
      </c>
      <c r="S2036" s="59">
        <v>25</v>
      </c>
      <c r="V2036" s="4" t="s">
        <v>995</v>
      </c>
      <c r="AL2036" s="60" t="s">
        <v>30</v>
      </c>
      <c r="AN2036" s="4" t="s">
        <v>30</v>
      </c>
      <c r="AQ2036" s="1"/>
    </row>
    <row r="2037" spans="1:43" ht="48" x14ac:dyDescent="0.2">
      <c r="A2037" s="1" t="s">
        <v>916</v>
      </c>
      <c r="B2037" s="1" t="s">
        <v>1468</v>
      </c>
      <c r="C2037" s="1" t="s">
        <v>5734</v>
      </c>
      <c r="D2037" s="1">
        <v>176</v>
      </c>
      <c r="E2037" s="1">
        <v>1</v>
      </c>
      <c r="F2037" s="1" t="s">
        <v>933</v>
      </c>
      <c r="G2037" s="1" t="s">
        <v>1469</v>
      </c>
      <c r="H2037" s="1" t="s">
        <v>26</v>
      </c>
      <c r="I2037" s="1" t="s">
        <v>88</v>
      </c>
      <c r="K2037" s="4" t="s">
        <v>1456</v>
      </c>
      <c r="L2037" s="4"/>
      <c r="M2037" s="1"/>
      <c r="P2037" s="56">
        <v>2</v>
      </c>
      <c r="Q2037" s="57">
        <v>2</v>
      </c>
      <c r="R2037" s="58">
        <v>2</v>
      </c>
      <c r="S2037" s="59">
        <v>4</v>
      </c>
      <c r="V2037" s="4" t="s">
        <v>1470</v>
      </c>
      <c r="AL2037" s="60" t="s">
        <v>30</v>
      </c>
      <c r="AN2037" s="4" t="s">
        <v>30</v>
      </c>
      <c r="AQ2037" s="1"/>
    </row>
    <row r="2038" spans="1:43" ht="60" x14ac:dyDescent="0.2">
      <c r="A2038" s="111" t="s">
        <v>916</v>
      </c>
      <c r="B2038" s="111" t="s">
        <v>1461</v>
      </c>
      <c r="C2038" s="111" t="s">
        <v>5734</v>
      </c>
      <c r="D2038" s="111">
        <v>177</v>
      </c>
      <c r="E2038" s="111">
        <v>1</v>
      </c>
      <c r="F2038" s="111" t="s">
        <v>924</v>
      </c>
      <c r="G2038" s="111" t="s">
        <v>8203</v>
      </c>
      <c r="I2038" s="1" t="s">
        <v>125</v>
      </c>
      <c r="K2038" s="4"/>
      <c r="L2038" s="4"/>
      <c r="M2038" s="1">
        <v>1</v>
      </c>
      <c r="N2038" s="54" t="s">
        <v>9529</v>
      </c>
      <c r="V2038" s="4" t="s">
        <v>1462</v>
      </c>
      <c r="X2038" s="1" t="s">
        <v>1463</v>
      </c>
      <c r="Y2038" s="1" t="s">
        <v>8203</v>
      </c>
      <c r="AA2038" s="1" t="s">
        <v>125</v>
      </c>
      <c r="AE2038" s="1">
        <v>1</v>
      </c>
      <c r="AF2038" s="54" t="s">
        <v>9530</v>
      </c>
      <c r="AL2038" s="60">
        <v>20</v>
      </c>
      <c r="AN2038" s="4" t="s">
        <v>1464</v>
      </c>
      <c r="AQ2038" s="1"/>
    </row>
    <row r="2039" spans="1:43" ht="120" x14ac:dyDescent="0.2">
      <c r="A2039" s="1" t="s">
        <v>916</v>
      </c>
      <c r="B2039" s="1" t="s">
        <v>1195</v>
      </c>
      <c r="C2039" s="1" t="s">
        <v>5734</v>
      </c>
      <c r="D2039" s="1">
        <v>178</v>
      </c>
      <c r="E2039" s="1">
        <v>1</v>
      </c>
      <c r="F2039" s="1" t="s">
        <v>924</v>
      </c>
      <c r="G2039" s="1" t="s">
        <v>8204</v>
      </c>
      <c r="I2039" s="1" t="s">
        <v>125</v>
      </c>
      <c r="K2039" s="4"/>
      <c r="L2039" s="4"/>
      <c r="M2039" s="1">
        <v>2</v>
      </c>
      <c r="N2039" s="54" t="s">
        <v>9529</v>
      </c>
      <c r="V2039" s="4" t="s">
        <v>1196</v>
      </c>
      <c r="Y2039" s="1" t="s">
        <v>8204</v>
      </c>
      <c r="AA2039" s="1" t="s">
        <v>125</v>
      </c>
      <c r="AE2039" s="1">
        <v>2</v>
      </c>
      <c r="AF2039" s="54" t="s">
        <v>9530</v>
      </c>
      <c r="AL2039" s="60" t="s">
        <v>799</v>
      </c>
      <c r="AN2039" s="4" t="s">
        <v>1197</v>
      </c>
      <c r="AQ2039" s="1"/>
    </row>
    <row r="2040" spans="1:43" ht="96" x14ac:dyDescent="0.2">
      <c r="A2040" s="1" t="s">
        <v>916</v>
      </c>
      <c r="B2040" s="1" t="s">
        <v>1089</v>
      </c>
      <c r="C2040" s="1" t="s">
        <v>5734</v>
      </c>
      <c r="D2040" s="1">
        <v>179</v>
      </c>
      <c r="E2040" s="1">
        <v>1</v>
      </c>
      <c r="F2040" s="1" t="s">
        <v>924</v>
      </c>
      <c r="G2040" s="1" t="s">
        <v>8205</v>
      </c>
      <c r="I2040" s="1" t="s">
        <v>125</v>
      </c>
      <c r="K2040" s="4"/>
      <c r="L2040" s="4"/>
      <c r="M2040" s="1">
        <v>3</v>
      </c>
      <c r="N2040" s="54" t="s">
        <v>9529</v>
      </c>
      <c r="V2040" s="4" t="s">
        <v>1090</v>
      </c>
      <c r="Y2040" s="1" t="s">
        <v>8205</v>
      </c>
      <c r="AA2040" s="1" t="s">
        <v>125</v>
      </c>
      <c r="AE2040" s="1">
        <v>3</v>
      </c>
      <c r="AF2040" s="54" t="s">
        <v>9530</v>
      </c>
      <c r="AL2040" s="60" t="s">
        <v>799</v>
      </c>
      <c r="AN2040" s="4" t="s">
        <v>1091</v>
      </c>
      <c r="AQ2040" s="1"/>
    </row>
    <row r="2041" spans="1:43" x14ac:dyDescent="0.2">
      <c r="A2041" s="1" t="s">
        <v>916</v>
      </c>
      <c r="B2041" s="1" t="s">
        <v>1573</v>
      </c>
      <c r="C2041" s="1" t="s">
        <v>5734</v>
      </c>
      <c r="D2041" s="1">
        <v>180</v>
      </c>
      <c r="E2041" s="1">
        <v>1</v>
      </c>
      <c r="F2041" s="1" t="s">
        <v>924</v>
      </c>
      <c r="G2041" s="1" t="s">
        <v>1574</v>
      </c>
      <c r="I2041" s="1" t="s">
        <v>3482</v>
      </c>
      <c r="K2041" s="4"/>
      <c r="L2041" s="4"/>
      <c r="M2041" s="1"/>
      <c r="N2041" s="54" t="s">
        <v>9529</v>
      </c>
      <c r="T2041" s="60" t="s">
        <v>799</v>
      </c>
      <c r="Y2041" s="1" t="s">
        <v>1574</v>
      </c>
      <c r="AA2041" s="1" t="s">
        <v>3482</v>
      </c>
      <c r="AF2041" s="54" t="s">
        <v>9530</v>
      </c>
      <c r="AL2041" s="60" t="s">
        <v>30</v>
      </c>
      <c r="AN2041" s="4" t="s">
        <v>30</v>
      </c>
      <c r="AQ2041" s="1"/>
    </row>
    <row r="2042" spans="1:43" ht="72" x14ac:dyDescent="0.2">
      <c r="A2042" s="1" t="s">
        <v>916</v>
      </c>
      <c r="B2042" s="1" t="s">
        <v>1169</v>
      </c>
      <c r="C2042" s="1" t="s">
        <v>5734</v>
      </c>
      <c r="D2042" s="1">
        <v>181</v>
      </c>
      <c r="E2042" s="1">
        <v>1</v>
      </c>
      <c r="F2042" s="1" t="s">
        <v>938</v>
      </c>
      <c r="G2042" s="1" t="s">
        <v>8206</v>
      </c>
      <c r="I2042" s="1" t="s">
        <v>125</v>
      </c>
      <c r="K2042" s="4"/>
      <c r="L2042" s="4"/>
      <c r="M2042" s="1">
        <v>1</v>
      </c>
      <c r="N2042" s="54" t="s">
        <v>9529</v>
      </c>
      <c r="V2042" s="4" t="s">
        <v>1170</v>
      </c>
      <c r="X2042" s="1" t="s">
        <v>1171</v>
      </c>
      <c r="Y2042" s="1" t="s">
        <v>8206</v>
      </c>
      <c r="AA2042" s="1" t="s">
        <v>125</v>
      </c>
      <c r="AE2042" s="1">
        <v>1</v>
      </c>
      <c r="AF2042" s="54" t="s">
        <v>9530</v>
      </c>
      <c r="AL2042" s="60" t="s">
        <v>799</v>
      </c>
      <c r="AN2042" s="4" t="s">
        <v>1172</v>
      </c>
      <c r="AQ2042" s="1"/>
    </row>
    <row r="2043" spans="1:43" ht="72" x14ac:dyDescent="0.2">
      <c r="A2043" s="1" t="s">
        <v>916</v>
      </c>
      <c r="B2043" s="1" t="s">
        <v>1151</v>
      </c>
      <c r="C2043" s="1" t="s">
        <v>5734</v>
      </c>
      <c r="D2043" s="1">
        <v>182</v>
      </c>
      <c r="E2043" s="1">
        <v>1</v>
      </c>
      <c r="F2043" s="1" t="s">
        <v>938</v>
      </c>
      <c r="G2043" s="1" t="s">
        <v>8207</v>
      </c>
      <c r="I2043" s="1" t="s">
        <v>125</v>
      </c>
      <c r="K2043" s="4"/>
      <c r="L2043" s="4"/>
      <c r="M2043" s="1">
        <v>2</v>
      </c>
      <c r="N2043" s="54" t="s">
        <v>9529</v>
      </c>
      <c r="V2043" s="4" t="s">
        <v>1152</v>
      </c>
      <c r="Y2043" s="1" t="s">
        <v>8207</v>
      </c>
      <c r="AA2043" s="1" t="s">
        <v>125</v>
      </c>
      <c r="AE2043" s="1">
        <v>2</v>
      </c>
      <c r="AF2043" s="54" t="s">
        <v>9530</v>
      </c>
      <c r="AL2043" s="60" t="s">
        <v>799</v>
      </c>
      <c r="AN2043" s="4" t="s">
        <v>1153</v>
      </c>
      <c r="AQ2043" s="1"/>
    </row>
    <row r="2044" spans="1:43" ht="84" x14ac:dyDescent="0.2">
      <c r="A2044" s="1" t="s">
        <v>916</v>
      </c>
      <c r="B2044" s="1" t="s">
        <v>1246</v>
      </c>
      <c r="C2044" s="1" t="s">
        <v>5734</v>
      </c>
      <c r="D2044" s="1">
        <v>183</v>
      </c>
      <c r="E2044" s="1">
        <v>1</v>
      </c>
      <c r="F2044" s="1" t="s">
        <v>938</v>
      </c>
      <c r="G2044" s="1" t="s">
        <v>8208</v>
      </c>
      <c r="I2044" s="1" t="s">
        <v>125</v>
      </c>
      <c r="K2044" s="4"/>
      <c r="L2044" s="4"/>
      <c r="M2044" s="1">
        <v>3</v>
      </c>
      <c r="N2044" s="54" t="s">
        <v>9529</v>
      </c>
      <c r="Y2044" s="1" t="s">
        <v>8208</v>
      </c>
      <c r="AA2044" s="1" t="s">
        <v>125</v>
      </c>
      <c r="AE2044" s="1">
        <v>3</v>
      </c>
      <c r="AF2044" s="54" t="s">
        <v>9530</v>
      </c>
      <c r="AL2044" s="60" t="s">
        <v>799</v>
      </c>
      <c r="AN2044" s="4" t="s">
        <v>1247</v>
      </c>
      <c r="AQ2044" s="1"/>
    </row>
    <row r="2045" spans="1:43" ht="48" x14ac:dyDescent="0.2">
      <c r="A2045" s="1" t="s">
        <v>916</v>
      </c>
      <c r="B2045" s="1" t="s">
        <v>1280</v>
      </c>
      <c r="C2045" s="1" t="s">
        <v>5734</v>
      </c>
      <c r="D2045" s="1">
        <v>184</v>
      </c>
      <c r="E2045" s="1">
        <v>1</v>
      </c>
      <c r="F2045" s="1" t="s">
        <v>938</v>
      </c>
      <c r="G2045" s="1" t="s">
        <v>8209</v>
      </c>
      <c r="I2045" s="1" t="s">
        <v>125</v>
      </c>
      <c r="K2045" s="4"/>
      <c r="L2045" s="4"/>
      <c r="M2045" s="1">
        <v>4</v>
      </c>
      <c r="N2045" s="54" t="s">
        <v>9529</v>
      </c>
      <c r="V2045" s="4" t="s">
        <v>1281</v>
      </c>
      <c r="Y2045" s="1" t="s">
        <v>8209</v>
      </c>
      <c r="AA2045" s="1" t="s">
        <v>125</v>
      </c>
      <c r="AE2045" s="1">
        <v>4</v>
      </c>
      <c r="AF2045" s="54" t="s">
        <v>9530</v>
      </c>
      <c r="AL2045" s="60" t="s">
        <v>799</v>
      </c>
      <c r="AN2045" s="4" t="s">
        <v>1282</v>
      </c>
      <c r="AQ2045" s="1"/>
    </row>
    <row r="2046" spans="1:43" x14ac:dyDescent="0.2">
      <c r="A2046" s="1" t="s">
        <v>916</v>
      </c>
      <c r="B2046" s="1" t="s">
        <v>990</v>
      </c>
      <c r="C2046" s="1" t="s">
        <v>5734</v>
      </c>
      <c r="D2046" s="1">
        <v>185</v>
      </c>
      <c r="E2046" s="1">
        <v>1</v>
      </c>
      <c r="F2046" s="1" t="s">
        <v>938</v>
      </c>
      <c r="G2046" s="1" t="s">
        <v>991</v>
      </c>
      <c r="I2046" s="1" t="s">
        <v>3482</v>
      </c>
      <c r="K2046" s="4"/>
      <c r="L2046" s="4"/>
      <c r="M2046" s="1"/>
      <c r="N2046" s="54" t="s">
        <v>9529</v>
      </c>
      <c r="T2046" s="60" t="s">
        <v>799</v>
      </c>
      <c r="Y2046" s="1" t="s">
        <v>991</v>
      </c>
      <c r="AA2046" s="1" t="s">
        <v>3482</v>
      </c>
      <c r="AF2046" s="54" t="s">
        <v>9530</v>
      </c>
      <c r="AL2046" s="60" t="s">
        <v>30</v>
      </c>
      <c r="AN2046" s="4" t="s">
        <v>30</v>
      </c>
      <c r="AQ2046" s="1"/>
    </row>
    <row r="2047" spans="1:43" ht="108" x14ac:dyDescent="0.2">
      <c r="A2047" s="1" t="s">
        <v>916</v>
      </c>
      <c r="B2047" s="1" t="s">
        <v>962</v>
      </c>
      <c r="C2047" s="1" t="s">
        <v>5734</v>
      </c>
      <c r="D2047" s="1">
        <v>186</v>
      </c>
      <c r="E2047" s="1">
        <v>1</v>
      </c>
      <c r="F2047" s="1" t="s">
        <v>933</v>
      </c>
      <c r="G2047" s="1" t="s">
        <v>8210</v>
      </c>
      <c r="I2047" s="1" t="s">
        <v>125</v>
      </c>
      <c r="K2047" s="4"/>
      <c r="L2047" s="4"/>
      <c r="M2047" s="1">
        <v>1</v>
      </c>
      <c r="N2047" s="54" t="s">
        <v>9529</v>
      </c>
      <c r="V2047" s="4" t="s">
        <v>963</v>
      </c>
      <c r="X2047" s="1" t="s">
        <v>964</v>
      </c>
      <c r="Y2047" s="1" t="s">
        <v>8210</v>
      </c>
      <c r="AA2047" s="1" t="s">
        <v>125</v>
      </c>
      <c r="AE2047" s="1">
        <v>1</v>
      </c>
      <c r="AF2047" s="54" t="s">
        <v>9530</v>
      </c>
      <c r="AL2047" s="60">
        <v>20</v>
      </c>
      <c r="AN2047" s="4" t="s">
        <v>965</v>
      </c>
      <c r="AQ2047" s="1"/>
    </row>
    <row r="2048" spans="1:43" ht="96" x14ac:dyDescent="0.2">
      <c r="A2048" s="1" t="s">
        <v>916</v>
      </c>
      <c r="B2048" s="1" t="s">
        <v>1526</v>
      </c>
      <c r="C2048" s="1" t="s">
        <v>5734</v>
      </c>
      <c r="D2048" s="1">
        <v>187</v>
      </c>
      <c r="E2048" s="1">
        <v>1</v>
      </c>
      <c r="F2048" s="1" t="s">
        <v>933</v>
      </c>
      <c r="G2048" s="1" t="s">
        <v>8211</v>
      </c>
      <c r="I2048" s="1" t="s">
        <v>125</v>
      </c>
      <c r="K2048" s="4"/>
      <c r="L2048" s="4"/>
      <c r="M2048" s="1">
        <v>2</v>
      </c>
      <c r="N2048" s="54" t="s">
        <v>9529</v>
      </c>
      <c r="V2048" s="4" t="s">
        <v>1527</v>
      </c>
      <c r="Y2048" s="1" t="s">
        <v>8211</v>
      </c>
      <c r="AA2048" s="1" t="s">
        <v>125</v>
      </c>
      <c r="AE2048" s="1">
        <v>2</v>
      </c>
      <c r="AF2048" s="54" t="s">
        <v>9530</v>
      </c>
      <c r="AL2048" s="60" t="s">
        <v>799</v>
      </c>
      <c r="AN2048" s="4" t="s">
        <v>1528</v>
      </c>
      <c r="AQ2048" s="1"/>
    </row>
    <row r="2049" spans="1:43" ht="84" x14ac:dyDescent="0.2">
      <c r="A2049" s="1" t="s">
        <v>916</v>
      </c>
      <c r="B2049" s="1" t="s">
        <v>1103</v>
      </c>
      <c r="C2049" s="1" t="s">
        <v>5734</v>
      </c>
      <c r="D2049" s="1">
        <v>188</v>
      </c>
      <c r="E2049" s="1">
        <v>1</v>
      </c>
      <c r="F2049" s="1" t="s">
        <v>933</v>
      </c>
      <c r="G2049" s="1" t="s">
        <v>8212</v>
      </c>
      <c r="I2049" s="1" t="s">
        <v>125</v>
      </c>
      <c r="K2049" s="4"/>
      <c r="L2049" s="4"/>
      <c r="M2049" s="1">
        <v>3</v>
      </c>
      <c r="N2049" s="54" t="s">
        <v>9529</v>
      </c>
      <c r="V2049" s="4" t="s">
        <v>1104</v>
      </c>
      <c r="Y2049" s="1" t="s">
        <v>8212</v>
      </c>
      <c r="AA2049" s="1" t="s">
        <v>125</v>
      </c>
      <c r="AE2049" s="1">
        <v>3</v>
      </c>
      <c r="AF2049" s="54" t="s">
        <v>9530</v>
      </c>
      <c r="AL2049" s="60" t="s">
        <v>799</v>
      </c>
      <c r="AN2049" s="4" t="s">
        <v>1105</v>
      </c>
      <c r="AQ2049" s="1"/>
    </row>
    <row r="2050" spans="1:43" x14ac:dyDescent="0.2">
      <c r="A2050" s="1" t="s">
        <v>916</v>
      </c>
      <c r="B2050" s="1" t="s">
        <v>1521</v>
      </c>
      <c r="C2050" s="1" t="s">
        <v>5734</v>
      </c>
      <c r="D2050" s="1">
        <v>189</v>
      </c>
      <c r="E2050" s="1">
        <v>1</v>
      </c>
      <c r="F2050" s="1" t="s">
        <v>933</v>
      </c>
      <c r="G2050" s="1" t="s">
        <v>1522</v>
      </c>
      <c r="I2050" s="1" t="s">
        <v>3482</v>
      </c>
      <c r="K2050" s="4"/>
      <c r="L2050" s="4"/>
      <c r="M2050" s="1">
        <v>4</v>
      </c>
      <c r="N2050" s="54" t="s">
        <v>9529</v>
      </c>
      <c r="T2050" s="60" t="s">
        <v>799</v>
      </c>
      <c r="Y2050" s="1" t="s">
        <v>1522</v>
      </c>
      <c r="AA2050" s="1" t="s">
        <v>3482</v>
      </c>
      <c r="AF2050" s="54" t="s">
        <v>9530</v>
      </c>
      <c r="AL2050" s="60" t="s">
        <v>30</v>
      </c>
      <c r="AN2050" s="4" t="s">
        <v>30</v>
      </c>
      <c r="AQ2050" s="1"/>
    </row>
    <row r="2051" spans="1:43" ht="60" x14ac:dyDescent="0.2">
      <c r="A2051" s="115" t="s">
        <v>7985</v>
      </c>
      <c r="B2051" s="115" t="s">
        <v>7986</v>
      </c>
      <c r="C2051" s="115" t="s">
        <v>8062</v>
      </c>
      <c r="D2051" s="115">
        <v>1</v>
      </c>
      <c r="E2051" s="115">
        <v>1</v>
      </c>
      <c r="F2051" s="115" t="s">
        <v>7987</v>
      </c>
      <c r="G2051" s="115" t="s">
        <v>9587</v>
      </c>
      <c r="I2051" s="1" t="s">
        <v>125</v>
      </c>
      <c r="K2051" s="4"/>
      <c r="L2051" s="4"/>
      <c r="M2051" s="1">
        <v>1</v>
      </c>
      <c r="N2051" s="54" t="s">
        <v>9529</v>
      </c>
      <c r="O2051" s="69"/>
      <c r="P2051" s="70"/>
      <c r="Q2051" s="71"/>
      <c r="R2051" s="72"/>
      <c r="S2051" s="73"/>
      <c r="V2051" s="4" t="s">
        <v>8063</v>
      </c>
      <c r="X2051" s="1" t="s">
        <v>7988</v>
      </c>
      <c r="Y2051" s="1" t="s">
        <v>9587</v>
      </c>
      <c r="AA2051" s="1" t="s">
        <v>125</v>
      </c>
      <c r="AE2051" s="1">
        <v>1</v>
      </c>
      <c r="AF2051" s="54" t="s">
        <v>9530</v>
      </c>
      <c r="AG2051" s="69"/>
      <c r="AH2051" s="70"/>
      <c r="AI2051" s="71"/>
      <c r="AJ2051" s="72"/>
      <c r="AK2051" s="73"/>
      <c r="AL2051" s="60">
        <v>10</v>
      </c>
      <c r="AN2051" s="4" t="s">
        <v>7989</v>
      </c>
      <c r="AQ2051" s="1"/>
    </row>
    <row r="2052" spans="1:43" ht="36" x14ac:dyDescent="0.2">
      <c r="A2052" s="1" t="s">
        <v>7985</v>
      </c>
      <c r="B2052" s="1" t="s">
        <v>7990</v>
      </c>
      <c r="C2052" s="1" t="s">
        <v>8062</v>
      </c>
      <c r="D2052" s="1">
        <v>2</v>
      </c>
      <c r="E2052" s="1">
        <v>1</v>
      </c>
      <c r="F2052" s="1" t="s">
        <v>7987</v>
      </c>
      <c r="G2052" s="1" t="s">
        <v>9644</v>
      </c>
      <c r="I2052" s="1" t="s">
        <v>125</v>
      </c>
      <c r="K2052" s="4"/>
      <c r="L2052" s="4"/>
      <c r="M2052" s="1">
        <v>2</v>
      </c>
      <c r="N2052" s="54" t="s">
        <v>9529</v>
      </c>
      <c r="O2052" s="69"/>
      <c r="P2052" s="70"/>
      <c r="Q2052" s="71"/>
      <c r="R2052" s="72"/>
      <c r="S2052" s="73"/>
      <c r="V2052" s="4" t="s">
        <v>7991</v>
      </c>
      <c r="Y2052" s="1" t="s">
        <v>9644</v>
      </c>
      <c r="AA2052" s="1" t="s">
        <v>125</v>
      </c>
      <c r="AE2052" s="1">
        <v>2</v>
      </c>
      <c r="AF2052" s="54" t="s">
        <v>9530</v>
      </c>
      <c r="AG2052" s="69"/>
      <c r="AH2052" s="70"/>
      <c r="AI2052" s="71"/>
      <c r="AJ2052" s="72"/>
      <c r="AK2052" s="73"/>
      <c r="AL2052" s="60">
        <v>10</v>
      </c>
      <c r="AN2052" s="4" t="s">
        <v>7992</v>
      </c>
      <c r="AQ2052" s="1"/>
    </row>
    <row r="2053" spans="1:43" ht="36" x14ac:dyDescent="0.2">
      <c r="A2053" s="1" t="s">
        <v>7985</v>
      </c>
      <c r="B2053" s="1" t="s">
        <v>7993</v>
      </c>
      <c r="C2053" s="1" t="s">
        <v>8062</v>
      </c>
      <c r="D2053" s="1">
        <v>3</v>
      </c>
      <c r="E2053" s="1">
        <v>1</v>
      </c>
      <c r="F2053" s="1" t="s">
        <v>7987</v>
      </c>
      <c r="G2053" s="1" t="s">
        <v>9704</v>
      </c>
      <c r="I2053" s="1" t="s">
        <v>125</v>
      </c>
      <c r="K2053" s="4"/>
      <c r="L2053" s="4"/>
      <c r="M2053" s="1">
        <v>3</v>
      </c>
      <c r="N2053" s="54" t="s">
        <v>9529</v>
      </c>
      <c r="O2053" s="69"/>
      <c r="P2053" s="70"/>
      <c r="Q2053" s="71"/>
      <c r="R2053" s="72"/>
      <c r="S2053" s="73"/>
      <c r="V2053" s="4" t="s">
        <v>7994</v>
      </c>
      <c r="Y2053" s="1" t="s">
        <v>9704</v>
      </c>
      <c r="AA2053" s="1" t="s">
        <v>125</v>
      </c>
      <c r="AE2053" s="1">
        <v>3</v>
      </c>
      <c r="AF2053" s="54" t="s">
        <v>9530</v>
      </c>
      <c r="AG2053" s="69"/>
      <c r="AH2053" s="70"/>
      <c r="AI2053" s="71"/>
      <c r="AJ2053" s="72"/>
      <c r="AK2053" s="73"/>
      <c r="AL2053" s="60">
        <v>10</v>
      </c>
      <c r="AN2053" s="4" t="s">
        <v>7995</v>
      </c>
      <c r="AQ2053" s="1"/>
    </row>
    <row r="2054" spans="1:43" ht="48" x14ac:dyDescent="0.2">
      <c r="A2054" s="1" t="s">
        <v>7985</v>
      </c>
      <c r="B2054" s="1" t="s">
        <v>7996</v>
      </c>
      <c r="C2054" s="1" t="s">
        <v>8062</v>
      </c>
      <c r="D2054" s="1">
        <v>4</v>
      </c>
      <c r="E2054" s="1">
        <v>1</v>
      </c>
      <c r="F2054" s="1" t="s">
        <v>7987</v>
      </c>
      <c r="G2054" s="1" t="s">
        <v>7997</v>
      </c>
      <c r="H2054" s="1" t="s">
        <v>26</v>
      </c>
      <c r="I2054" s="1" t="s">
        <v>94</v>
      </c>
      <c r="K2054" s="4" t="s">
        <v>7998</v>
      </c>
      <c r="L2054" s="4" t="s">
        <v>331</v>
      </c>
      <c r="M2054" s="1"/>
      <c r="N2054" s="68">
        <v>25</v>
      </c>
      <c r="O2054" s="69" t="s">
        <v>113</v>
      </c>
      <c r="P2054" s="70"/>
      <c r="Q2054" s="71" t="s">
        <v>113</v>
      </c>
      <c r="R2054" s="72">
        <v>4</v>
      </c>
      <c r="S2054" s="73">
        <v>7</v>
      </c>
      <c r="U2054" s="1">
        <v>2</v>
      </c>
      <c r="V2054" s="4" t="s">
        <v>7999</v>
      </c>
      <c r="X2054" s="1" t="s">
        <v>1681</v>
      </c>
      <c r="AF2054" s="68"/>
      <c r="AG2054" s="69"/>
      <c r="AH2054" s="70"/>
      <c r="AI2054" s="71"/>
      <c r="AJ2054" s="72"/>
      <c r="AK2054" s="73"/>
      <c r="AL2054" s="60" t="s">
        <v>30</v>
      </c>
      <c r="AQ2054" s="1"/>
    </row>
    <row r="2055" spans="1:43" ht="48" x14ac:dyDescent="0.2">
      <c r="A2055" s="1" t="s">
        <v>7985</v>
      </c>
      <c r="B2055" s="1" t="s">
        <v>8000</v>
      </c>
      <c r="C2055" s="1" t="s">
        <v>8062</v>
      </c>
      <c r="D2055" s="1">
        <v>5</v>
      </c>
      <c r="E2055" s="1">
        <v>1</v>
      </c>
      <c r="F2055" s="1" t="s">
        <v>7987</v>
      </c>
      <c r="G2055" s="1" t="s">
        <v>8001</v>
      </c>
      <c r="H2055" s="1" t="s">
        <v>26</v>
      </c>
      <c r="I2055" s="1" t="s">
        <v>94</v>
      </c>
      <c r="K2055" s="4" t="s">
        <v>7998</v>
      </c>
      <c r="L2055" s="4" t="s">
        <v>8002</v>
      </c>
      <c r="M2055" s="1"/>
      <c r="N2055" s="68">
        <v>45</v>
      </c>
      <c r="O2055" s="69" t="s">
        <v>113</v>
      </c>
      <c r="P2055" s="70"/>
      <c r="Q2055" s="71" t="s">
        <v>113</v>
      </c>
      <c r="R2055" s="72">
        <v>6</v>
      </c>
      <c r="S2055" s="73">
        <v>7</v>
      </c>
      <c r="U2055" s="1">
        <v>3</v>
      </c>
      <c r="V2055" s="4" t="s">
        <v>8003</v>
      </c>
      <c r="X2055" s="1" t="s">
        <v>1681</v>
      </c>
      <c r="AF2055" s="68"/>
      <c r="AG2055" s="69"/>
      <c r="AH2055" s="70"/>
      <c r="AI2055" s="71"/>
      <c r="AJ2055" s="72"/>
      <c r="AK2055" s="73"/>
      <c r="AL2055" s="60" t="s">
        <v>30</v>
      </c>
      <c r="AQ2055" s="1"/>
    </row>
    <row r="2056" spans="1:43" ht="60" x14ac:dyDescent="0.2">
      <c r="A2056" s="1" t="s">
        <v>7985</v>
      </c>
      <c r="B2056" s="1" t="s">
        <v>8004</v>
      </c>
      <c r="C2056" s="1" t="s">
        <v>8062</v>
      </c>
      <c r="D2056" s="1">
        <v>6</v>
      </c>
      <c r="E2056" s="1">
        <v>1</v>
      </c>
      <c r="F2056" s="1" t="s">
        <v>7987</v>
      </c>
      <c r="G2056" s="1" t="s">
        <v>2265</v>
      </c>
      <c r="H2056" s="1" t="s">
        <v>26</v>
      </c>
      <c r="I2056" s="1" t="s">
        <v>94</v>
      </c>
      <c r="K2056" s="4" t="s">
        <v>7998</v>
      </c>
      <c r="L2056" s="4" t="s">
        <v>8005</v>
      </c>
      <c r="M2056" s="1"/>
      <c r="N2056" s="68">
        <v>20</v>
      </c>
      <c r="O2056" s="69" t="s">
        <v>113</v>
      </c>
      <c r="P2056" s="70"/>
      <c r="Q2056" s="71" t="s">
        <v>113</v>
      </c>
      <c r="R2056" s="72" t="s">
        <v>113</v>
      </c>
      <c r="S2056" s="73">
        <v>9</v>
      </c>
      <c r="V2056" s="4" t="s">
        <v>8006</v>
      </c>
      <c r="X2056" s="1" t="s">
        <v>1681</v>
      </c>
      <c r="AF2056" s="68"/>
      <c r="AG2056" s="69"/>
      <c r="AH2056" s="70"/>
      <c r="AI2056" s="71"/>
      <c r="AJ2056" s="72"/>
      <c r="AK2056" s="73"/>
      <c r="AL2056" s="60" t="s">
        <v>30</v>
      </c>
      <c r="AQ2056" s="1"/>
    </row>
    <row r="2057" spans="1:43" ht="24" x14ac:dyDescent="0.2">
      <c r="A2057" s="1" t="s">
        <v>7985</v>
      </c>
      <c r="B2057" s="1" t="s">
        <v>8007</v>
      </c>
      <c r="C2057" s="1" t="s">
        <v>8062</v>
      </c>
      <c r="D2057" s="1">
        <v>7</v>
      </c>
      <c r="E2057" s="1">
        <v>3</v>
      </c>
      <c r="F2057" s="1" t="s">
        <v>7987</v>
      </c>
      <c r="G2057" s="1" t="s">
        <v>8008</v>
      </c>
      <c r="I2057" s="1" t="s">
        <v>94</v>
      </c>
      <c r="K2057" s="4" t="s">
        <v>8009</v>
      </c>
      <c r="L2057" s="4"/>
      <c r="M2057" s="1"/>
      <c r="N2057" s="68">
        <v>30</v>
      </c>
      <c r="O2057" s="69">
        <v>1</v>
      </c>
      <c r="P2057" s="70"/>
      <c r="Q2057" s="71">
        <v>4</v>
      </c>
      <c r="R2057" s="72">
        <v>3</v>
      </c>
      <c r="S2057" s="73">
        <v>3</v>
      </c>
      <c r="V2057" s="4" t="s">
        <v>8010</v>
      </c>
      <c r="W2057" s="4" t="s">
        <v>8011</v>
      </c>
      <c r="AF2057" s="68"/>
      <c r="AG2057" s="69"/>
      <c r="AH2057" s="70"/>
      <c r="AI2057" s="71"/>
      <c r="AJ2057" s="72"/>
      <c r="AK2057" s="73"/>
      <c r="AL2057" s="60" t="s">
        <v>30</v>
      </c>
      <c r="AQ2057" s="1"/>
    </row>
    <row r="2058" spans="1:43" ht="36" x14ac:dyDescent="0.2">
      <c r="A2058" s="1" t="s">
        <v>7985</v>
      </c>
      <c r="B2058" s="1" t="s">
        <v>8012</v>
      </c>
      <c r="C2058" s="1" t="s">
        <v>8062</v>
      </c>
      <c r="D2058" s="1">
        <v>8</v>
      </c>
      <c r="E2058" s="1">
        <v>2</v>
      </c>
      <c r="F2058" s="1" t="s">
        <v>7987</v>
      </c>
      <c r="G2058" s="1" t="s">
        <v>5762</v>
      </c>
      <c r="I2058" s="1" t="s">
        <v>94</v>
      </c>
      <c r="K2058" s="4" t="s">
        <v>8013</v>
      </c>
      <c r="L2058" s="4" t="s">
        <v>8014</v>
      </c>
      <c r="M2058" s="1"/>
      <c r="N2058" s="68">
        <v>35</v>
      </c>
      <c r="O2058" s="69" t="s">
        <v>113</v>
      </c>
      <c r="P2058" s="70"/>
      <c r="Q2058" s="71" t="s">
        <v>113</v>
      </c>
      <c r="R2058" s="72" t="s">
        <v>113</v>
      </c>
      <c r="S2058" s="73">
        <v>7</v>
      </c>
      <c r="V2058" s="4" t="s">
        <v>8015</v>
      </c>
      <c r="AF2058" s="68"/>
      <c r="AG2058" s="69"/>
      <c r="AH2058" s="70"/>
      <c r="AI2058" s="71"/>
      <c r="AJ2058" s="72"/>
      <c r="AK2058" s="73"/>
      <c r="AL2058" s="60" t="s">
        <v>30</v>
      </c>
      <c r="AQ2058" s="1"/>
    </row>
    <row r="2059" spans="1:43" ht="48" x14ac:dyDescent="0.2">
      <c r="A2059" s="1" t="s">
        <v>7985</v>
      </c>
      <c r="B2059" s="1" t="s">
        <v>8016</v>
      </c>
      <c r="C2059" s="1" t="s">
        <v>8062</v>
      </c>
      <c r="D2059" s="1">
        <v>9</v>
      </c>
      <c r="E2059" s="1">
        <v>4</v>
      </c>
      <c r="F2059" s="1" t="s">
        <v>7987</v>
      </c>
      <c r="G2059" s="1" t="s">
        <v>8017</v>
      </c>
      <c r="I2059" s="1" t="s">
        <v>94</v>
      </c>
      <c r="K2059" s="4" t="s">
        <v>8013</v>
      </c>
      <c r="L2059" s="4" t="s">
        <v>8018</v>
      </c>
      <c r="M2059" s="1"/>
      <c r="N2059" s="68">
        <v>30</v>
      </c>
      <c r="O2059" s="69" t="s">
        <v>113</v>
      </c>
      <c r="P2059" s="70"/>
      <c r="Q2059" s="71" t="s">
        <v>113</v>
      </c>
      <c r="R2059" s="72" t="s">
        <v>113</v>
      </c>
      <c r="S2059" s="73">
        <v>3</v>
      </c>
      <c r="V2059" s="4" t="s">
        <v>8019</v>
      </c>
      <c r="AF2059" s="68"/>
      <c r="AG2059" s="69"/>
      <c r="AH2059" s="70"/>
      <c r="AI2059" s="71"/>
      <c r="AJ2059" s="72"/>
      <c r="AK2059" s="73"/>
      <c r="AL2059" s="60" t="s">
        <v>30</v>
      </c>
      <c r="AQ2059" s="1"/>
    </row>
    <row r="2060" spans="1:43" ht="48" x14ac:dyDescent="0.2">
      <c r="A2060" s="1" t="s">
        <v>7985</v>
      </c>
      <c r="B2060" s="1" t="s">
        <v>8020</v>
      </c>
      <c r="C2060" s="1" t="s">
        <v>8062</v>
      </c>
      <c r="D2060" s="1">
        <v>10</v>
      </c>
      <c r="E2060" s="1">
        <v>4</v>
      </c>
      <c r="F2060" s="1" t="s">
        <v>7987</v>
      </c>
      <c r="G2060" s="1" t="s">
        <v>8021</v>
      </c>
      <c r="I2060" s="1" t="s">
        <v>94</v>
      </c>
      <c r="K2060" s="4" t="s">
        <v>8013</v>
      </c>
      <c r="L2060" s="4" t="s">
        <v>8018</v>
      </c>
      <c r="M2060" s="1"/>
      <c r="N2060" s="68">
        <v>35</v>
      </c>
      <c r="O2060" s="69" t="s">
        <v>113</v>
      </c>
      <c r="P2060" s="70"/>
      <c r="Q2060" s="71" t="s">
        <v>113</v>
      </c>
      <c r="R2060" s="72" t="s">
        <v>113</v>
      </c>
      <c r="S2060" s="73">
        <v>3</v>
      </c>
      <c r="V2060" s="4" t="s">
        <v>8022</v>
      </c>
      <c r="AF2060" s="68"/>
      <c r="AG2060" s="69"/>
      <c r="AH2060" s="70"/>
      <c r="AI2060" s="71"/>
      <c r="AJ2060" s="72"/>
      <c r="AK2060" s="73"/>
      <c r="AL2060" s="60" t="s">
        <v>30</v>
      </c>
      <c r="AQ2060" s="1"/>
    </row>
    <row r="2061" spans="1:43" ht="60" x14ac:dyDescent="0.2">
      <c r="A2061" s="1" t="s">
        <v>7985</v>
      </c>
      <c r="B2061" s="1" t="s">
        <v>8023</v>
      </c>
      <c r="C2061" s="1" t="s">
        <v>8062</v>
      </c>
      <c r="D2061" s="1">
        <v>11</v>
      </c>
      <c r="E2061" s="1">
        <v>1</v>
      </c>
      <c r="F2061" s="1" t="s">
        <v>7987</v>
      </c>
      <c r="G2061" s="1" t="s">
        <v>8024</v>
      </c>
      <c r="I2061" s="1" t="s">
        <v>104</v>
      </c>
      <c r="K2061" s="4" t="s">
        <v>8064</v>
      </c>
      <c r="L2061" s="4" t="s">
        <v>8025</v>
      </c>
      <c r="M2061" s="1"/>
      <c r="N2061" s="68"/>
      <c r="O2061" s="69" t="s">
        <v>113</v>
      </c>
      <c r="P2061" s="70"/>
      <c r="Q2061" s="71"/>
      <c r="R2061" s="72"/>
      <c r="S2061" s="73"/>
      <c r="T2061" s="60" t="s">
        <v>799</v>
      </c>
      <c r="V2061" s="4" t="s">
        <v>8026</v>
      </c>
      <c r="X2061" s="1" t="s">
        <v>1629</v>
      </c>
      <c r="AF2061" s="68"/>
      <c r="AG2061" s="69"/>
      <c r="AH2061" s="70"/>
      <c r="AI2061" s="71"/>
      <c r="AJ2061" s="72"/>
      <c r="AK2061" s="73"/>
      <c r="AL2061" s="60" t="s">
        <v>30</v>
      </c>
      <c r="AQ2061" s="1"/>
    </row>
    <row r="2062" spans="1:43" ht="60" x14ac:dyDescent="0.2">
      <c r="A2062" s="1" t="s">
        <v>7985</v>
      </c>
      <c r="B2062" s="1" t="s">
        <v>8027</v>
      </c>
      <c r="C2062" s="1" t="s">
        <v>8062</v>
      </c>
      <c r="D2062" s="1">
        <v>12</v>
      </c>
      <c r="E2062" s="1">
        <v>1</v>
      </c>
      <c r="F2062" s="1" t="s">
        <v>7987</v>
      </c>
      <c r="G2062" s="1" t="s">
        <v>8028</v>
      </c>
      <c r="I2062" s="1" t="s">
        <v>104</v>
      </c>
      <c r="K2062" s="4" t="s">
        <v>8064</v>
      </c>
      <c r="L2062" s="4" t="s">
        <v>8025</v>
      </c>
      <c r="M2062" s="1"/>
      <c r="N2062" s="68"/>
      <c r="O2062" s="69" t="s">
        <v>113</v>
      </c>
      <c r="P2062" s="70"/>
      <c r="Q2062" s="71"/>
      <c r="R2062" s="72"/>
      <c r="S2062" s="73"/>
      <c r="T2062" s="60" t="s">
        <v>799</v>
      </c>
      <c r="V2062" s="4" t="s">
        <v>8029</v>
      </c>
      <c r="X2062" s="1" t="s">
        <v>1681</v>
      </c>
      <c r="AF2062" s="68"/>
      <c r="AG2062" s="69"/>
      <c r="AH2062" s="70"/>
      <c r="AI2062" s="71"/>
      <c r="AJ2062" s="72"/>
      <c r="AK2062" s="73"/>
      <c r="AL2062" s="60" t="s">
        <v>30</v>
      </c>
      <c r="AQ2062" s="1"/>
    </row>
    <row r="2063" spans="1:43" ht="60" x14ac:dyDescent="0.2">
      <c r="A2063" s="1" t="s">
        <v>7985</v>
      </c>
      <c r="B2063" s="1" t="s">
        <v>8030</v>
      </c>
      <c r="C2063" s="1" t="s">
        <v>8062</v>
      </c>
      <c r="D2063" s="1">
        <v>13</v>
      </c>
      <c r="E2063" s="1">
        <v>1</v>
      </c>
      <c r="F2063" s="1" t="s">
        <v>7987</v>
      </c>
      <c r="G2063" s="1" t="s">
        <v>8031</v>
      </c>
      <c r="I2063" s="1" t="s">
        <v>104</v>
      </c>
      <c r="K2063" s="4" t="s">
        <v>8064</v>
      </c>
      <c r="L2063" s="4" t="s">
        <v>8032</v>
      </c>
      <c r="M2063" s="1"/>
      <c r="N2063" s="68"/>
      <c r="O2063" s="69" t="s">
        <v>113</v>
      </c>
      <c r="P2063" s="70"/>
      <c r="Q2063" s="71"/>
      <c r="R2063" s="72"/>
      <c r="S2063" s="73"/>
      <c r="T2063" s="60" t="s">
        <v>799</v>
      </c>
      <c r="V2063" s="4" t="s">
        <v>8033</v>
      </c>
      <c r="X2063" s="1" t="s">
        <v>1681</v>
      </c>
      <c r="AF2063" s="68"/>
      <c r="AG2063" s="69"/>
      <c r="AH2063" s="70"/>
      <c r="AI2063" s="71"/>
      <c r="AJ2063" s="72"/>
      <c r="AK2063" s="73"/>
      <c r="AL2063" s="60" t="s">
        <v>30</v>
      </c>
      <c r="AQ2063" s="1"/>
    </row>
    <row r="2064" spans="1:43" x14ac:dyDescent="0.2">
      <c r="A2064" s="1" t="s">
        <v>7985</v>
      </c>
      <c r="B2064" s="1" t="s">
        <v>8034</v>
      </c>
      <c r="C2064" s="1" t="s">
        <v>8062</v>
      </c>
      <c r="D2064" s="1">
        <v>14</v>
      </c>
      <c r="E2064" s="1">
        <v>3</v>
      </c>
      <c r="F2064" s="1" t="s">
        <v>7987</v>
      </c>
      <c r="G2064" s="1" t="s">
        <v>8035</v>
      </c>
      <c r="I2064" s="1" t="s">
        <v>104</v>
      </c>
      <c r="K2064" s="4" t="s">
        <v>1762</v>
      </c>
      <c r="L2064" s="4"/>
      <c r="M2064" s="1"/>
      <c r="N2064" s="68"/>
      <c r="O2064" s="69" t="s">
        <v>113</v>
      </c>
      <c r="P2064" s="70"/>
      <c r="Q2064" s="71"/>
      <c r="R2064" s="72"/>
      <c r="S2064" s="73"/>
      <c r="T2064" s="60">
        <v>2</v>
      </c>
      <c r="V2064" s="4" t="s">
        <v>8036</v>
      </c>
      <c r="W2064" s="4" t="s">
        <v>8037</v>
      </c>
      <c r="AF2064" s="68"/>
      <c r="AG2064" s="69"/>
      <c r="AH2064" s="70"/>
      <c r="AI2064" s="71"/>
      <c r="AJ2064" s="72"/>
      <c r="AK2064" s="73"/>
      <c r="AL2064" s="60" t="s">
        <v>30</v>
      </c>
      <c r="AQ2064" s="1"/>
    </row>
    <row r="2065" spans="1:43" ht="36" x14ac:dyDescent="0.2">
      <c r="A2065" s="1" t="s">
        <v>7985</v>
      </c>
      <c r="B2065" s="1" t="s">
        <v>8038</v>
      </c>
      <c r="C2065" s="1" t="s">
        <v>8062</v>
      </c>
      <c r="D2065" s="1">
        <v>15</v>
      </c>
      <c r="E2065" s="1">
        <v>2</v>
      </c>
      <c r="F2065" s="1" t="s">
        <v>7987</v>
      </c>
      <c r="G2065" s="1" t="s">
        <v>8039</v>
      </c>
      <c r="I2065" s="1" t="s">
        <v>104</v>
      </c>
      <c r="K2065" s="4" t="s">
        <v>8040</v>
      </c>
      <c r="L2065" s="4"/>
      <c r="M2065" s="1"/>
      <c r="N2065" s="68"/>
      <c r="O2065" s="69">
        <v>2</v>
      </c>
      <c r="P2065" s="70"/>
      <c r="Q2065" s="71"/>
      <c r="R2065" s="72"/>
      <c r="S2065" s="73"/>
      <c r="T2065" s="60">
        <v>5</v>
      </c>
      <c r="V2065" s="4" t="s">
        <v>8041</v>
      </c>
      <c r="W2065" s="4" t="s">
        <v>8042</v>
      </c>
      <c r="AF2065" s="68"/>
      <c r="AG2065" s="69"/>
      <c r="AH2065" s="70"/>
      <c r="AI2065" s="71"/>
      <c r="AJ2065" s="72"/>
      <c r="AK2065" s="73"/>
      <c r="AL2065" s="60" t="s">
        <v>30</v>
      </c>
      <c r="AQ2065" s="1"/>
    </row>
    <row r="2066" spans="1:43" ht="24" x14ac:dyDescent="0.2">
      <c r="A2066" s="1" t="s">
        <v>7985</v>
      </c>
      <c r="B2066" s="1" t="s">
        <v>8043</v>
      </c>
      <c r="C2066" s="1" t="s">
        <v>8062</v>
      </c>
      <c r="D2066" s="1">
        <v>16</v>
      </c>
      <c r="E2066" s="1">
        <v>4</v>
      </c>
      <c r="F2066" s="1" t="s">
        <v>7987</v>
      </c>
      <c r="G2066" s="1" t="s">
        <v>8044</v>
      </c>
      <c r="I2066" s="1" t="s">
        <v>104</v>
      </c>
      <c r="K2066" s="4" t="s">
        <v>1178</v>
      </c>
      <c r="L2066" s="4" t="s">
        <v>155</v>
      </c>
      <c r="M2066" s="1"/>
      <c r="N2066" s="68"/>
      <c r="O2066" s="69">
        <v>1</v>
      </c>
      <c r="P2066" s="70"/>
      <c r="Q2066" s="71"/>
      <c r="R2066" s="72"/>
      <c r="S2066" s="73"/>
      <c r="T2066" s="60">
        <v>3</v>
      </c>
      <c r="W2066" s="4" t="s">
        <v>8045</v>
      </c>
      <c r="AF2066" s="68"/>
      <c r="AG2066" s="69"/>
      <c r="AH2066" s="70"/>
      <c r="AI2066" s="71"/>
      <c r="AJ2066" s="72"/>
      <c r="AK2066" s="73"/>
      <c r="AL2066" s="60" t="s">
        <v>30</v>
      </c>
      <c r="AQ2066" s="1"/>
    </row>
    <row r="2067" spans="1:43" ht="24" x14ac:dyDescent="0.2">
      <c r="A2067" s="1" t="s">
        <v>7985</v>
      </c>
      <c r="B2067" s="1" t="s">
        <v>8046</v>
      </c>
      <c r="C2067" s="1" t="s">
        <v>8062</v>
      </c>
      <c r="D2067" s="1">
        <v>17</v>
      </c>
      <c r="E2067" s="1">
        <v>3</v>
      </c>
      <c r="F2067" s="1" t="s">
        <v>7987</v>
      </c>
      <c r="G2067" s="1" t="s">
        <v>8047</v>
      </c>
      <c r="I2067" s="1" t="s">
        <v>104</v>
      </c>
      <c r="K2067" s="4" t="s">
        <v>1178</v>
      </c>
      <c r="L2067" s="4" t="s">
        <v>8048</v>
      </c>
      <c r="M2067" s="1"/>
      <c r="N2067" s="68"/>
      <c r="O2067" s="69">
        <v>3</v>
      </c>
      <c r="P2067" s="70"/>
      <c r="Q2067" s="71"/>
      <c r="R2067" s="72"/>
      <c r="S2067" s="73"/>
      <c r="T2067" s="60">
        <v>4</v>
      </c>
      <c r="V2067" s="4" t="s">
        <v>8049</v>
      </c>
      <c r="W2067" s="4" t="s">
        <v>8050</v>
      </c>
      <c r="AF2067" s="68"/>
      <c r="AG2067" s="69"/>
      <c r="AH2067" s="70"/>
      <c r="AI2067" s="71"/>
      <c r="AJ2067" s="72"/>
      <c r="AK2067" s="73"/>
      <c r="AL2067" s="60" t="s">
        <v>30</v>
      </c>
      <c r="AQ2067" s="1"/>
    </row>
    <row r="2068" spans="1:43" ht="24" x14ac:dyDescent="0.2">
      <c r="A2068" s="1" t="s">
        <v>7985</v>
      </c>
      <c r="B2068" s="1" t="s">
        <v>8051</v>
      </c>
      <c r="C2068" s="1" t="s">
        <v>8062</v>
      </c>
      <c r="D2068" s="1">
        <v>18</v>
      </c>
      <c r="E2068" s="1">
        <v>3</v>
      </c>
      <c r="F2068" s="1" t="s">
        <v>7987</v>
      </c>
      <c r="G2068" s="1" t="s">
        <v>8052</v>
      </c>
      <c r="I2068" s="1" t="s">
        <v>82</v>
      </c>
      <c r="K2068" s="4"/>
      <c r="L2068" s="4"/>
      <c r="M2068" s="1"/>
      <c r="N2068" s="68"/>
      <c r="O2068" s="69"/>
      <c r="P2068" s="70"/>
      <c r="Q2068" s="71"/>
      <c r="R2068" s="72"/>
      <c r="S2068" s="73"/>
      <c r="V2068" s="4" t="s">
        <v>8053</v>
      </c>
      <c r="W2068" s="4" t="s">
        <v>8054</v>
      </c>
      <c r="AF2068" s="68"/>
      <c r="AG2068" s="69"/>
      <c r="AH2068" s="70"/>
      <c r="AI2068" s="71"/>
      <c r="AJ2068" s="72"/>
      <c r="AK2068" s="73"/>
      <c r="AL2068" s="60" t="s">
        <v>30</v>
      </c>
      <c r="AQ2068" s="1"/>
    </row>
    <row r="2069" spans="1:43" ht="24" x14ac:dyDescent="0.2">
      <c r="A2069" s="1" t="s">
        <v>7985</v>
      </c>
      <c r="B2069" s="1" t="s">
        <v>8055</v>
      </c>
      <c r="C2069" s="1" t="s">
        <v>8062</v>
      </c>
      <c r="D2069" s="1">
        <v>19</v>
      </c>
      <c r="E2069" s="1">
        <v>3</v>
      </c>
      <c r="F2069" s="1" t="s">
        <v>7987</v>
      </c>
      <c r="G2069" s="1" t="s">
        <v>8092</v>
      </c>
      <c r="I2069" s="1" t="s">
        <v>82</v>
      </c>
      <c r="K2069" s="4"/>
      <c r="L2069" s="4"/>
      <c r="M2069" s="1"/>
      <c r="N2069" s="68"/>
      <c r="O2069" s="69"/>
      <c r="P2069" s="70"/>
      <c r="Q2069" s="71"/>
      <c r="R2069" s="72"/>
      <c r="S2069" s="73"/>
      <c r="V2069" s="4" t="s">
        <v>8056</v>
      </c>
      <c r="AF2069" s="68"/>
      <c r="AG2069" s="69"/>
      <c r="AH2069" s="70"/>
      <c r="AI2069" s="71"/>
      <c r="AJ2069" s="72"/>
      <c r="AK2069" s="73"/>
      <c r="AL2069" s="60" t="s">
        <v>30</v>
      </c>
      <c r="AQ2069" s="1"/>
    </row>
    <row r="2070" spans="1:43" ht="36" x14ac:dyDescent="0.2">
      <c r="A2070" s="1" t="s">
        <v>7985</v>
      </c>
      <c r="B2070" s="1" t="s">
        <v>8057</v>
      </c>
      <c r="C2070" s="1" t="s">
        <v>8062</v>
      </c>
      <c r="D2070" s="1">
        <v>20</v>
      </c>
      <c r="E2070" s="1">
        <v>3</v>
      </c>
      <c r="F2070" s="1" t="s">
        <v>7987</v>
      </c>
      <c r="G2070" s="1" t="s">
        <v>8058</v>
      </c>
      <c r="I2070" s="1" t="s">
        <v>82</v>
      </c>
      <c r="K2070" s="4"/>
      <c r="L2070" s="4"/>
      <c r="M2070" s="1"/>
      <c r="N2070" s="68"/>
      <c r="O2070" s="69"/>
      <c r="P2070" s="70"/>
      <c r="Q2070" s="71"/>
      <c r="R2070" s="72"/>
      <c r="S2070" s="73"/>
      <c r="V2070" s="4" t="s">
        <v>8059</v>
      </c>
      <c r="W2070" s="4" t="s">
        <v>8060</v>
      </c>
      <c r="AF2070" s="68"/>
      <c r="AG2070" s="69"/>
      <c r="AH2070" s="70"/>
      <c r="AI2070" s="71"/>
      <c r="AJ2070" s="72"/>
      <c r="AK2070" s="73"/>
      <c r="AL2070" s="60" t="s">
        <v>30</v>
      </c>
      <c r="AQ2070" s="1"/>
    </row>
    <row r="2071" spans="1:43" ht="36" x14ac:dyDescent="0.2">
      <c r="A2071" s="1" t="s">
        <v>7985</v>
      </c>
      <c r="B2071" s="1" t="s">
        <v>8061</v>
      </c>
      <c r="C2071" s="1" t="s">
        <v>8062</v>
      </c>
      <c r="D2071" s="1">
        <v>21</v>
      </c>
      <c r="E2071" s="1">
        <v>1</v>
      </c>
      <c r="F2071" s="1" t="s">
        <v>7987</v>
      </c>
      <c r="G2071" s="1" t="s">
        <v>8088</v>
      </c>
      <c r="I2071" s="1" t="s">
        <v>3482</v>
      </c>
      <c r="K2071" s="4"/>
      <c r="L2071" s="4"/>
      <c r="M2071" s="1"/>
      <c r="N2071" s="54" t="s">
        <v>9529</v>
      </c>
      <c r="O2071" s="69"/>
      <c r="P2071" s="70"/>
      <c r="Q2071" s="71"/>
      <c r="R2071" s="72"/>
      <c r="S2071" s="73"/>
      <c r="V2071" s="4" t="s">
        <v>8089</v>
      </c>
      <c r="Y2071" s="1" t="s">
        <v>8090</v>
      </c>
      <c r="AA2071" s="1" t="s">
        <v>3482</v>
      </c>
      <c r="AF2071" s="54" t="s">
        <v>9530</v>
      </c>
      <c r="AG2071" s="69"/>
      <c r="AH2071" s="70"/>
      <c r="AI2071" s="71"/>
      <c r="AJ2071" s="72"/>
      <c r="AK2071" s="73"/>
      <c r="AL2071" s="60" t="s">
        <v>30</v>
      </c>
      <c r="AN2071" s="4" t="s">
        <v>8091</v>
      </c>
      <c r="AQ2071" s="1"/>
    </row>
  </sheetData>
  <sortState ref="A2:AP2071">
    <sortCondition ref="C2:C2071"/>
    <sortCondition ref="D2:D2071"/>
  </sortState>
  <conditionalFormatting sqref="J1:J856 J885:J1064 J1479:J1934 J2072:J1048576 J1116:J1148 J1155:J1387">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AB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AB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867:J88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857:J866">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065:J1089">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090:J109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098:J110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106:J111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114:J111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89:J147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8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935:J19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942:J1948">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949:J1959 G1960:G1962 J1961:J197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977:J200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02:J2025 J2027:J204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2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47:J207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9" t="s">
        <v>7790</v>
      </c>
      <c r="C2" t="s">
        <v>7800</v>
      </c>
    </row>
    <row r="3" spans="2:3" x14ac:dyDescent="0.25">
      <c r="B3" s="6" t="s">
        <v>7791</v>
      </c>
      <c r="C3" t="s">
        <v>7801</v>
      </c>
    </row>
    <row r="4" spans="2:3" x14ac:dyDescent="0.25">
      <c r="B4" s="139" t="s">
        <v>7792</v>
      </c>
      <c r="C4" t="s">
        <v>7802</v>
      </c>
    </row>
    <row r="5" spans="2:3" x14ac:dyDescent="0.25">
      <c r="B5" s="139" t="s">
        <v>7793</v>
      </c>
      <c r="C5" t="s">
        <v>7803</v>
      </c>
    </row>
    <row r="6" spans="2:3" x14ac:dyDescent="0.25">
      <c r="B6" s="139" t="s">
        <v>7794</v>
      </c>
      <c r="C6" t="s">
        <v>7804</v>
      </c>
    </row>
    <row r="7" spans="2:3" x14ac:dyDescent="0.25">
      <c r="B7" s="139" t="s">
        <v>7795</v>
      </c>
      <c r="C7" t="s">
        <v>7805</v>
      </c>
    </row>
    <row r="8" spans="2:3" x14ac:dyDescent="0.25">
      <c r="B8" s="139" t="s">
        <v>7796</v>
      </c>
      <c r="C8" t="s">
        <v>7806</v>
      </c>
    </row>
    <row r="9" spans="2:3" x14ac:dyDescent="0.25">
      <c r="B9" s="139" t="s">
        <v>7797</v>
      </c>
      <c r="C9" t="s">
        <v>7807</v>
      </c>
    </row>
    <row r="10" spans="2:3" x14ac:dyDescent="0.25">
      <c r="B10" s="139" t="s">
        <v>7798</v>
      </c>
      <c r="C10" t="s">
        <v>7808</v>
      </c>
    </row>
    <row r="11" spans="2:3" x14ac:dyDescent="0.25">
      <c r="B11" s="139" t="s">
        <v>7799</v>
      </c>
      <c r="C11" t="s">
        <v>7809</v>
      </c>
    </row>
    <row r="12" spans="2:3" x14ac:dyDescent="0.25">
      <c r="B12" s="139"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5"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5"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5"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5"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5"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5"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5"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5"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5"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5"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2015-01-22T09:28:05Z</dcterms:modified>
</cp:coreProperties>
</file>