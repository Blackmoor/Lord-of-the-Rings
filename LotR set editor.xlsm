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worksheets/sheet6.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5" yWindow="-3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definedNames>
    <definedName name="GameGUID">Sets!$A$1</definedName>
    <definedName name="GameVersion">Sets!$C$1</definedName>
  </definedNames>
  <calcPr calcId="125725"/>
  <pivotCaches>
    <pivotCache cacheId="68" r:id="rId7"/>
  </pivotCaches>
</workbook>
</file>

<file path=xl/calcChain.xml><?xml version="1.0" encoding="utf-8"?>
<calcChain xmlns="http://schemas.openxmlformats.org/spreadsheetml/2006/main">
  <c r="B3" i="6"/>
  <c r="A3" s="1"/>
  <c r="E3"/>
  <c r="B4"/>
  <c r="A4" s="1"/>
  <c r="E4"/>
  <c r="B5"/>
  <c r="A5" s="1"/>
  <c r="E5"/>
  <c r="B6"/>
  <c r="A6" s="1"/>
  <c r="E6"/>
  <c r="N47" i="1"/>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Y6" i="6" l="1"/>
  <c r="Y5"/>
  <c r="Y4"/>
  <c r="Y3"/>
  <c r="N40" i="1"/>
  <c r="N41"/>
  <c r="N42"/>
  <c r="N43"/>
  <c r="N44"/>
  <c r="N45"/>
  <c r="N46"/>
  <c r="O40"/>
  <c r="O41"/>
  <c r="O42"/>
  <c r="O43"/>
  <c r="O44"/>
  <c r="O45"/>
  <c r="O46"/>
  <c r="P40"/>
  <c r="P41"/>
  <c r="P42"/>
  <c r="P43"/>
  <c r="P44"/>
  <c r="P45"/>
  <c r="P46"/>
  <c r="Q40"/>
  <c r="Q41"/>
  <c r="Q42"/>
  <c r="Q43"/>
  <c r="Q44"/>
  <c r="Q45"/>
  <c r="Q46"/>
  <c r="E2" i="6"/>
  <c r="Q2" i="1"/>
  <c r="Q3"/>
  <c r="Q4"/>
  <c r="Q5"/>
  <c r="Q6"/>
  <c r="Q7"/>
  <c r="Q8"/>
  <c r="Q9"/>
  <c r="Q10"/>
  <c r="Q11"/>
  <c r="Q12"/>
  <c r="Q13"/>
  <c r="Q14"/>
  <c r="Q15"/>
  <c r="Q16"/>
  <c r="Q17"/>
  <c r="Q18"/>
  <c r="Q19"/>
  <c r="Q20"/>
  <c r="Q21"/>
  <c r="Q22"/>
  <c r="Q23"/>
  <c r="Q24"/>
  <c r="Q25"/>
  <c r="Q26"/>
  <c r="Q27"/>
  <c r="Q28"/>
  <c r="Q29"/>
  <c r="Q30"/>
  <c r="Q31"/>
  <c r="Q32"/>
  <c r="Q33"/>
  <c r="Q34"/>
  <c r="Q35"/>
  <c r="Q36"/>
  <c r="Q37"/>
  <c r="Q38"/>
  <c r="Q39"/>
  <c r="P2"/>
  <c r="P3"/>
  <c r="P4"/>
  <c r="P5"/>
  <c r="P6"/>
  <c r="P7"/>
  <c r="P8"/>
  <c r="P9"/>
  <c r="P10"/>
  <c r="P11"/>
  <c r="P12"/>
  <c r="P13"/>
  <c r="P14"/>
  <c r="P15"/>
  <c r="P16"/>
  <c r="P17"/>
  <c r="P18"/>
  <c r="P19"/>
  <c r="P20"/>
  <c r="P21"/>
  <c r="P22"/>
  <c r="P23"/>
  <c r="P24"/>
  <c r="P25"/>
  <c r="P26"/>
  <c r="P27"/>
  <c r="P28"/>
  <c r="P29"/>
  <c r="P30"/>
  <c r="P31"/>
  <c r="P32"/>
  <c r="P33"/>
  <c r="P34"/>
  <c r="P35"/>
  <c r="P36"/>
  <c r="P37"/>
  <c r="P38"/>
  <c r="P39"/>
  <c r="O2"/>
  <c r="O3"/>
  <c r="O4"/>
  <c r="O5"/>
  <c r="O6"/>
  <c r="O7"/>
  <c r="O8"/>
  <c r="O9"/>
  <c r="O10"/>
  <c r="O11"/>
  <c r="O12"/>
  <c r="O13"/>
  <c r="O14"/>
  <c r="O15"/>
  <c r="O16"/>
  <c r="O17"/>
  <c r="O18"/>
  <c r="O19"/>
  <c r="O20"/>
  <c r="O21"/>
  <c r="O22"/>
  <c r="O23"/>
  <c r="O24"/>
  <c r="O25"/>
  <c r="O26"/>
  <c r="O27"/>
  <c r="O28"/>
  <c r="O29"/>
  <c r="O30"/>
  <c r="O31"/>
  <c r="O32"/>
  <c r="O33"/>
  <c r="O34"/>
  <c r="O35"/>
  <c r="O36"/>
  <c r="O37"/>
  <c r="O38"/>
  <c r="O39"/>
  <c r="N2"/>
  <c r="U6" i="6" s="1"/>
  <c r="N3" i="1"/>
  <c r="N4"/>
  <c r="N5"/>
  <c r="N6"/>
  <c r="N7"/>
  <c r="N8"/>
  <c r="N9"/>
  <c r="N10"/>
  <c r="N11"/>
  <c r="N12"/>
  <c r="N13"/>
  <c r="N14"/>
  <c r="N15"/>
  <c r="N16"/>
  <c r="N17"/>
  <c r="N18"/>
  <c r="N19"/>
  <c r="N20"/>
  <c r="N21"/>
  <c r="N22"/>
  <c r="N23"/>
  <c r="N24"/>
  <c r="N25"/>
  <c r="N26"/>
  <c r="N27"/>
  <c r="N28"/>
  <c r="N29"/>
  <c r="N30"/>
  <c r="N31"/>
  <c r="N32"/>
  <c r="N33"/>
  <c r="N34"/>
  <c r="N35"/>
  <c r="N36"/>
  <c r="N37"/>
  <c r="N38"/>
  <c r="N39"/>
  <c r="B2" i="6"/>
  <c r="R2" s="1"/>
  <c r="I3" l="1"/>
  <c r="M3"/>
  <c r="Q3"/>
  <c r="U3"/>
  <c r="I4"/>
  <c r="M4"/>
  <c r="Q4"/>
  <c r="U4"/>
  <c r="I5"/>
  <c r="M5"/>
  <c r="Q5"/>
  <c r="U5"/>
  <c r="I6"/>
  <c r="M6"/>
  <c r="Q6"/>
  <c r="F3"/>
  <c r="H3"/>
  <c r="J3"/>
  <c r="L3"/>
  <c r="N3"/>
  <c r="P3"/>
  <c r="T3"/>
  <c r="V3"/>
  <c r="X3"/>
  <c r="F4"/>
  <c r="H4"/>
  <c r="J4"/>
  <c r="L4"/>
  <c r="N4"/>
  <c r="P4"/>
  <c r="T4"/>
  <c r="V4"/>
  <c r="X4"/>
  <c r="F5"/>
  <c r="H5"/>
  <c r="J5"/>
  <c r="L5"/>
  <c r="N5"/>
  <c r="P5"/>
  <c r="T5"/>
  <c r="V5"/>
  <c r="X5"/>
  <c r="F6"/>
  <c r="H6"/>
  <c r="J6"/>
  <c r="L6"/>
  <c r="N6"/>
  <c r="P6"/>
  <c r="T6"/>
  <c r="V6"/>
  <c r="X6"/>
  <c r="R3"/>
  <c r="Z3"/>
  <c r="R4"/>
  <c r="Z4"/>
  <c r="R5"/>
  <c r="Z5"/>
  <c r="R6"/>
  <c r="Z6"/>
  <c r="G3"/>
  <c r="K3"/>
  <c r="O3"/>
  <c r="S3"/>
  <c r="W3"/>
  <c r="G4"/>
  <c r="K4"/>
  <c r="O4"/>
  <c r="S4"/>
  <c r="W4"/>
  <c r="G5"/>
  <c r="K5"/>
  <c r="O5"/>
  <c r="S5"/>
  <c r="W5"/>
  <c r="G6"/>
  <c r="K6"/>
  <c r="O6"/>
  <c r="S6"/>
  <c r="W6"/>
  <c r="K2"/>
  <c r="S2"/>
  <c r="Q2"/>
  <c r="O2"/>
  <c r="M2"/>
  <c r="T2"/>
  <c r="P2"/>
  <c r="N2"/>
  <c r="L2"/>
  <c r="Z2"/>
  <c r="Y2"/>
  <c r="A2"/>
  <c r="F2"/>
  <c r="H2"/>
  <c r="J2"/>
  <c r="U2"/>
  <c r="X2"/>
  <c r="G2"/>
  <c r="I2"/>
  <c r="V2"/>
  <c r="W2"/>
</calcChain>
</file>

<file path=xl/connections.xml><?xml version="1.0" encoding="utf-8"?>
<connections xmlns="http://schemas.openxmlformats.org/spreadsheetml/2006/main">
  <connection id="1" name="set" type="4" refreshedVersion="0" background="1">
    <webPr xml="1" sourceData="1" url="C:\Users\Daryl\Desktop\Consolidated\61747121-05d1-4216-8c22-06dcc958e7a3\set.xml" htmlTables="1" htmlFormat="all"/>
  </connection>
</connections>
</file>

<file path=xl/sharedStrings.xml><?xml version="1.0" encoding="utf-8"?>
<sst xmlns="http://schemas.openxmlformats.org/spreadsheetml/2006/main" count="1053" uniqueCount="117">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</sst>
</file>

<file path=xl/styles.xml><?xml version="1.0" encoding="utf-8"?>
<styleSheet xmlns="http://schemas.openxmlformats.org/spreadsheetml/2006/main">
  <fonts count="12">
    <font>
      <sz val="11"/>
      <color theme="1"/>
      <name val="Calibri"/>
      <family val="2"/>
      <scheme val="minor"/>
    </font>
    <font>
      <sz val="11"/>
      <color rgb="FF000000"/>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2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2" fillId="0" borderId="0" xfId="0" applyFont="1"/>
    <xf numFmtId="0" fontId="3" fillId="0" borderId="0" xfId="0" applyFont="1"/>
    <xf numFmtId="0" fontId="3" fillId="0" borderId="0" xfId="0" applyFont="1" applyAlignment="1">
      <alignment wrapText="1"/>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xf numFmtId="0" fontId="5" fillId="2" borderId="0" xfId="0" applyFont="1" applyFill="1" applyAlignment="1">
      <alignment wrapText="1"/>
    </xf>
    <xf numFmtId="0" fontId="6" fillId="0" borderId="0" xfId="0" applyFont="1"/>
    <xf numFmtId="0" fontId="7" fillId="0" borderId="0" xfId="0" applyFont="1"/>
    <xf numFmtId="0" fontId="7" fillId="0" borderId="0" xfId="0" applyFont="1" applyAlignment="1">
      <alignment wrapText="1"/>
    </xf>
    <xf numFmtId="0" fontId="8" fillId="0" borderId="0" xfId="0" applyFont="1"/>
    <xf numFmtId="0" fontId="5" fillId="2" borderId="0" xfId="0" applyFont="1" applyFill="1" applyAlignment="1">
      <alignment textRotation="180"/>
    </xf>
    <xf numFmtId="0" fontId="9" fillId="0" borderId="0" xfId="0" applyFont="1" applyBorder="1"/>
    <xf numFmtId="0" fontId="10" fillId="0" borderId="0" xfId="0" applyFont="1"/>
    <xf numFmtId="49" fontId="9" fillId="0" borderId="0" xfId="0" applyNumberFormat="1" applyFont="1" applyBorder="1"/>
    <xf numFmtId="0" fontId="0" fillId="0" borderId="0" xfId="0" applyFont="1"/>
    <xf numFmtId="0" fontId="0" fillId="0" borderId="0" xfId="0" quotePrefix="1"/>
    <xf numFmtId="0" fontId="11" fillId="2" borderId="0" xfId="0" applyFont="1" applyFill="1"/>
  </cellXfs>
  <cellStyles count="1">
    <cellStyle name="Normal" xfId="0" builtinId="0"/>
  </cellStyles>
  <dxfs count="4">
    <dxf>
      <numFmt numFmtId="0" formatCode="General"/>
    </dxf>
    <dxf>
      <numFmt numFmtId="0" formatCode="General"/>
    </dxf>
    <dxf>
      <numFmt numFmtId="0" formatCode="General"/>
    </dxf>
    <dxf>
      <numFmt numFmtId="0" formatCode="General"/>
    </dxf>
  </dxfs>
  <tableStyles count="0" defaultTableStyle="TableStyleMedium9" defaultPivotStyle="PivotStyleLight16"/>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ryl" refreshedDate="41829.340802430554" missingItemsLimit="0" createdVersion="3" refreshedVersion="3"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Unique"/>
    <s v="‰"/>
    <x v="0"/>
    <m/>
    <m/>
    <m/>
    <s v="51223bd0-ffd1-11df-a976-0801200c9001Type"/>
    <s v="Hero"/>
    <s v="51223bd0-ffd1-11df-a976-0801200c9001"/>
    <s v=""/>
  </r>
  <r>
    <x v="0"/>
    <x v="0"/>
    <s v="a21af4e8-be4b-4cda-a6b6-534f9717391f"/>
    <s v="2.3.6.0"/>
    <x v="0"/>
    <x v="0"/>
    <x v="0"/>
    <s v="Type"/>
    <s v="Hero"/>
    <x v="0"/>
    <m/>
    <m/>
    <m/>
    <s v="51223bd0-ffd1-11df-a976-0801200c9001Sphere"/>
    <s v="Leadership"/>
    <s v="51223bd0-ffd1-11df-a976-0801200c9001"/>
    <s v=""/>
  </r>
  <r>
    <x v="0"/>
    <x v="0"/>
    <s v="a21af4e8-be4b-4cda-a6b6-534f9717391f"/>
    <s v="2.3.6.0"/>
    <x v="0"/>
    <x v="0"/>
    <x v="0"/>
    <s v="Sphere"/>
    <s v="Leadership"/>
    <x v="0"/>
    <m/>
    <m/>
    <m/>
    <s v="51223bd0-ffd1-11df-a976-0801200c9001Cost"/>
    <s v="12"/>
    <s v="51223bd0-ffd1-11df-a976-0801200c9001"/>
    <s v=""/>
  </r>
  <r>
    <x v="0"/>
    <x v="0"/>
    <s v="a21af4e8-be4b-4cda-a6b6-534f9717391f"/>
    <s v="2.3.6.0"/>
    <x v="0"/>
    <x v="0"/>
    <x v="0"/>
    <s v="Traits"/>
    <s v="Dunedain. Noble. Ranger."/>
    <x v="0"/>
    <m/>
    <m/>
    <m/>
    <s v="51223bd0-ffd1-11df-a976-0801200c9001Engagement Cost"/>
    <s v=""/>
    <s v="51223bd0-ffd1-11df-a976-0801200c9001"/>
    <s v=""/>
  </r>
  <r>
    <x v="0"/>
    <x v="0"/>
    <s v="a21af4e8-be4b-4cda-a6b6-534f9717391f"/>
    <s v="2.3.6.0"/>
    <x v="0"/>
    <x v="0"/>
    <x v="0"/>
    <s v="Keywords"/>
    <s v="Sentinel."/>
    <x v="0"/>
    <m/>
    <m/>
    <m/>
    <s v="51223bd0-ffd1-11df-a976-0801200c9001Unique"/>
    <s v="‰"/>
    <s v="51223bd0-ffd1-11df-a976-0801200c9001"/>
    <s v=""/>
  </r>
  <r>
    <x v="0"/>
    <x v="0"/>
    <s v="a21af4e8-be4b-4cda-a6b6-534f9717391f"/>
    <s v="2.3.6.0"/>
    <x v="0"/>
    <x v="0"/>
    <x v="0"/>
    <s v="Cost"/>
    <s v="12"/>
    <x v="0"/>
    <m/>
    <m/>
    <m/>
    <s v="51223bd0-ffd1-11df-a976-0801200c9001Setup"/>
    <s v=""/>
    <s v="51223bd0-ffd1-11df-a976-0801200c9001"/>
    <s v=""/>
  </r>
  <r>
    <x v="0"/>
    <x v="0"/>
    <s v="a21af4e8-be4b-4cda-a6b6-534f9717391f"/>
    <s v="2.3.6.0"/>
    <x v="0"/>
    <x v="0"/>
    <x v="0"/>
    <s v="Willpower"/>
    <s v="2"/>
    <x v="0"/>
    <m/>
    <m/>
    <m/>
    <s v="51223bd0-ffd1-11df-a976-0801200c9001Attack"/>
    <s v="3"/>
    <s v="51223bd0-ffd1-11df-a976-0801200c9001"/>
    <s v=""/>
  </r>
  <r>
    <x v="0"/>
    <x v="0"/>
    <s v="a21af4e8-be4b-4cda-a6b6-534f9717391f"/>
    <s v="2.3.6.0"/>
    <x v="0"/>
    <x v="0"/>
    <x v="0"/>
    <s v="Attack"/>
    <s v="3"/>
    <x v="0"/>
    <m/>
    <m/>
    <m/>
    <s v="51223bd0-ffd1-11df-a976-0801200c9001Defense"/>
    <s v="2"/>
    <s v="51223bd0-ffd1-11df-a976-0801200c9001"/>
    <s v=""/>
  </r>
  <r>
    <x v="0"/>
    <x v="0"/>
    <s v="a21af4e8-be4b-4cda-a6b6-534f9717391f"/>
    <s v="2.3.6.0"/>
    <x v="0"/>
    <x v="0"/>
    <x v="0"/>
    <s v="Defense"/>
    <s v="2"/>
    <x v="0"/>
    <m/>
    <m/>
    <m/>
    <s v="51223bd0-ffd1-11df-a976-0801200c9001Willpower"/>
    <s v="2"/>
    <s v="51223bd0-ffd1-11df-a976-0801200c9001"/>
    <s v=""/>
  </r>
  <r>
    <x v="0"/>
    <x v="0"/>
    <s v="a21af4e8-be4b-4cda-a6b6-534f9717391f"/>
    <s v="2.3.6.0"/>
    <x v="0"/>
    <x v="0"/>
    <x v="0"/>
    <s v="Health"/>
    <s v="5"/>
    <x v="0"/>
    <m/>
    <m/>
    <m/>
    <s v="51223bd0-ffd1-11df-a976-0801200c9001Health"/>
    <s v="5"/>
    <s v="51223bd0-ffd1-11df-a976-0801200c9001"/>
    <s v=""/>
  </r>
  <r>
    <x v="0"/>
    <x v="0"/>
    <s v="a21af4e8-be4b-4cda-a6b6-534f9717391f"/>
    <s v="2.3.6.0"/>
    <x v="0"/>
    <x v="0"/>
    <x v="0"/>
    <s v="Quantity"/>
    <s v="1"/>
    <x v="0"/>
    <m/>
    <m/>
    <m/>
    <s v="51223bd0-ffd1-11df-a976-0801200c9001Traits"/>
    <s v="Dunedain. Noble. Ranger."/>
    <s v="51223bd0-ffd1-11df-a976-0801200c9001"/>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51223bd0-ffd1-11df-a976-0801200c9001Text"/>
    <s v="Response: After Aragorn commits to a quest, spend 1 resource from his resource pool to ready him."/>
    <s v="51223bd0-ffd1-11df-a976-0801200c9001"/>
    <s v=""/>
  </r>
  <r>
    <x v="0"/>
    <x v="0"/>
    <s v="a21af4e8-be4b-4cda-a6b6-534f9717391f"/>
    <s v="2.3.6.0"/>
    <x v="0"/>
    <x v="1"/>
    <x v="1"/>
    <s v="Type"/>
    <s v="Attachment"/>
    <x v="0"/>
    <m/>
    <m/>
    <m/>
    <s v="51223bd0-ffd1-11df-a976-0801200c9001Shadow"/>
    <s v=""/>
    <s v="51223bd0-ffd1-11df-a976-0801200c9001"/>
    <s v=""/>
  </r>
  <r>
    <x v="0"/>
    <x v="0"/>
    <s v="a21af4e8-be4b-4cda-a6b6-534f9717391f"/>
    <s v="2.3.6.0"/>
    <x v="0"/>
    <x v="1"/>
    <x v="1"/>
    <s v="Sphere"/>
    <s v="Lore"/>
    <x v="0"/>
    <m/>
    <m/>
    <m/>
    <s v="51223bd0-ffd1-11df-a976-0801200c9001Keywords"/>
    <s v="Sentinel."/>
    <s v="51223bd0-ffd1-11df-a976-0801200c9001"/>
    <s v=""/>
  </r>
  <r>
    <x v="0"/>
    <x v="0"/>
    <s v="a21af4e8-be4b-4cda-a6b6-534f9717391f"/>
    <s v="2.3.6.0"/>
    <x v="0"/>
    <x v="1"/>
    <x v="1"/>
    <s v="Traits"/>
    <s v="Title."/>
    <x v="0"/>
    <m/>
    <m/>
    <m/>
    <s v="51223bd0-ffd1-11df-a976-0801200c9001Threat"/>
    <s v=""/>
    <s v="51223bd0-ffd1-11df-a976-0801200c9001"/>
    <s v=""/>
  </r>
  <r>
    <x v="0"/>
    <x v="0"/>
    <s v="a21af4e8-be4b-4cda-a6b6-534f9717391f"/>
    <s v="2.3.6.0"/>
    <x v="0"/>
    <x v="1"/>
    <x v="1"/>
    <s v="Keywords"/>
    <s v="Attach to a hero."/>
    <x v="0"/>
    <m/>
    <m/>
    <m/>
    <s v="51223bd0-ffd1-11df-a976-0801200c9001Quest Points"/>
    <s v=""/>
    <s v="51223bd0-ffd1-11df-a976-0801200c9001"/>
    <s v=""/>
  </r>
  <r>
    <x v="0"/>
    <x v="0"/>
    <s v="a21af4e8-be4b-4cda-a6b6-534f9717391f"/>
    <s v="2.3.6.0"/>
    <x v="0"/>
    <x v="1"/>
    <x v="1"/>
    <s v="Cost"/>
    <s v="1"/>
    <x v="0"/>
    <m/>
    <m/>
    <m/>
    <s v="51223bd0-ffd1-11df-a976-0801200c9001Encounter Set"/>
    <s v=""/>
    <s v="51223bd0-ffd1-11df-a976-0801200c9001"/>
    <s v=""/>
  </r>
  <r>
    <x v="0"/>
    <x v="0"/>
    <s v="a21af4e8-be4b-4cda-a6b6-534f9717391f"/>
    <s v="2.3.6.0"/>
    <x v="0"/>
    <x v="1"/>
    <x v="1"/>
    <s v="Quantity"/>
    <s v="2"/>
    <x v="0"/>
    <m/>
    <m/>
    <m/>
    <s v="51223bd0-ffd1-11df-a976-0801200c9001Quantity"/>
    <s v="1"/>
    <s v="51223bd0-ffd1-11df-a976-0801200c9001"/>
    <s v=""/>
  </r>
  <r>
    <x v="0"/>
    <x v="0"/>
    <s v="a21af4e8-be4b-4cda-a6b6-534f9717391f"/>
    <s v="2.3.6.0"/>
    <x v="0"/>
    <x v="1"/>
    <x v="1"/>
    <s v="Text"/>
    <s v="Action: Discard a card from your hand to give attached hero +1 Ú or +1 Ò until the end of the phase. Limit 3 times per phase."/>
    <x v="0"/>
    <m/>
    <m/>
    <m/>
    <s v="51223bd0-ffd1-11df-a976-0801200c9001Victory Points"/>
    <s v=""/>
    <s v="51223bd0-ffd1-11df-a976-0801200c9001"/>
    <s v=""/>
  </r>
  <r>
    <x v="0"/>
    <x v="0"/>
    <s v="a21af4e8-be4b-4cda-a6b6-534f9717391f"/>
    <s v="2.3.6.0"/>
    <x v="0"/>
    <x v="2"/>
    <x v="2"/>
    <s v="Type"/>
    <s v="Enemy"/>
    <x v="0"/>
    <m/>
    <m/>
    <m/>
    <s v="51223bd0-ffd1-11df-a976-0801200c9002Type"/>
    <s v="Hero"/>
    <s v="51223bd0-ffd1-11df-a976-0801200c9002"/>
    <s v=""/>
  </r>
  <r>
    <x v="0"/>
    <x v="0"/>
    <s v="a21af4e8-be4b-4cda-a6b6-534f9717391f"/>
    <s v="2.3.6.0"/>
    <x v="0"/>
    <x v="2"/>
    <x v="2"/>
    <s v="Traits"/>
    <s v="Creature. Spider."/>
    <x v="0"/>
    <m/>
    <m/>
    <m/>
    <s v="51223bd0-ffd1-11df-a976-0801200c9002Sphere"/>
    <s v="Leadership"/>
    <s v="51223bd0-ffd1-11df-a976-0801200c9002"/>
    <s v=""/>
  </r>
  <r>
    <x v="0"/>
    <x v="0"/>
    <s v="a21af4e8-be4b-4cda-a6b6-534f9717391f"/>
    <s v="2.3.6.0"/>
    <x v="0"/>
    <x v="2"/>
    <x v="2"/>
    <s v="Engagement Cost"/>
    <s v="32"/>
    <x v="0"/>
    <m/>
    <m/>
    <m/>
    <s v="51223bd0-ffd1-11df-a976-0801200c9002Cost"/>
    <s v="8"/>
    <s v="51223bd0-ffd1-11df-a976-0801200c9002"/>
    <s v=""/>
  </r>
  <r>
    <x v="0"/>
    <x v="0"/>
    <s v="a21af4e8-be4b-4cda-a6b6-534f9717391f"/>
    <s v="2.3.6.0"/>
    <x v="0"/>
    <x v="2"/>
    <x v="2"/>
    <s v="Threat"/>
    <s v="3"/>
    <x v="0"/>
    <m/>
    <m/>
    <m/>
    <s v="51223bd0-ffd1-11df-a976-0801200c9002Engagement Cost"/>
    <s v=""/>
    <s v="51223bd0-ffd1-11df-a976-0801200c9002"/>
    <s v=""/>
  </r>
  <r>
    <x v="0"/>
    <x v="0"/>
    <s v="a21af4e8-be4b-4cda-a6b6-534f9717391f"/>
    <s v="2.3.6.0"/>
    <x v="0"/>
    <x v="2"/>
    <x v="2"/>
    <s v="Attack"/>
    <s v="5"/>
    <x v="0"/>
    <m/>
    <m/>
    <m/>
    <s v="51223bd0-ffd1-11df-a976-0801200c9002Unique"/>
    <s v="‰"/>
    <s v="51223bd0-ffd1-11df-a976-0801200c9002"/>
    <s v=""/>
  </r>
  <r>
    <x v="0"/>
    <x v="0"/>
    <s v="a21af4e8-be4b-4cda-a6b6-534f9717391f"/>
    <s v="2.3.6.0"/>
    <x v="0"/>
    <x v="2"/>
    <x v="2"/>
    <s v="Defense"/>
    <s v="2"/>
    <x v="0"/>
    <m/>
    <m/>
    <m/>
    <s v="51223bd0-ffd1-11df-a976-0801200c9002Setup"/>
    <s v=""/>
    <s v="51223bd0-ffd1-11df-a976-0801200c9002"/>
    <s v=""/>
  </r>
  <r>
    <x v="0"/>
    <x v="0"/>
    <s v="a21af4e8-be4b-4cda-a6b6-534f9717391f"/>
    <s v="2.3.6.0"/>
    <x v="0"/>
    <x v="2"/>
    <x v="2"/>
    <s v="Health"/>
    <s v="9"/>
    <x v="0"/>
    <m/>
    <m/>
    <m/>
    <s v="51223bd0-ffd1-11df-a976-0801200c9002Attack"/>
    <s v="2"/>
    <s v="51223bd0-ffd1-11df-a976-0801200c9002"/>
    <s v=""/>
  </r>
  <r>
    <x v="0"/>
    <x v="0"/>
    <s v="a21af4e8-be4b-4cda-a6b6-534f9717391f"/>
    <s v="2.3.6.0"/>
    <x v="0"/>
    <x v="2"/>
    <x v="2"/>
    <s v="Quantity"/>
    <s v="1"/>
    <x v="0"/>
    <m/>
    <m/>
    <m/>
    <s v="51223bd0-ffd1-11df-a976-0801200c9002Defense"/>
    <s v="1"/>
    <s v="51223bd0-ffd1-11df-a976-0801200c9002"/>
    <s v=""/>
  </r>
  <r>
    <x v="0"/>
    <x v="0"/>
    <s v="a21af4e8-be4b-4cda-a6b6-534f9717391f"/>
    <s v="2.3.6.0"/>
    <x v="0"/>
    <x v="2"/>
    <x v="2"/>
    <s v="Text"/>
    <s v="When Revealed: Each character currently committed to a quest gets -1 Ò until the end of the phase."/>
    <x v="0"/>
    <m/>
    <m/>
    <m/>
    <s v="51223bd0-ffd1-11df-a976-0801200c9002Willpower"/>
    <s v="1"/>
    <s v="51223bd0-ffd1-11df-a976-0801200c9002"/>
    <s v=""/>
  </r>
  <r>
    <x v="0"/>
    <x v="0"/>
    <s v="a21af4e8-be4b-4cda-a6b6-534f9717391f"/>
    <s v="2.3.6.0"/>
    <x v="0"/>
    <x v="2"/>
    <x v="2"/>
    <s v="Shadow"/>
    <s v="Shadow: Raise defending player's threat by 4. (Raise defending player's threat by 8 instead if this attack is undefended.)"/>
    <x v="0"/>
    <m/>
    <m/>
    <m/>
    <s v="51223bd0-ffd1-11df-a976-0801200c9002Health"/>
    <s v="4"/>
    <s v="51223bd0-ffd1-11df-a976-0801200c9002"/>
    <s v=""/>
  </r>
  <r>
    <x v="0"/>
    <x v="0"/>
    <s v="a21af4e8-be4b-4cda-a6b6-534f9717391f"/>
    <s v="2.3.6.0"/>
    <x v="0"/>
    <x v="2"/>
    <x v="2"/>
    <s v="Encounter Set"/>
    <s v="Spiders of Mirkwood"/>
    <x v="0"/>
    <m/>
    <m/>
    <m/>
    <s v="51223bd0-ffd1-11df-a976-0801200c9002Traits"/>
    <s v="Noble. Rohan. Warrior."/>
    <s v="51223bd0-ffd1-11df-a976-0801200c9002"/>
    <s v=""/>
  </r>
  <r>
    <x v="0"/>
    <x v="0"/>
    <s v="a21af4e8-be4b-4cda-a6b6-534f9717391f"/>
    <s v="2.3.6.0"/>
    <x v="0"/>
    <x v="3"/>
    <x v="3"/>
    <s v="Type"/>
    <s v="Location"/>
    <x v="0"/>
    <m/>
    <m/>
    <m/>
    <s v="51223bd0-ffd1-11df-a976-0801200c9002Text"/>
    <s v="Response: After Theodred commits to a quest, choose a hero committed to that quest. Add 1 resource to that hero's resource pool."/>
    <s v="51223bd0-ffd1-11df-a976-0801200c9002"/>
    <s v=""/>
  </r>
  <r>
    <x v="0"/>
    <x v="0"/>
    <s v="a21af4e8-be4b-4cda-a6b6-534f9717391f"/>
    <s v="2.3.6.0"/>
    <x v="0"/>
    <x v="3"/>
    <x v="3"/>
    <s v="Traits"/>
    <s v="Forest."/>
    <x v="0"/>
    <m/>
    <m/>
    <m/>
    <s v="51223bd0-ffd1-11df-a976-0801200c9002Shadow"/>
    <s v=""/>
    <s v="51223bd0-ffd1-11df-a976-0801200c9002"/>
    <s v=""/>
  </r>
  <r>
    <x v="0"/>
    <x v="0"/>
    <s v="a21af4e8-be4b-4cda-a6b6-534f9717391f"/>
    <s v="2.3.6.0"/>
    <x v="0"/>
    <x v="3"/>
    <x v="3"/>
    <s v="Threat"/>
    <s v="2"/>
    <x v="0"/>
    <m/>
    <m/>
    <m/>
    <s v="51223bd0-ffd1-11df-a976-0801200c9002Keywords"/>
    <s v=""/>
    <s v="51223bd0-ffd1-11df-a976-0801200c9002"/>
    <s v=""/>
  </r>
  <r>
    <x v="0"/>
    <x v="0"/>
    <s v="a21af4e8-be4b-4cda-a6b6-534f9717391f"/>
    <s v="2.3.6.0"/>
    <x v="0"/>
    <x v="3"/>
    <x v="3"/>
    <s v="Quest Points"/>
    <s v="2"/>
    <x v="0"/>
    <m/>
    <m/>
    <m/>
    <s v="51223bd0-ffd1-11df-a976-0801200c9002Threat"/>
    <s v=""/>
    <s v="51223bd0-ffd1-11df-a976-0801200c9002"/>
    <s v=""/>
  </r>
  <r>
    <x v="0"/>
    <x v="0"/>
    <s v="a21af4e8-be4b-4cda-a6b6-534f9717391f"/>
    <s v="2.3.6.0"/>
    <x v="0"/>
    <x v="3"/>
    <x v="3"/>
    <s v="Quantity"/>
    <s v="2"/>
    <x v="0"/>
    <m/>
    <m/>
    <m/>
    <s v="51223bd0-ffd1-11df-a976-0801200c9002Quest Points"/>
    <s v=""/>
    <s v="51223bd0-ffd1-11df-a976-0801200c9002"/>
    <s v=""/>
  </r>
  <r>
    <x v="0"/>
    <x v="0"/>
    <s v="a21af4e8-be4b-4cda-a6b6-534f9717391f"/>
    <s v="2.3.6.0"/>
    <x v="0"/>
    <x v="3"/>
    <x v="3"/>
    <s v="Text"/>
    <s v="Travel: Each player must exhaust 1 hero he controls to travel here."/>
    <x v="0"/>
    <m/>
    <m/>
    <m/>
    <s v="51223bd0-ffd1-11df-a976-0801200c9002Encounter Set"/>
    <s v=""/>
    <s v="51223bd0-ffd1-11df-a976-0801200c9002"/>
    <s v=""/>
  </r>
  <r>
    <x v="0"/>
    <x v="0"/>
    <s v="a21af4e8-be4b-4cda-a6b6-534f9717391f"/>
    <s v="2.3.6.0"/>
    <x v="0"/>
    <x v="3"/>
    <x v="3"/>
    <s v="Encounter Set"/>
    <s v="Spiders of Mirkwood"/>
    <x v="0"/>
    <m/>
    <m/>
    <m/>
    <s v="51223bd0-ffd1-11df-a976-0801200c9002Quantity"/>
    <s v="1"/>
    <s v="51223bd0-ffd1-11df-a976-0801200c9002"/>
    <s v=""/>
  </r>
  <r>
    <x v="0"/>
    <x v="0"/>
    <s v="a21af4e8-be4b-4cda-a6b6-534f9717391f"/>
    <s v="2.3.6.0"/>
    <x v="0"/>
    <x v="4"/>
    <x v="4"/>
    <s v="Type"/>
    <s v="Quest"/>
    <x v="0"/>
    <m/>
    <m/>
    <m/>
    <s v="51223bd0-ffd1-11df-a976-0801200c9002Victory Points"/>
    <s v=""/>
    <s v="51223bd0-ffd1-11df-a976-0801200c9002"/>
    <s v=""/>
  </r>
  <r>
    <x v="0"/>
    <x v="0"/>
    <s v="a21af4e8-be4b-4cda-a6b6-534f9717391f"/>
    <s v="2.3.6.0"/>
    <x v="0"/>
    <x v="4"/>
    <x v="4"/>
    <s v="Quantity"/>
    <s v="1"/>
    <x v="0"/>
    <m/>
    <m/>
    <m/>
    <s v="51223bd0-ffd1-11df-a976-0801200c9003Type"/>
    <s v="Hero"/>
    <s v="51223bd0-ffd1-11df-a976-0801200c9003"/>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51223bd0-ffd1-11df-a976-0801200c9003Sphere"/>
    <s v="Leadership"/>
    <s v="51223bd0-ffd1-11df-a976-0801200c9003"/>
    <s v=""/>
  </r>
  <r>
    <x v="0"/>
    <x v="0"/>
    <s v="a21af4e8-be4b-4cda-a6b6-534f9717391f"/>
    <s v="2.3.6.0"/>
    <x v="0"/>
    <x v="4"/>
    <x v="4"/>
    <s v="Encounter Set"/>
    <s v="Escape from Dol Guldur"/>
    <x v="0"/>
    <m/>
    <m/>
    <m/>
    <s v="51223bd0-ffd1-11df-a976-0801200c9003Cost"/>
    <s v="9"/>
    <s v="51223bd0-ffd1-11df-a976-0801200c9003"/>
    <s v=""/>
  </r>
  <r>
    <x v="0"/>
    <x v="0"/>
    <s v="a21af4e8-be4b-4cda-a6b6-534f9717391f"/>
    <s v="2.3.6.0"/>
    <x v="0"/>
    <x v="4"/>
    <x v="4"/>
    <s v="Setup"/>
    <s v="ssst"/>
    <x v="0"/>
    <m/>
    <m/>
    <m/>
    <s v="51223bd0-ffd1-11df-a976-0801200c9003Engagement Cost"/>
    <s v=""/>
    <s v="51223bd0-ffd1-11df-a976-0801200c9003"/>
    <s v=""/>
  </r>
  <r>
    <x v="0"/>
    <x v="0"/>
    <s v="a21af4e8-be4b-4cda-a6b6-534f9717391f"/>
    <s v="2.3.6.0"/>
    <x v="0"/>
    <x v="4"/>
    <x v="4"/>
    <m/>
    <m/>
    <x v="1"/>
    <s v="B"/>
    <s v="Type"/>
    <s v="Quest"/>
    <s v="51223bd0-ffd1-11df-a976-0801200c9003Unique"/>
    <s v="‰"/>
    <s v="51223bd0-ffd1-11df-a976-0801200c9003"/>
    <s v=""/>
  </r>
  <r>
    <x v="0"/>
    <x v="0"/>
    <s v="a21af4e8-be4b-4cda-a6b6-534f9717391f"/>
    <s v="2.3.6.0"/>
    <x v="0"/>
    <x v="4"/>
    <x v="4"/>
    <m/>
    <m/>
    <x v="1"/>
    <s v="B"/>
    <s v="Quest Points"/>
    <s v="9"/>
    <s v="51223bd0-ffd1-11df-a976-0801200c9003Setup"/>
    <s v=""/>
    <s v="51223bd0-ffd1-11df-a976-0801200c9003"/>
    <s v=""/>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51223bd0-ffd1-11df-a976-0801200c9003Attack"/>
    <s v="2"/>
    <s v="51223bd0-ffd1-11df-a976-0801200c9003"/>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Quantity"/>
    <s v="1"/>
    <x v="0"/>
    <m/>
    <m/>
    <m/>
    <s v="cd20023c-210a-498f-9183-65c461183c4cQuantity"/>
    <s v="1"/>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Quantity"/>
    <s v="2"/>
    <x v="0"/>
    <m/>
    <m/>
    <m/>
    <s v="ec979e5e-270f-41dd-9ea4-de77431a423aQuantity"/>
    <s v="2"/>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Quantity"/>
    <s v="1"/>
    <x v="0"/>
    <m/>
    <m/>
    <m/>
    <s v="13c9bc79-dee5-47a6-8649-ddff6a753bf6Quantity"/>
    <s v="1"/>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Quantity"/>
    <s v="2"/>
    <x v="0"/>
    <m/>
    <m/>
    <m/>
    <s v="bff0cd7a-8fe5-4d18-91e9-d3dbf885b01cQuantity"/>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4"/>
    <x v="4"/>
    <s v="Type"/>
    <s v="Quest"/>
    <x v="0"/>
    <m/>
    <m/>
    <m/>
    <s v="86a8cb61-a4d2-40f7-82a7-adfe5a835acdType"/>
    <s v="Quest"/>
    <s v="86a8cb61-a4d2-40f7-82a7-adfe5a835acd"/>
    <s v=""/>
  </r>
  <r>
    <x v="0"/>
    <x v="0"/>
    <s v="a21af4e8-be4b-4cda-a6b6-534f9717391f"/>
    <s v="2.3.6.0"/>
    <x v="0"/>
    <x v="4"/>
    <x v="4"/>
    <s v="Quantity"/>
    <s v="1"/>
    <x v="0"/>
    <m/>
    <m/>
    <m/>
    <s v="86a8cb61-a4d2-40f7-82a7-adfe5a835acdQuantity"/>
    <s v="1"/>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6" cacheId="68"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5" cacheId="68"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filterColumn colId="13"/>
    <filterColumn colId="14"/>
    <filterColumn colId="15"/>
    <filterColumn colId="16"/>
  </autoFilter>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
      <calculatedColumnFormula>Table1[[#This Row],[id2]]&amp;Table1[[#This Row],[name4]]</calculatedColumnFormula>
    </tableColumn>
    <tableColumn id="15" uniqueName="15" name="value9" dataDxfId="2">
      <calculatedColumnFormula>IF(Table1[[#This Row],[value]]="","",Table1[[#This Row],[value]])</calculatedColumnFormula>
    </tableColumn>
    <tableColumn id="16" uniqueName="16" name="value10" dataDxfId="1">
      <calculatedColumnFormula>Table1[[#This Row],[id2]]&amp;Table1[[#This Row],[name6]]</calculatedColumnFormula>
    </tableColumn>
    <tableColumn id="17" uniqueName="17" name="value11" dataDxfId="0">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Q91"/>
  <sheetViews>
    <sheetView topLeftCell="G1" workbookViewId="0">
      <selection activeCell="G2" sqref="G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52.14062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116</v>
      </c>
      <c r="B2" s="1" t="s">
        <v>80</v>
      </c>
      <c r="C2" s="1" t="s">
        <v>13</v>
      </c>
      <c r="D2" s="1" t="s">
        <v>56</v>
      </c>
      <c r="E2" s="1" t="s">
        <v>79</v>
      </c>
      <c r="F2" s="1" t="s">
        <v>81</v>
      </c>
      <c r="G2" s="1" t="s">
        <v>86</v>
      </c>
      <c r="H2" s="1" t="s">
        <v>18</v>
      </c>
      <c r="I2" s="1" t="s">
        <v>35</v>
      </c>
      <c r="J2" s="1"/>
      <c r="K2" s="1"/>
      <c r="L2" s="1"/>
      <c r="M2" s="1"/>
      <c r="N2" s="4" t="str">
        <f>Table1[[#This Row],[id2]]&amp;Table1[[#This Row],[name4]]</f>
        <v>cd20023c-210a-498f-9183-65c461183c4cUnique</v>
      </c>
      <c r="O2" s="4" t="str">
        <f>IF(Table1[[#This Row],[value]]="","",Table1[[#This Row],[value]])</f>
        <v>‰</v>
      </c>
      <c r="P2" s="4" t="str">
        <f>Table1[[#This Row],[id2]]&amp;Table1[[#This Row],[name6]]</f>
        <v>cd20023c-210a-498f-9183-65c461183c4c</v>
      </c>
      <c r="Q2" s="4" t="str">
        <f>IF(Table1[[#This Row],[value7]]="","",Table1[[#This Row],[value7]])</f>
        <v/>
      </c>
    </row>
    <row r="3" spans="1:17">
      <c r="A3" s="1" t="s">
        <v>116</v>
      </c>
      <c r="B3" s="1" t="s">
        <v>80</v>
      </c>
      <c r="C3" s="1" t="s">
        <v>13</v>
      </c>
      <c r="D3" s="1" t="s">
        <v>56</v>
      </c>
      <c r="E3" s="1" t="s">
        <v>79</v>
      </c>
      <c r="F3" s="1" t="s">
        <v>81</v>
      </c>
      <c r="G3" s="1" t="s">
        <v>86</v>
      </c>
      <c r="H3" s="1" t="s">
        <v>14</v>
      </c>
      <c r="I3" s="1" t="s">
        <v>33</v>
      </c>
      <c r="J3" s="1"/>
      <c r="K3" s="1"/>
      <c r="L3" s="1"/>
      <c r="M3" s="1"/>
      <c r="N3" s="4" t="str">
        <f>Table1[[#This Row],[id2]]&amp;Table1[[#This Row],[name4]]</f>
        <v>cd20023c-210a-498f-9183-65c461183c4cType</v>
      </c>
      <c r="O3" s="4" t="str">
        <f>IF(Table1[[#This Row],[value]]="","",Table1[[#This Row],[value]])</f>
        <v>Hero</v>
      </c>
      <c r="P3" s="4" t="str">
        <f>Table1[[#This Row],[id2]]&amp;Table1[[#This Row],[name6]]</f>
        <v>cd20023c-210a-498f-9183-65c461183c4c</v>
      </c>
      <c r="Q3" s="4" t="str">
        <f>IF(Table1[[#This Row],[value7]]="","",Table1[[#This Row],[value7]])</f>
        <v/>
      </c>
    </row>
    <row r="4" spans="1:17">
      <c r="A4" s="1" t="s">
        <v>116</v>
      </c>
      <c r="B4" s="1" t="s">
        <v>80</v>
      </c>
      <c r="C4" s="1" t="s">
        <v>13</v>
      </c>
      <c r="D4" s="1" t="s">
        <v>56</v>
      </c>
      <c r="E4" s="1" t="s">
        <v>79</v>
      </c>
      <c r="F4" s="1" t="s">
        <v>81</v>
      </c>
      <c r="G4" s="1" t="s">
        <v>86</v>
      </c>
      <c r="H4" s="1" t="s">
        <v>15</v>
      </c>
      <c r="I4" s="1" t="s">
        <v>34</v>
      </c>
      <c r="J4" s="1"/>
      <c r="K4" s="1"/>
      <c r="L4" s="1"/>
      <c r="M4" s="1"/>
      <c r="N4" s="4" t="str">
        <f>Table1[[#This Row],[id2]]&amp;Table1[[#This Row],[name4]]</f>
        <v>cd20023c-210a-498f-9183-65c461183c4cSphere</v>
      </c>
      <c r="O4" s="4" t="str">
        <f>IF(Table1[[#This Row],[value]]="","",Table1[[#This Row],[value]])</f>
        <v>Leadership</v>
      </c>
      <c r="P4" s="4" t="str">
        <f>Table1[[#This Row],[id2]]&amp;Table1[[#This Row],[name6]]</f>
        <v>cd20023c-210a-498f-9183-65c461183c4c</v>
      </c>
      <c r="Q4" s="4" t="str">
        <f>IF(Table1[[#This Row],[value7]]="","",Table1[[#This Row],[value7]])</f>
        <v/>
      </c>
    </row>
    <row r="5" spans="1:17">
      <c r="A5" s="1" t="s">
        <v>116</v>
      </c>
      <c r="B5" s="1" t="s">
        <v>80</v>
      </c>
      <c r="C5" s="1" t="s">
        <v>13</v>
      </c>
      <c r="D5" s="1" t="s">
        <v>56</v>
      </c>
      <c r="E5" s="1" t="s">
        <v>79</v>
      </c>
      <c r="F5" s="1" t="s">
        <v>81</v>
      </c>
      <c r="G5" s="1" t="s">
        <v>86</v>
      </c>
      <c r="H5" s="1" t="s">
        <v>24</v>
      </c>
      <c r="I5" s="1" t="s">
        <v>91</v>
      </c>
      <c r="J5" s="1"/>
      <c r="K5" s="1"/>
      <c r="L5" s="1"/>
      <c r="M5" s="1"/>
      <c r="N5" s="4" t="str">
        <f>Table1[[#This Row],[id2]]&amp;Table1[[#This Row],[name4]]</f>
        <v>cd20023c-210a-498f-9183-65c461183c4cTraits</v>
      </c>
      <c r="O5" s="4" t="str">
        <f>IF(Table1[[#This Row],[value]]="","",Table1[[#This Row],[value]])</f>
        <v>Dunedain. Noble. Ranger.</v>
      </c>
      <c r="P5" s="4" t="str">
        <f>Table1[[#This Row],[id2]]&amp;Table1[[#This Row],[name6]]</f>
        <v>cd20023c-210a-498f-9183-65c461183c4c</v>
      </c>
      <c r="Q5" s="4" t="str">
        <f>IF(Table1[[#This Row],[value7]]="","",Table1[[#This Row],[value7]])</f>
        <v/>
      </c>
    </row>
    <row r="6" spans="1:17">
      <c r="A6" s="1" t="s">
        <v>116</v>
      </c>
      <c r="B6" s="1" t="s">
        <v>80</v>
      </c>
      <c r="C6" s="1" t="s">
        <v>13</v>
      </c>
      <c r="D6" s="1" t="s">
        <v>56</v>
      </c>
      <c r="E6" s="1" t="s">
        <v>79</v>
      </c>
      <c r="F6" s="1" t="s">
        <v>81</v>
      </c>
      <c r="G6" s="1" t="s">
        <v>86</v>
      </c>
      <c r="H6" s="1" t="s">
        <v>27</v>
      </c>
      <c r="I6" s="1" t="s">
        <v>92</v>
      </c>
      <c r="J6" s="1"/>
      <c r="K6" s="1"/>
      <c r="L6" s="1"/>
      <c r="M6" s="1"/>
      <c r="N6" s="4" t="str">
        <f>Table1[[#This Row],[id2]]&amp;Table1[[#This Row],[name4]]</f>
        <v>cd20023c-210a-498f-9183-65c461183c4cKeywords</v>
      </c>
      <c r="O6" s="4" t="str">
        <f>IF(Table1[[#This Row],[value]]="","",Table1[[#This Row],[value]])</f>
        <v>Sentinel.</v>
      </c>
      <c r="P6" s="4" t="str">
        <f>Table1[[#This Row],[id2]]&amp;Table1[[#This Row],[name6]]</f>
        <v>cd20023c-210a-498f-9183-65c461183c4c</v>
      </c>
      <c r="Q6" s="4" t="str">
        <f>IF(Table1[[#This Row],[value7]]="","",Table1[[#This Row],[value7]])</f>
        <v/>
      </c>
    </row>
    <row r="7" spans="1:17">
      <c r="A7" s="1" t="s">
        <v>116</v>
      </c>
      <c r="B7" s="1" t="s">
        <v>80</v>
      </c>
      <c r="C7" s="1" t="s">
        <v>13</v>
      </c>
      <c r="D7" s="1" t="s">
        <v>56</v>
      </c>
      <c r="E7" s="1" t="s">
        <v>79</v>
      </c>
      <c r="F7" s="1" t="s">
        <v>81</v>
      </c>
      <c r="G7" s="1" t="s">
        <v>86</v>
      </c>
      <c r="H7" s="1" t="s">
        <v>16</v>
      </c>
      <c r="I7" s="1" t="s">
        <v>93</v>
      </c>
      <c r="J7" s="1"/>
      <c r="K7" s="1"/>
      <c r="L7" s="1"/>
      <c r="M7" s="1"/>
      <c r="N7" s="4" t="str">
        <f>Table1[[#This Row],[id2]]&amp;Table1[[#This Row],[name4]]</f>
        <v>cd20023c-210a-498f-9183-65c461183c4cCost</v>
      </c>
      <c r="O7" s="4" t="str">
        <f>IF(Table1[[#This Row],[value]]="","",Table1[[#This Row],[value]])</f>
        <v>12</v>
      </c>
      <c r="P7" s="4" t="str">
        <f>Table1[[#This Row],[id2]]&amp;Table1[[#This Row],[name6]]</f>
        <v>cd20023c-210a-498f-9183-65c461183c4c</v>
      </c>
      <c r="Q7" s="4" t="str">
        <f>IF(Table1[[#This Row],[value7]]="","",Table1[[#This Row],[value7]])</f>
        <v/>
      </c>
    </row>
    <row r="8" spans="1:17">
      <c r="A8" s="1" t="s">
        <v>116</v>
      </c>
      <c r="B8" s="1" t="s">
        <v>80</v>
      </c>
      <c r="C8" s="1" t="s">
        <v>13</v>
      </c>
      <c r="D8" s="1" t="s">
        <v>56</v>
      </c>
      <c r="E8" s="1" t="s">
        <v>79</v>
      </c>
      <c r="F8" s="1" t="s">
        <v>81</v>
      </c>
      <c r="G8" s="1" t="s">
        <v>86</v>
      </c>
      <c r="H8" s="1" t="s">
        <v>22</v>
      </c>
      <c r="I8" s="1" t="s">
        <v>37</v>
      </c>
      <c r="J8" s="1"/>
      <c r="K8" s="1"/>
      <c r="L8" s="1"/>
      <c r="M8" s="1"/>
      <c r="N8" s="4" t="str">
        <f>Table1[[#This Row],[id2]]&amp;Table1[[#This Row],[name4]]</f>
        <v>cd20023c-210a-498f-9183-65c461183c4cWillpower</v>
      </c>
      <c r="O8" s="4" t="str">
        <f>IF(Table1[[#This Row],[value]]="","",Table1[[#This Row],[value]])</f>
        <v>2</v>
      </c>
      <c r="P8" s="4" t="str">
        <f>Table1[[#This Row],[id2]]&amp;Table1[[#This Row],[name6]]</f>
        <v>cd20023c-210a-498f-9183-65c461183c4c</v>
      </c>
      <c r="Q8" s="4" t="str">
        <f>IF(Table1[[#This Row],[value7]]="","",Table1[[#This Row],[value7]])</f>
        <v/>
      </c>
    </row>
    <row r="9" spans="1:17">
      <c r="A9" s="1" t="s">
        <v>116</v>
      </c>
      <c r="B9" s="1" t="s">
        <v>80</v>
      </c>
      <c r="C9" s="1" t="s">
        <v>13</v>
      </c>
      <c r="D9" s="1" t="s">
        <v>56</v>
      </c>
      <c r="E9" s="1" t="s">
        <v>79</v>
      </c>
      <c r="F9" s="1" t="s">
        <v>81</v>
      </c>
      <c r="G9" s="1" t="s">
        <v>86</v>
      </c>
      <c r="H9" s="1" t="s">
        <v>20</v>
      </c>
      <c r="I9" s="1" t="s">
        <v>36</v>
      </c>
      <c r="J9" s="1"/>
      <c r="K9" s="1"/>
      <c r="L9" s="1"/>
      <c r="M9" s="1"/>
      <c r="N9" s="4" t="str">
        <f>Table1[[#This Row],[id2]]&amp;Table1[[#This Row],[name4]]</f>
        <v>cd20023c-210a-498f-9183-65c461183c4cAttack</v>
      </c>
      <c r="O9" s="4" t="str">
        <f>IF(Table1[[#This Row],[value]]="","",Table1[[#This Row],[value]])</f>
        <v>3</v>
      </c>
      <c r="P9" s="4" t="str">
        <f>Table1[[#This Row],[id2]]&amp;Table1[[#This Row],[name6]]</f>
        <v>cd20023c-210a-498f-9183-65c461183c4c</v>
      </c>
      <c r="Q9" s="4" t="str">
        <f>IF(Table1[[#This Row],[value7]]="","",Table1[[#This Row],[value7]])</f>
        <v/>
      </c>
    </row>
    <row r="10" spans="1:17">
      <c r="A10" s="1" t="s">
        <v>116</v>
      </c>
      <c r="B10" s="1" t="s">
        <v>80</v>
      </c>
      <c r="C10" s="1" t="s">
        <v>13</v>
      </c>
      <c r="D10" s="1" t="s">
        <v>56</v>
      </c>
      <c r="E10" s="1" t="s">
        <v>79</v>
      </c>
      <c r="F10" s="1" t="s">
        <v>81</v>
      </c>
      <c r="G10" s="1" t="s">
        <v>86</v>
      </c>
      <c r="H10" s="1" t="s">
        <v>21</v>
      </c>
      <c r="I10" s="1" t="s">
        <v>37</v>
      </c>
      <c r="J10" s="1"/>
      <c r="K10" s="1"/>
      <c r="L10" s="1"/>
      <c r="M10" s="1"/>
      <c r="N10" s="4" t="str">
        <f>Table1[[#This Row],[id2]]&amp;Table1[[#This Row],[name4]]</f>
        <v>cd20023c-210a-498f-9183-65c461183c4cDefense</v>
      </c>
      <c r="O10" s="4" t="str">
        <f>IF(Table1[[#This Row],[value]]="","",Table1[[#This Row],[value]])</f>
        <v>2</v>
      </c>
      <c r="P10" s="4" t="str">
        <f>Table1[[#This Row],[id2]]&amp;Table1[[#This Row],[name6]]</f>
        <v>cd20023c-210a-498f-9183-65c461183c4c</v>
      </c>
      <c r="Q10" s="4" t="str">
        <f>IF(Table1[[#This Row],[value7]]="","",Table1[[#This Row],[value7]])</f>
        <v/>
      </c>
    </row>
    <row r="11" spans="1:17">
      <c r="A11" s="1" t="s">
        <v>116</v>
      </c>
      <c r="B11" s="1" t="s">
        <v>80</v>
      </c>
      <c r="C11" s="1" t="s">
        <v>13</v>
      </c>
      <c r="D11" s="1" t="s">
        <v>56</v>
      </c>
      <c r="E11" s="1" t="s">
        <v>79</v>
      </c>
      <c r="F11" s="1" t="s">
        <v>81</v>
      </c>
      <c r="G11" s="1" t="s">
        <v>86</v>
      </c>
      <c r="H11" s="1" t="s">
        <v>23</v>
      </c>
      <c r="I11" s="1" t="s">
        <v>40</v>
      </c>
      <c r="J11" s="1"/>
      <c r="K11" s="1"/>
      <c r="L11" s="1"/>
      <c r="M11" s="1"/>
      <c r="N11" s="4" t="str">
        <f>Table1[[#This Row],[id2]]&amp;Table1[[#This Row],[name4]]</f>
        <v>cd20023c-210a-498f-9183-65c461183c4cHealth</v>
      </c>
      <c r="O11" s="4" t="str">
        <f>IF(Table1[[#This Row],[value]]="","",Table1[[#This Row],[value]])</f>
        <v>5</v>
      </c>
      <c r="P11" s="4" t="str">
        <f>Table1[[#This Row],[id2]]&amp;Table1[[#This Row],[name6]]</f>
        <v>cd20023c-210a-498f-9183-65c461183c4c</v>
      </c>
      <c r="Q11" s="4" t="str">
        <f>IF(Table1[[#This Row],[value7]]="","",Table1[[#This Row],[value7]])</f>
        <v/>
      </c>
    </row>
    <row r="12" spans="1:17">
      <c r="A12" s="1" t="s">
        <v>116</v>
      </c>
      <c r="B12" s="1" t="s">
        <v>80</v>
      </c>
      <c r="C12" s="1" t="s">
        <v>13</v>
      </c>
      <c r="D12" s="1" t="s">
        <v>56</v>
      </c>
      <c r="E12" s="1" t="s">
        <v>79</v>
      </c>
      <c r="F12" s="1" t="s">
        <v>81</v>
      </c>
      <c r="G12" s="1" t="s">
        <v>86</v>
      </c>
      <c r="H12" s="1" t="s">
        <v>31</v>
      </c>
      <c r="I12" s="1" t="s">
        <v>38</v>
      </c>
      <c r="J12" s="1"/>
      <c r="K12" s="1"/>
      <c r="L12" s="1"/>
      <c r="M12" s="1"/>
      <c r="N12" s="4" t="str">
        <f>Table1[[#This Row],[id2]]&amp;Table1[[#This Row],[name4]]</f>
        <v>cd20023c-210a-498f-9183-65c461183c4cQuantity</v>
      </c>
      <c r="O12" s="4" t="str">
        <f>IF(Table1[[#This Row],[value]]="","",Table1[[#This Row],[value]])</f>
        <v>1</v>
      </c>
      <c r="P12" s="4" t="str">
        <f>Table1[[#This Row],[id2]]&amp;Table1[[#This Row],[name6]]</f>
        <v>cd20023c-210a-498f-9183-65c461183c4c</v>
      </c>
      <c r="Q12" s="4" t="str">
        <f>IF(Table1[[#This Row],[value7]]="","",Table1[[#This Row],[value7]])</f>
        <v/>
      </c>
    </row>
    <row r="13" spans="1:17">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c r="A14" s="1" t="s">
        <v>116</v>
      </c>
      <c r="B14" s="1" t="s">
        <v>80</v>
      </c>
      <c r="C14" s="1" t="s">
        <v>13</v>
      </c>
      <c r="D14" s="1" t="s">
        <v>56</v>
      </c>
      <c r="E14" s="1" t="s">
        <v>79</v>
      </c>
      <c r="F14" s="1" t="s">
        <v>82</v>
      </c>
      <c r="G14" s="1" t="s">
        <v>87</v>
      </c>
      <c r="H14" s="1" t="s">
        <v>14</v>
      </c>
      <c r="I14" s="2" t="s">
        <v>41</v>
      </c>
      <c r="J14" s="1"/>
      <c r="K14" s="1"/>
      <c r="L14" s="1"/>
      <c r="M14" s="1"/>
      <c r="N14" s="4" t="str">
        <f>Table1[[#This Row],[id2]]&amp;Table1[[#This Row],[name4]]</f>
        <v>ec979e5e-270f-41dd-9ea4-de77431a423aType</v>
      </c>
      <c r="O14" s="4" t="str">
        <f>IF(Table1[[#This Row],[value]]="","",Table1[[#This Row],[value]])</f>
        <v>Attachment</v>
      </c>
      <c r="P14" s="4" t="str">
        <f>Table1[[#This Row],[id2]]&amp;Table1[[#This Row],[name6]]</f>
        <v>ec979e5e-270f-41dd-9ea4-de77431a423a</v>
      </c>
      <c r="Q14" s="4" t="str">
        <f>IF(Table1[[#This Row],[value7]]="","",Table1[[#This Row],[value7]])</f>
        <v/>
      </c>
    </row>
    <row r="15" spans="1:17">
      <c r="A15" s="1" t="s">
        <v>116</v>
      </c>
      <c r="B15" s="1" t="s">
        <v>80</v>
      </c>
      <c r="C15" s="1" t="s">
        <v>13</v>
      </c>
      <c r="D15" s="1" t="s">
        <v>56</v>
      </c>
      <c r="E15" s="1" t="s">
        <v>79</v>
      </c>
      <c r="F15" s="1" t="s">
        <v>82</v>
      </c>
      <c r="G15" s="1" t="s">
        <v>87</v>
      </c>
      <c r="H15" s="1" t="s">
        <v>15</v>
      </c>
      <c r="I15" s="2" t="s">
        <v>39</v>
      </c>
      <c r="J15" s="1"/>
      <c r="K15" s="1"/>
      <c r="L15" s="1"/>
      <c r="M15" s="1"/>
      <c r="N15" s="4" t="str">
        <f>Table1[[#This Row],[id2]]&amp;Table1[[#This Row],[name4]]</f>
        <v>ec979e5e-270f-41dd-9ea4-de77431a423aSphere</v>
      </c>
      <c r="O15" s="4" t="str">
        <f>IF(Table1[[#This Row],[value]]="","",Table1[[#This Row],[value]])</f>
        <v>Lore</v>
      </c>
      <c r="P15" s="4" t="str">
        <f>Table1[[#This Row],[id2]]&amp;Table1[[#This Row],[name6]]</f>
        <v>ec979e5e-270f-41dd-9ea4-de77431a423a</v>
      </c>
      <c r="Q15" s="4" t="str">
        <f>IF(Table1[[#This Row],[value7]]="","",Table1[[#This Row],[value7]])</f>
        <v/>
      </c>
    </row>
    <row r="16" spans="1:17">
      <c r="A16" s="1" t="s">
        <v>116</v>
      </c>
      <c r="B16" s="1" t="s">
        <v>80</v>
      </c>
      <c r="C16" s="1" t="s">
        <v>13</v>
      </c>
      <c r="D16" s="1" t="s">
        <v>56</v>
      </c>
      <c r="E16" s="1" t="s">
        <v>79</v>
      </c>
      <c r="F16" s="1" t="s">
        <v>82</v>
      </c>
      <c r="G16" s="1" t="s">
        <v>87</v>
      </c>
      <c r="H16" s="1" t="s">
        <v>24</v>
      </c>
      <c r="I16" s="1" t="s">
        <v>95</v>
      </c>
      <c r="J16" s="1"/>
      <c r="K16" s="1"/>
      <c r="L16" s="1"/>
      <c r="M16" s="1"/>
      <c r="N16" s="4" t="str">
        <f>Table1[[#This Row],[id2]]&amp;Table1[[#This Row],[name4]]</f>
        <v>ec979e5e-270f-41dd-9ea4-de77431a423aTraits</v>
      </c>
      <c r="O16" s="4" t="str">
        <f>IF(Table1[[#This Row],[value]]="","",Table1[[#This Row],[value]])</f>
        <v>Title.</v>
      </c>
      <c r="P16" s="4" t="str">
        <f>Table1[[#This Row],[id2]]&amp;Table1[[#This Row],[name6]]</f>
        <v>ec979e5e-270f-41dd-9ea4-de77431a423a</v>
      </c>
      <c r="Q16" s="4" t="str">
        <f>IF(Table1[[#This Row],[value7]]="","",Table1[[#This Row],[value7]])</f>
        <v/>
      </c>
    </row>
    <row r="17" spans="1:17">
      <c r="A17" s="1" t="s">
        <v>116</v>
      </c>
      <c r="B17" s="1" t="s">
        <v>80</v>
      </c>
      <c r="C17" s="1" t="s">
        <v>13</v>
      </c>
      <c r="D17" s="1" t="s">
        <v>56</v>
      </c>
      <c r="E17" s="1" t="s">
        <v>79</v>
      </c>
      <c r="F17" s="1" t="s">
        <v>82</v>
      </c>
      <c r="G17" s="1" t="s">
        <v>87</v>
      </c>
      <c r="H17" s="1" t="s">
        <v>27</v>
      </c>
      <c r="I17" s="1" t="s">
        <v>96</v>
      </c>
      <c r="J17" s="1"/>
      <c r="K17" s="1"/>
      <c r="L17" s="1"/>
      <c r="M17" s="1"/>
      <c r="N17" s="4" t="str">
        <f>Table1[[#This Row],[id2]]&amp;Table1[[#This Row],[name4]]</f>
        <v>ec979e5e-270f-41dd-9ea4-de77431a423aKeywords</v>
      </c>
      <c r="O17" s="4" t="str">
        <f>IF(Table1[[#This Row],[value]]="","",Table1[[#This Row],[value]])</f>
        <v>Attach to a hero.</v>
      </c>
      <c r="P17" s="4" t="str">
        <f>Table1[[#This Row],[id2]]&amp;Table1[[#This Row],[name6]]</f>
        <v>ec979e5e-270f-41dd-9ea4-de77431a423a</v>
      </c>
      <c r="Q17" s="4" t="str">
        <f>IF(Table1[[#This Row],[value7]]="","",Table1[[#This Row],[value7]])</f>
        <v/>
      </c>
    </row>
    <row r="18" spans="1:17">
      <c r="A18" s="1" t="s">
        <v>116</v>
      </c>
      <c r="B18" s="1" t="s">
        <v>80</v>
      </c>
      <c r="C18" s="1" t="s">
        <v>13</v>
      </c>
      <c r="D18" s="1" t="s">
        <v>56</v>
      </c>
      <c r="E18" s="1" t="s">
        <v>79</v>
      </c>
      <c r="F18" s="1" t="s">
        <v>82</v>
      </c>
      <c r="G18" s="1" t="s">
        <v>87</v>
      </c>
      <c r="H18" s="1" t="s">
        <v>16</v>
      </c>
      <c r="I18" s="1" t="s">
        <v>38</v>
      </c>
      <c r="J18" s="1"/>
      <c r="K18" s="1"/>
      <c r="L18" s="1"/>
      <c r="M18" s="1"/>
      <c r="N18" s="4" t="str">
        <f>Table1[[#This Row],[id2]]&amp;Table1[[#This Row],[name4]]</f>
        <v>ec979e5e-270f-41dd-9ea4-de77431a423aCost</v>
      </c>
      <c r="O18" s="4" t="str">
        <f>IF(Table1[[#This Row],[value]]="","",Table1[[#This Row],[value]])</f>
        <v>1</v>
      </c>
      <c r="P18" s="4" t="str">
        <f>Table1[[#This Row],[id2]]&amp;Table1[[#This Row],[name6]]</f>
        <v>ec979e5e-270f-41dd-9ea4-de77431a423a</v>
      </c>
      <c r="Q18" s="4" t="str">
        <f>IF(Table1[[#This Row],[value7]]="","",Table1[[#This Row],[value7]])</f>
        <v/>
      </c>
    </row>
    <row r="19" spans="1:17">
      <c r="A19" s="1" t="s">
        <v>116</v>
      </c>
      <c r="B19" s="1" t="s">
        <v>80</v>
      </c>
      <c r="C19" s="1" t="s">
        <v>13</v>
      </c>
      <c r="D19" s="1" t="s">
        <v>56</v>
      </c>
      <c r="E19" s="1" t="s">
        <v>79</v>
      </c>
      <c r="F19" s="1" t="s">
        <v>82</v>
      </c>
      <c r="G19" s="1" t="s">
        <v>87</v>
      </c>
      <c r="H19" s="1" t="s">
        <v>31</v>
      </c>
      <c r="I19" s="1" t="s">
        <v>37</v>
      </c>
      <c r="J19" s="1"/>
      <c r="K19" s="1"/>
      <c r="L19" s="1"/>
      <c r="M19" s="1"/>
      <c r="N19" s="4" t="str">
        <f>Table1[[#This Row],[id2]]&amp;Table1[[#This Row],[name4]]</f>
        <v>ec979e5e-270f-41dd-9ea4-de77431a423aQuantity</v>
      </c>
      <c r="O19" s="4" t="str">
        <f>IF(Table1[[#This Row],[value]]="","",Table1[[#This Row],[value]])</f>
        <v>2</v>
      </c>
      <c r="P19" s="4" t="str">
        <f>Table1[[#This Row],[id2]]&amp;Table1[[#This Row],[name6]]</f>
        <v>ec979e5e-270f-41dd-9ea4-de77431a423a</v>
      </c>
      <c r="Q19" s="4" t="str">
        <f>IF(Table1[[#This Row],[value7]]="","",Table1[[#This Row],[value7]])</f>
        <v/>
      </c>
    </row>
    <row r="20" spans="1:17">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c r="A21" s="1" t="s">
        <v>116</v>
      </c>
      <c r="B21" s="1" t="s">
        <v>80</v>
      </c>
      <c r="C21" s="1" t="s">
        <v>13</v>
      </c>
      <c r="D21" s="1" t="s">
        <v>56</v>
      </c>
      <c r="E21" s="1" t="s">
        <v>79</v>
      </c>
      <c r="F21" s="1" t="s">
        <v>83</v>
      </c>
      <c r="G21" s="1" t="s">
        <v>88</v>
      </c>
      <c r="H21" s="1" t="s">
        <v>14</v>
      </c>
      <c r="I21" s="1" t="s">
        <v>42</v>
      </c>
      <c r="J21" s="1"/>
      <c r="K21" s="1"/>
      <c r="L21" s="1"/>
      <c r="M21" s="1"/>
      <c r="N21" s="4" t="str">
        <f>Table1[[#This Row],[id2]]&amp;Table1[[#This Row],[name4]]</f>
        <v>13c9bc79-dee5-47a6-8649-ddff6a753bf6Type</v>
      </c>
      <c r="O21" s="4" t="str">
        <f>IF(Table1[[#This Row],[value]]="","",Table1[[#This Row],[value]])</f>
        <v>Enemy</v>
      </c>
      <c r="P21" s="4" t="str">
        <f>Table1[[#This Row],[id2]]&amp;Table1[[#This Row],[name6]]</f>
        <v>13c9bc79-dee5-47a6-8649-ddff6a753bf6</v>
      </c>
      <c r="Q21" s="4" t="str">
        <f>IF(Table1[[#This Row],[value7]]="","",Table1[[#This Row],[value7]])</f>
        <v/>
      </c>
    </row>
    <row r="22" spans="1:17">
      <c r="A22" s="1" t="s">
        <v>116</v>
      </c>
      <c r="B22" s="1" t="s">
        <v>80</v>
      </c>
      <c r="C22" s="1" t="s">
        <v>13</v>
      </c>
      <c r="D22" s="1" t="s">
        <v>56</v>
      </c>
      <c r="E22" s="1" t="s">
        <v>79</v>
      </c>
      <c r="F22" s="1" t="s">
        <v>83</v>
      </c>
      <c r="G22" s="1" t="s">
        <v>88</v>
      </c>
      <c r="H22" s="1" t="s">
        <v>24</v>
      </c>
      <c r="I22" s="1" t="s">
        <v>98</v>
      </c>
      <c r="J22" s="1"/>
      <c r="K22" s="1"/>
      <c r="L22" s="1"/>
      <c r="M22" s="1"/>
      <c r="N22" s="4" t="str">
        <f>Table1[[#This Row],[id2]]&amp;Table1[[#This Row],[name4]]</f>
        <v>13c9bc79-dee5-47a6-8649-ddff6a753bf6Traits</v>
      </c>
      <c r="O22" s="4" t="str">
        <f>IF(Table1[[#This Row],[value]]="","",Table1[[#This Row],[value]])</f>
        <v>Creature. Spider.</v>
      </c>
      <c r="P22" s="4" t="str">
        <f>Table1[[#This Row],[id2]]&amp;Table1[[#This Row],[name6]]</f>
        <v>13c9bc79-dee5-47a6-8649-ddff6a753bf6</v>
      </c>
      <c r="Q22" s="4" t="str">
        <f>IF(Table1[[#This Row],[value7]]="","",Table1[[#This Row],[value7]])</f>
        <v/>
      </c>
    </row>
    <row r="23" spans="1:17">
      <c r="A23" s="1" t="s">
        <v>116</v>
      </c>
      <c r="B23" s="1" t="s">
        <v>80</v>
      </c>
      <c r="C23" s="1" t="s">
        <v>13</v>
      </c>
      <c r="D23" s="1" t="s">
        <v>56</v>
      </c>
      <c r="E23" s="1" t="s">
        <v>79</v>
      </c>
      <c r="F23" s="1" t="s">
        <v>83</v>
      </c>
      <c r="G23" s="1" t="s">
        <v>88</v>
      </c>
      <c r="H23" s="1" t="s">
        <v>17</v>
      </c>
      <c r="I23" s="1" t="s">
        <v>99</v>
      </c>
      <c r="J23" s="1"/>
      <c r="K23" s="1"/>
      <c r="L23" s="1"/>
      <c r="M23" s="1"/>
      <c r="N23" s="4" t="str">
        <f>Table1[[#This Row],[id2]]&amp;Table1[[#This Row],[name4]]</f>
        <v>13c9bc79-dee5-47a6-8649-ddff6a753bf6Engagement Cost</v>
      </c>
      <c r="O23" s="4" t="str">
        <f>IF(Table1[[#This Row],[value]]="","",Table1[[#This Row],[value]])</f>
        <v>32</v>
      </c>
      <c r="P23" s="4" t="str">
        <f>Table1[[#This Row],[id2]]&amp;Table1[[#This Row],[name6]]</f>
        <v>13c9bc79-dee5-47a6-8649-ddff6a753bf6</v>
      </c>
      <c r="Q23" s="4" t="str">
        <f>IF(Table1[[#This Row],[value7]]="","",Table1[[#This Row],[value7]])</f>
        <v/>
      </c>
    </row>
    <row r="24" spans="1:17">
      <c r="A24" s="1" t="s">
        <v>116</v>
      </c>
      <c r="B24" s="1" t="s">
        <v>80</v>
      </c>
      <c r="C24" s="1" t="s">
        <v>13</v>
      </c>
      <c r="D24" s="1" t="s">
        <v>56</v>
      </c>
      <c r="E24" s="1" t="s">
        <v>79</v>
      </c>
      <c r="F24" s="1" t="s">
        <v>83</v>
      </c>
      <c r="G24" s="1" t="s">
        <v>88</v>
      </c>
      <c r="H24" s="1" t="s">
        <v>28</v>
      </c>
      <c r="I24" s="1" t="s">
        <v>36</v>
      </c>
      <c r="J24" s="1"/>
      <c r="K24" s="1"/>
      <c r="L24" s="1"/>
      <c r="M24" s="1"/>
      <c r="N24" s="4" t="str">
        <f>Table1[[#This Row],[id2]]&amp;Table1[[#This Row],[name4]]</f>
        <v>13c9bc79-dee5-47a6-8649-ddff6a753bf6Threat</v>
      </c>
      <c r="O24" s="4" t="str">
        <f>IF(Table1[[#This Row],[value]]="","",Table1[[#This Row],[value]])</f>
        <v>3</v>
      </c>
      <c r="P24" s="4" t="str">
        <f>Table1[[#This Row],[id2]]&amp;Table1[[#This Row],[name6]]</f>
        <v>13c9bc79-dee5-47a6-8649-ddff6a753bf6</v>
      </c>
      <c r="Q24" s="4" t="str">
        <f>IF(Table1[[#This Row],[value7]]="","",Table1[[#This Row],[value7]])</f>
        <v/>
      </c>
    </row>
    <row r="25" spans="1:17">
      <c r="A25" s="1" t="s">
        <v>116</v>
      </c>
      <c r="B25" s="1" t="s">
        <v>80</v>
      </c>
      <c r="C25" s="1" t="s">
        <v>13</v>
      </c>
      <c r="D25" s="1" t="s">
        <v>56</v>
      </c>
      <c r="E25" s="1" t="s">
        <v>79</v>
      </c>
      <c r="F25" s="1" t="s">
        <v>83</v>
      </c>
      <c r="G25" s="1" t="s">
        <v>88</v>
      </c>
      <c r="H25" s="1" t="s">
        <v>20</v>
      </c>
      <c r="I25" s="1" t="s">
        <v>40</v>
      </c>
      <c r="J25" s="1"/>
      <c r="K25" s="1"/>
      <c r="L25" s="1"/>
      <c r="M25" s="1"/>
      <c r="N25" s="4" t="str">
        <f>Table1[[#This Row],[id2]]&amp;Table1[[#This Row],[name4]]</f>
        <v>13c9bc79-dee5-47a6-8649-ddff6a753bf6Attack</v>
      </c>
      <c r="O25" s="4" t="str">
        <f>IF(Table1[[#This Row],[value]]="","",Table1[[#This Row],[value]])</f>
        <v>5</v>
      </c>
      <c r="P25" s="4" t="str">
        <f>Table1[[#This Row],[id2]]&amp;Table1[[#This Row],[name6]]</f>
        <v>13c9bc79-dee5-47a6-8649-ddff6a753bf6</v>
      </c>
      <c r="Q25" s="4" t="str">
        <f>IF(Table1[[#This Row],[value7]]="","",Table1[[#This Row],[value7]])</f>
        <v/>
      </c>
    </row>
    <row r="26" spans="1:17">
      <c r="A26" s="1" t="s">
        <v>116</v>
      </c>
      <c r="B26" s="1" t="s">
        <v>80</v>
      </c>
      <c r="C26" s="1" t="s">
        <v>13</v>
      </c>
      <c r="D26" s="1" t="s">
        <v>56</v>
      </c>
      <c r="E26" s="1" t="s">
        <v>79</v>
      </c>
      <c r="F26" s="1" t="s">
        <v>83</v>
      </c>
      <c r="G26" s="1" t="s">
        <v>88</v>
      </c>
      <c r="H26" s="1" t="s">
        <v>21</v>
      </c>
      <c r="I26" s="1" t="s">
        <v>37</v>
      </c>
      <c r="J26" s="1"/>
      <c r="K26" s="1"/>
      <c r="L26" s="1"/>
      <c r="M26" s="1"/>
      <c r="N26" s="4" t="str">
        <f>Table1[[#This Row],[id2]]&amp;Table1[[#This Row],[name4]]</f>
        <v>13c9bc79-dee5-47a6-8649-ddff6a753bf6Defense</v>
      </c>
      <c r="O26" s="4" t="str">
        <f>IF(Table1[[#This Row],[value]]="","",Table1[[#This Row],[value]])</f>
        <v>2</v>
      </c>
      <c r="P26" s="4" t="str">
        <f>Table1[[#This Row],[id2]]&amp;Table1[[#This Row],[name6]]</f>
        <v>13c9bc79-dee5-47a6-8649-ddff6a753bf6</v>
      </c>
      <c r="Q26" s="4" t="str">
        <f>IF(Table1[[#This Row],[value7]]="","",Table1[[#This Row],[value7]])</f>
        <v/>
      </c>
    </row>
    <row r="27" spans="1:17">
      <c r="A27" s="1" t="s">
        <v>116</v>
      </c>
      <c r="B27" s="1" t="s">
        <v>80</v>
      </c>
      <c r="C27" s="1" t="s">
        <v>13</v>
      </c>
      <c r="D27" s="1" t="s">
        <v>56</v>
      </c>
      <c r="E27" s="1" t="s">
        <v>79</v>
      </c>
      <c r="F27" s="1" t="s">
        <v>83</v>
      </c>
      <c r="G27" s="1" t="s">
        <v>88</v>
      </c>
      <c r="H27" s="1" t="s">
        <v>23</v>
      </c>
      <c r="I27" s="1" t="s">
        <v>100</v>
      </c>
      <c r="J27" s="1"/>
      <c r="K27" s="1"/>
      <c r="L27" s="1"/>
      <c r="M27" s="1"/>
      <c r="N27" s="4" t="str">
        <f>Table1[[#This Row],[id2]]&amp;Table1[[#This Row],[name4]]</f>
        <v>13c9bc79-dee5-47a6-8649-ddff6a753bf6Health</v>
      </c>
      <c r="O27" s="4" t="str">
        <f>IF(Table1[[#This Row],[value]]="","",Table1[[#This Row],[value]])</f>
        <v>9</v>
      </c>
      <c r="P27" s="4" t="str">
        <f>Table1[[#This Row],[id2]]&amp;Table1[[#This Row],[name6]]</f>
        <v>13c9bc79-dee5-47a6-8649-ddff6a753bf6</v>
      </c>
      <c r="Q27" s="4" t="str">
        <f>IF(Table1[[#This Row],[value7]]="","",Table1[[#This Row],[value7]])</f>
        <v/>
      </c>
    </row>
    <row r="28" spans="1:17">
      <c r="A28" s="1" t="s">
        <v>116</v>
      </c>
      <c r="B28" s="1" t="s">
        <v>80</v>
      </c>
      <c r="C28" s="1" t="s">
        <v>13</v>
      </c>
      <c r="D28" s="1" t="s">
        <v>56</v>
      </c>
      <c r="E28" s="1" t="s">
        <v>79</v>
      </c>
      <c r="F28" s="1" t="s">
        <v>83</v>
      </c>
      <c r="G28" s="1" t="s">
        <v>88</v>
      </c>
      <c r="H28" s="1" t="s">
        <v>31</v>
      </c>
      <c r="I28" s="1" t="s">
        <v>38</v>
      </c>
      <c r="J28" s="1"/>
      <c r="K28" s="1"/>
      <c r="L28" s="1"/>
      <c r="M28" s="1"/>
      <c r="N28" s="4" t="str">
        <f>Table1[[#This Row],[id2]]&amp;Table1[[#This Row],[name4]]</f>
        <v>13c9bc79-dee5-47a6-8649-ddff6a753bf6Quantity</v>
      </c>
      <c r="O28" s="4" t="str">
        <f>IF(Table1[[#This Row],[value]]="","",Table1[[#This Row],[value]])</f>
        <v>1</v>
      </c>
      <c r="P28" s="4" t="str">
        <f>Table1[[#This Row],[id2]]&amp;Table1[[#This Row],[name6]]</f>
        <v>13c9bc79-dee5-47a6-8649-ddff6a753bf6</v>
      </c>
      <c r="Q28" s="4" t="str">
        <f>IF(Table1[[#This Row],[value7]]="","",Table1[[#This Row],[value7]])</f>
        <v/>
      </c>
    </row>
    <row r="29" spans="1:17">
      <c r="A29" s="1" t="s">
        <v>116</v>
      </c>
      <c r="B29" s="1" t="s">
        <v>80</v>
      </c>
      <c r="C29" s="1" t="s">
        <v>13</v>
      </c>
      <c r="D29" s="1" t="s">
        <v>56</v>
      </c>
      <c r="E29" s="1" t="s">
        <v>79</v>
      </c>
      <c r="F29" s="1" t="s">
        <v>83</v>
      </c>
      <c r="G29" s="1" t="s">
        <v>88</v>
      </c>
      <c r="H29" s="1" t="s">
        <v>25</v>
      </c>
      <c r="I29" s="1" t="s">
        <v>101</v>
      </c>
      <c r="J29" s="1"/>
      <c r="K29" s="1"/>
      <c r="L29" s="1"/>
      <c r="M29" s="1"/>
      <c r="N29" s="4" t="str">
        <f>Table1[[#This Row],[id2]]&amp;Table1[[#This Row],[name4]]</f>
        <v>13c9bc79-dee5-47a6-8649-ddff6a753bf6Text</v>
      </c>
      <c r="O29" s="4" t="str">
        <f>IF(Table1[[#This Row],[value]]="","",Table1[[#This Row],[value]])</f>
        <v>When Revealed: Each character currently committed to a quest gets -1 Ò until the end of the phase.</v>
      </c>
      <c r="P29" s="4" t="str">
        <f>Table1[[#This Row],[id2]]&amp;Table1[[#This Row],[name6]]</f>
        <v>13c9bc79-dee5-47a6-8649-ddff6a753bf6</v>
      </c>
      <c r="Q29" s="4" t="str">
        <f>IF(Table1[[#This Row],[value7]]="","",Table1[[#This Row],[value7]])</f>
        <v/>
      </c>
    </row>
    <row r="30" spans="1:17">
      <c r="A30" s="1" t="s">
        <v>116</v>
      </c>
      <c r="B30" s="1" t="s">
        <v>80</v>
      </c>
      <c r="C30" s="1" t="s">
        <v>13</v>
      </c>
      <c r="D30" s="1" t="s">
        <v>56</v>
      </c>
      <c r="E30" s="1" t="s">
        <v>79</v>
      </c>
      <c r="F30" s="1" t="s">
        <v>83</v>
      </c>
      <c r="G30" s="1" t="s">
        <v>88</v>
      </c>
      <c r="H30" s="1" t="s">
        <v>26</v>
      </c>
      <c r="I30" s="1" t="s">
        <v>102</v>
      </c>
      <c r="J30" s="1"/>
      <c r="K30" s="1"/>
      <c r="L30" s="1"/>
      <c r="M30" s="1"/>
      <c r="N30" s="4" t="str">
        <f>Table1[[#This Row],[id2]]&amp;Table1[[#This Row],[name4]]</f>
        <v>13c9bc79-dee5-47a6-8649-ddff6a753bf6Shadow</v>
      </c>
      <c r="O30" s="4" t="str">
        <f>IF(Table1[[#This Row],[value]]="","",Table1[[#This Row],[value]])</f>
        <v>Shadow: Raise defending player's threat by 4. (Raise defending player's threat by 8 instead if this attack is undefended.)</v>
      </c>
      <c r="P30" s="4" t="str">
        <f>Table1[[#This Row],[id2]]&amp;Table1[[#This Row],[name6]]</f>
        <v>13c9bc79-dee5-47a6-8649-ddff6a753bf6</v>
      </c>
      <c r="Q30" s="4" t="str">
        <f>IF(Table1[[#This Row],[value7]]="","",Table1[[#This Row],[value7]])</f>
        <v/>
      </c>
    </row>
    <row r="31" spans="1:17">
      <c r="A31" s="1" t="s">
        <v>116</v>
      </c>
      <c r="B31" s="1" t="s">
        <v>80</v>
      </c>
      <c r="C31" s="1" t="s">
        <v>13</v>
      </c>
      <c r="D31" s="1" t="s">
        <v>56</v>
      </c>
      <c r="E31" s="1" t="s">
        <v>79</v>
      </c>
      <c r="F31" s="1" t="s">
        <v>83</v>
      </c>
      <c r="G31" s="1" t="s">
        <v>88</v>
      </c>
      <c r="H31" s="1" t="s">
        <v>30</v>
      </c>
      <c r="I31" s="1" t="s">
        <v>103</v>
      </c>
      <c r="J31" s="1"/>
      <c r="K31" s="1"/>
      <c r="L31" s="1"/>
      <c r="M31" s="1"/>
      <c r="N31" s="4" t="str">
        <f>Table1[[#This Row],[id2]]&amp;Table1[[#This Row],[name4]]</f>
        <v>13c9bc79-dee5-47a6-8649-ddff6a753bf6Encounter Set</v>
      </c>
      <c r="O31" s="4" t="str">
        <f>IF(Table1[[#This Row],[value]]="","",Table1[[#This Row],[value]])</f>
        <v>Spiders of Mirkwood</v>
      </c>
      <c r="P31" s="4" t="str">
        <f>Table1[[#This Row],[id2]]&amp;Table1[[#This Row],[name6]]</f>
        <v>13c9bc79-dee5-47a6-8649-ddff6a753bf6</v>
      </c>
      <c r="Q31" s="4" t="str">
        <f>IF(Table1[[#This Row],[value7]]="","",Table1[[#This Row],[value7]])</f>
        <v/>
      </c>
    </row>
    <row r="32" spans="1:17">
      <c r="A32" s="1" t="s">
        <v>116</v>
      </c>
      <c r="B32" s="1" t="s">
        <v>80</v>
      </c>
      <c r="C32" s="1" t="s">
        <v>13</v>
      </c>
      <c r="D32" s="1" t="s">
        <v>56</v>
      </c>
      <c r="E32" s="1" t="s">
        <v>79</v>
      </c>
      <c r="F32" s="1" t="s">
        <v>84</v>
      </c>
      <c r="G32" s="1" t="s">
        <v>89</v>
      </c>
      <c r="H32" s="1" t="s">
        <v>14</v>
      </c>
      <c r="I32" s="2" t="s">
        <v>43</v>
      </c>
      <c r="J32" s="1"/>
      <c r="K32" s="1"/>
      <c r="L32" s="1"/>
      <c r="M32" s="2"/>
      <c r="N32" s="4" t="str">
        <f>Table1[[#This Row],[id2]]&amp;Table1[[#This Row],[name4]]</f>
        <v>bff0cd7a-8fe5-4d18-91e9-d3dbf885b01cType</v>
      </c>
      <c r="O32" s="4" t="str">
        <f>IF(Table1[[#This Row],[value]]="","",Table1[[#This Row],[value]])</f>
        <v>Location</v>
      </c>
      <c r="P32" s="4" t="str">
        <f>Table1[[#This Row],[id2]]&amp;Table1[[#This Row],[name6]]</f>
        <v>bff0cd7a-8fe5-4d18-91e9-d3dbf885b01c</v>
      </c>
      <c r="Q32" s="4" t="str">
        <f>IF(Table1[[#This Row],[value7]]="","",Table1[[#This Row],[value7]])</f>
        <v/>
      </c>
    </row>
    <row r="33" spans="1:17">
      <c r="A33" s="1" t="s">
        <v>116</v>
      </c>
      <c r="B33" s="1" t="s">
        <v>80</v>
      </c>
      <c r="C33" s="1" t="s">
        <v>13</v>
      </c>
      <c r="D33" s="1" t="s">
        <v>56</v>
      </c>
      <c r="E33" s="1" t="s">
        <v>79</v>
      </c>
      <c r="F33" s="1" t="s">
        <v>84</v>
      </c>
      <c r="G33" s="1" t="s">
        <v>89</v>
      </c>
      <c r="H33" s="1" t="s">
        <v>24</v>
      </c>
      <c r="I33" s="2" t="s">
        <v>104</v>
      </c>
      <c r="J33" s="1"/>
      <c r="K33" s="1"/>
      <c r="L33" s="1"/>
      <c r="M33" s="2"/>
      <c r="N33" s="4" t="str">
        <f>Table1[[#This Row],[id2]]&amp;Table1[[#This Row],[name4]]</f>
        <v>bff0cd7a-8fe5-4d18-91e9-d3dbf885b01cTraits</v>
      </c>
      <c r="O33" s="4" t="str">
        <f>IF(Table1[[#This Row],[value]]="","",Table1[[#This Row],[value]])</f>
        <v>Forest.</v>
      </c>
      <c r="P33" s="4" t="str">
        <f>Table1[[#This Row],[id2]]&amp;Table1[[#This Row],[name6]]</f>
        <v>bff0cd7a-8fe5-4d18-91e9-d3dbf885b01c</v>
      </c>
      <c r="Q33" s="4" t="str">
        <f>IF(Table1[[#This Row],[value7]]="","",Table1[[#This Row],[value7]])</f>
        <v/>
      </c>
    </row>
    <row r="34" spans="1:17">
      <c r="A34" s="1" t="s">
        <v>116</v>
      </c>
      <c r="B34" s="1" t="s">
        <v>80</v>
      </c>
      <c r="C34" s="1" t="s">
        <v>13</v>
      </c>
      <c r="D34" s="1" t="s">
        <v>56</v>
      </c>
      <c r="E34" s="1" t="s">
        <v>79</v>
      </c>
      <c r="F34" s="1" t="s">
        <v>84</v>
      </c>
      <c r="G34" s="1" t="s">
        <v>89</v>
      </c>
      <c r="H34" s="1" t="s">
        <v>28</v>
      </c>
      <c r="I34" s="2" t="s">
        <v>37</v>
      </c>
      <c r="J34" s="1"/>
      <c r="K34" s="1"/>
      <c r="L34" s="1"/>
      <c r="M34" s="2"/>
      <c r="N34" s="4" t="str">
        <f>Table1[[#This Row],[id2]]&amp;Table1[[#This Row],[name4]]</f>
        <v>bff0cd7a-8fe5-4d18-91e9-d3dbf885b01cThreat</v>
      </c>
      <c r="O34" s="4" t="str">
        <f>IF(Table1[[#This Row],[value]]="","",Table1[[#This Row],[value]])</f>
        <v>2</v>
      </c>
      <c r="P34" s="4" t="str">
        <f>Table1[[#This Row],[id2]]&amp;Table1[[#This Row],[name6]]</f>
        <v>bff0cd7a-8fe5-4d18-91e9-d3dbf885b01c</v>
      </c>
      <c r="Q34" s="4" t="str">
        <f>IF(Table1[[#This Row],[value7]]="","",Table1[[#This Row],[value7]])</f>
        <v/>
      </c>
    </row>
    <row r="35" spans="1:17">
      <c r="A35" s="1" t="s">
        <v>116</v>
      </c>
      <c r="B35" s="1" t="s">
        <v>80</v>
      </c>
      <c r="C35" s="1" t="s">
        <v>13</v>
      </c>
      <c r="D35" s="1" t="s">
        <v>56</v>
      </c>
      <c r="E35" s="1" t="s">
        <v>79</v>
      </c>
      <c r="F35" s="1" t="s">
        <v>84</v>
      </c>
      <c r="G35" s="1" t="s">
        <v>89</v>
      </c>
      <c r="H35" s="1" t="s">
        <v>29</v>
      </c>
      <c r="I35" s="1" t="s">
        <v>37</v>
      </c>
      <c r="J35" s="1"/>
      <c r="K35" s="1"/>
      <c r="L35" s="1"/>
      <c r="M35" s="1"/>
      <c r="N35" s="4" t="str">
        <f>Table1[[#This Row],[id2]]&amp;Table1[[#This Row],[name4]]</f>
        <v>bff0cd7a-8fe5-4d18-91e9-d3dbf885b01cQuest Points</v>
      </c>
      <c r="O35" s="4" t="str">
        <f>IF(Table1[[#This Row],[value]]="","",Table1[[#This Row],[value]])</f>
        <v>2</v>
      </c>
      <c r="P35" s="4" t="str">
        <f>Table1[[#This Row],[id2]]&amp;Table1[[#This Row],[name6]]</f>
        <v>bff0cd7a-8fe5-4d18-91e9-d3dbf885b01c</v>
      </c>
      <c r="Q35" s="4" t="str">
        <f>IF(Table1[[#This Row],[value7]]="","",Table1[[#This Row],[value7]])</f>
        <v/>
      </c>
    </row>
    <row r="36" spans="1:17">
      <c r="A36" s="1" t="s">
        <v>116</v>
      </c>
      <c r="B36" s="1" t="s">
        <v>80</v>
      </c>
      <c r="C36" s="1" t="s">
        <v>13</v>
      </c>
      <c r="D36" s="1" t="s">
        <v>56</v>
      </c>
      <c r="E36" s="1" t="s">
        <v>79</v>
      </c>
      <c r="F36" s="1" t="s">
        <v>84</v>
      </c>
      <c r="G36" s="1" t="s">
        <v>89</v>
      </c>
      <c r="H36" s="1" t="s">
        <v>31</v>
      </c>
      <c r="I36" s="1" t="s">
        <v>37</v>
      </c>
      <c r="J36" s="1"/>
      <c r="K36" s="1"/>
      <c r="L36" s="1"/>
      <c r="M36" s="1"/>
      <c r="N36" s="4" t="str">
        <f>Table1[[#This Row],[id2]]&amp;Table1[[#This Row],[name4]]</f>
        <v>bff0cd7a-8fe5-4d18-91e9-d3dbf885b01cQuantity</v>
      </c>
      <c r="O36" s="4" t="str">
        <f>IF(Table1[[#This Row],[value]]="","",Table1[[#This Row],[value]])</f>
        <v>2</v>
      </c>
      <c r="P36" s="4" t="str">
        <f>Table1[[#This Row],[id2]]&amp;Table1[[#This Row],[name6]]</f>
        <v>bff0cd7a-8fe5-4d18-91e9-d3dbf885b01c</v>
      </c>
      <c r="Q36" s="4" t="str">
        <f>IF(Table1[[#This Row],[value7]]="","",Table1[[#This Row],[value7]])</f>
        <v/>
      </c>
    </row>
    <row r="37" spans="1:17">
      <c r="A37" s="1" t="s">
        <v>116</v>
      </c>
      <c r="B37" s="1" t="s">
        <v>80</v>
      </c>
      <c r="C37" s="1" t="s">
        <v>13</v>
      </c>
      <c r="D37" s="1" t="s">
        <v>56</v>
      </c>
      <c r="E37" s="1" t="s">
        <v>79</v>
      </c>
      <c r="F37" s="1" t="s">
        <v>84</v>
      </c>
      <c r="G37" s="1" t="s">
        <v>89</v>
      </c>
      <c r="H37" s="1" t="s">
        <v>25</v>
      </c>
      <c r="I37" s="1" t="s">
        <v>105</v>
      </c>
      <c r="J37" s="1"/>
      <c r="K37" s="1"/>
      <c r="L37" s="1"/>
      <c r="M37" s="1"/>
      <c r="N37" s="4" t="str">
        <f>Table1[[#This Row],[id2]]&amp;Table1[[#This Row],[name4]]</f>
        <v>bff0cd7a-8fe5-4d18-91e9-d3dbf885b01cText</v>
      </c>
      <c r="O37" s="4" t="str">
        <f>IF(Table1[[#This Row],[value]]="","",Table1[[#This Row],[value]])</f>
        <v>Travel: Each player must exhaust 1 hero he controls to travel here.</v>
      </c>
      <c r="P37" s="4" t="str">
        <f>Table1[[#This Row],[id2]]&amp;Table1[[#This Row],[name6]]</f>
        <v>bff0cd7a-8fe5-4d18-91e9-d3dbf885b01c</v>
      </c>
      <c r="Q37" s="4" t="str">
        <f>IF(Table1[[#This Row],[value7]]="","",Table1[[#This Row],[value7]])</f>
        <v/>
      </c>
    </row>
    <row r="38" spans="1:17">
      <c r="A38" s="1" t="s">
        <v>116</v>
      </c>
      <c r="B38" s="1" t="s">
        <v>80</v>
      </c>
      <c r="C38" s="1" t="s">
        <v>13</v>
      </c>
      <c r="D38" s="1" t="s">
        <v>56</v>
      </c>
      <c r="E38" s="1" t="s">
        <v>79</v>
      </c>
      <c r="F38" s="1" t="s">
        <v>84</v>
      </c>
      <c r="G38" s="1" t="s">
        <v>89</v>
      </c>
      <c r="H38" s="1" t="s">
        <v>30</v>
      </c>
      <c r="I38" s="1" t="s">
        <v>103</v>
      </c>
      <c r="J38" s="1"/>
      <c r="K38" s="1"/>
      <c r="L38" s="1"/>
      <c r="M38" s="1"/>
      <c r="N38" s="4" t="str">
        <f>Table1[[#This Row],[id2]]&amp;Table1[[#This Row],[name4]]</f>
        <v>bff0cd7a-8fe5-4d18-91e9-d3dbf885b01cEncounter Set</v>
      </c>
      <c r="O38" s="4" t="str">
        <f>IF(Table1[[#This Row],[value]]="","",Table1[[#This Row],[value]])</f>
        <v>Spiders of Mirkwood</v>
      </c>
      <c r="P38" s="4" t="str">
        <f>Table1[[#This Row],[id2]]&amp;Table1[[#This Row],[name6]]</f>
        <v>bff0cd7a-8fe5-4d18-91e9-d3dbf885b01c</v>
      </c>
      <c r="Q38" s="4" t="str">
        <f>IF(Table1[[#This Row],[value7]]="","",Table1[[#This Row],[value7]])</f>
        <v/>
      </c>
    </row>
    <row r="39" spans="1:17">
      <c r="A39" s="1" t="s">
        <v>116</v>
      </c>
      <c r="B39" s="1" t="s">
        <v>80</v>
      </c>
      <c r="C39" s="1" t="s">
        <v>13</v>
      </c>
      <c r="D39" s="1" t="s">
        <v>56</v>
      </c>
      <c r="E39" s="1" t="s">
        <v>79</v>
      </c>
      <c r="F39" s="1" t="s">
        <v>85</v>
      </c>
      <c r="G39" s="1" t="s">
        <v>90</v>
      </c>
      <c r="H39" s="1" t="s">
        <v>14</v>
      </c>
      <c r="I39" s="1" t="s">
        <v>44</v>
      </c>
      <c r="J39" s="1"/>
      <c r="K39" s="1"/>
      <c r="L39" s="1"/>
      <c r="M39" s="1"/>
      <c r="N39" s="4" t="str">
        <f>Table1[[#This Row],[id2]]&amp;Table1[[#This Row],[name4]]</f>
        <v>86a8cb61-a4d2-40f7-82a7-adfe5a835acdType</v>
      </c>
      <c r="O39" s="4" t="str">
        <f>IF(Table1[[#This Row],[value]]="","",Table1[[#This Row],[value]])</f>
        <v>Quest</v>
      </c>
      <c r="P39" s="4" t="str">
        <f>Table1[[#This Row],[id2]]&amp;Table1[[#This Row],[name6]]</f>
        <v>86a8cb61-a4d2-40f7-82a7-adfe5a835acd</v>
      </c>
      <c r="Q39" s="4" t="str">
        <f>IF(Table1[[#This Row],[value7]]="","",Table1[[#This Row],[value7]])</f>
        <v/>
      </c>
    </row>
    <row r="40" spans="1:17">
      <c r="A40" s="1" t="s">
        <v>116</v>
      </c>
      <c r="B40" s="1" t="s">
        <v>80</v>
      </c>
      <c r="C40" s="1" t="s">
        <v>13</v>
      </c>
      <c r="D40" s="1" t="s">
        <v>56</v>
      </c>
      <c r="E40" s="1" t="s">
        <v>79</v>
      </c>
      <c r="F40" s="1" t="s">
        <v>85</v>
      </c>
      <c r="G40" s="1" t="s">
        <v>90</v>
      </c>
      <c r="H40" s="1" t="s">
        <v>31</v>
      </c>
      <c r="I40" s="1" t="s">
        <v>38</v>
      </c>
      <c r="J40" s="1"/>
      <c r="K40" s="1"/>
      <c r="L40" s="1"/>
      <c r="M40" s="1"/>
      <c r="N40" s="4" t="str">
        <f>Table1[[#This Row],[id2]]&amp;Table1[[#This Row],[name4]]</f>
        <v>86a8cb61-a4d2-40f7-82a7-adfe5a835acdQuantity</v>
      </c>
      <c r="O40" s="4" t="str">
        <f>IF(Table1[[#This Row],[value]]="","",Table1[[#This Row],[value]])</f>
        <v>1</v>
      </c>
      <c r="P40" s="4" t="str">
        <f>Table1[[#This Row],[id2]]&amp;Table1[[#This Row],[name6]]</f>
        <v>86a8cb61-a4d2-40f7-82a7-adfe5a835acd</v>
      </c>
      <c r="Q40" s="4" t="str">
        <f>IF(Table1[[#This Row],[value7]]="","",Table1[[#This Row],[value7]])</f>
        <v/>
      </c>
    </row>
    <row r="41" spans="1:17">
      <c r="A41" s="1" t="s">
        <v>116</v>
      </c>
      <c r="B41" s="1" t="s">
        <v>80</v>
      </c>
      <c r="C41" s="1" t="s">
        <v>13</v>
      </c>
      <c r="D41" s="1" t="s">
        <v>56</v>
      </c>
      <c r="E41" s="1" t="s">
        <v>79</v>
      </c>
      <c r="F41" s="1" t="s">
        <v>85</v>
      </c>
      <c r="G41" s="1" t="s">
        <v>90</v>
      </c>
      <c r="H41" s="1" t="s">
        <v>25</v>
      </c>
      <c r="I41" s="1" t="s">
        <v>106</v>
      </c>
      <c r="J41" s="1"/>
      <c r="K41" s="1"/>
      <c r="L41" s="1"/>
      <c r="M41" s="1"/>
      <c r="N41" s="4" t="str">
        <f>Table1[[#This Row],[id2]]&amp;Table1[[#This Row],[name4]]</f>
        <v>86a8cb61-a4d2-40f7-82a7-adfe5a835acdText</v>
      </c>
      <c r="O41"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1" s="4" t="str">
        <f>Table1[[#This Row],[id2]]&amp;Table1[[#This Row],[name6]]</f>
        <v>86a8cb61-a4d2-40f7-82a7-adfe5a835acd</v>
      </c>
      <c r="Q41" s="4" t="str">
        <f>IF(Table1[[#This Row],[value7]]="","",Table1[[#This Row],[value7]])</f>
        <v/>
      </c>
    </row>
    <row r="42" spans="1:17">
      <c r="A42" s="1" t="s">
        <v>116</v>
      </c>
      <c r="B42" s="1" t="s">
        <v>80</v>
      </c>
      <c r="C42" s="1" t="s">
        <v>13</v>
      </c>
      <c r="D42" s="1" t="s">
        <v>56</v>
      </c>
      <c r="E42" s="1" t="s">
        <v>79</v>
      </c>
      <c r="F42" s="1" t="s">
        <v>85</v>
      </c>
      <c r="G42" s="1" t="s">
        <v>90</v>
      </c>
      <c r="H42" s="1" t="s">
        <v>30</v>
      </c>
      <c r="I42" s="1" t="s">
        <v>107</v>
      </c>
      <c r="J42" s="1"/>
      <c r="K42" s="1"/>
      <c r="L42" s="1"/>
      <c r="M42" s="1"/>
      <c r="N42" s="4" t="str">
        <f>Table1[[#This Row],[id2]]&amp;Table1[[#This Row],[name4]]</f>
        <v>86a8cb61-a4d2-40f7-82a7-adfe5a835acdEncounter Set</v>
      </c>
      <c r="O42" s="4" t="str">
        <f>IF(Table1[[#This Row],[value]]="","",Table1[[#This Row],[value]])</f>
        <v>Escape from Dol Guldur</v>
      </c>
      <c r="P42" s="4" t="str">
        <f>Table1[[#This Row],[id2]]&amp;Table1[[#This Row],[name6]]</f>
        <v>86a8cb61-a4d2-40f7-82a7-adfe5a835acd</v>
      </c>
      <c r="Q42" s="4" t="str">
        <f>IF(Table1[[#This Row],[value7]]="","",Table1[[#This Row],[value7]])</f>
        <v/>
      </c>
    </row>
    <row r="43" spans="1:17">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116</v>
      </c>
      <c r="B47" s="1" t="s">
        <v>80</v>
      </c>
      <c r="C47" s="1" t="s">
        <v>13</v>
      </c>
      <c r="D47" s="1" t="s">
        <v>56</v>
      </c>
      <c r="E47" s="1" t="s">
        <v>79</v>
      </c>
      <c r="F47" s="1" t="s">
        <v>81</v>
      </c>
      <c r="G47" s="1" t="s">
        <v>86</v>
      </c>
      <c r="H47" s="1" t="s">
        <v>18</v>
      </c>
      <c r="I47" s="1" t="s">
        <v>35</v>
      </c>
      <c r="J47" s="1"/>
      <c r="K47" s="1"/>
      <c r="L47" s="1"/>
      <c r="M47" s="2"/>
      <c r="N47" s="4" t="str">
        <f>Table1[[#This Row],[id2]]&amp;Table1[[#This Row],[name4]]</f>
        <v>cd20023c-210a-498f-9183-65c461183c4cUnique</v>
      </c>
      <c r="O47" s="4" t="str">
        <f>IF(Table1[[#This Row],[value]]="","",Table1[[#This Row],[value]])</f>
        <v>‰</v>
      </c>
      <c r="P47" s="4" t="str">
        <f>Table1[[#This Row],[id2]]&amp;Table1[[#This Row],[name6]]</f>
        <v>cd20023c-210a-498f-9183-65c461183c4c</v>
      </c>
      <c r="Q47" s="4" t="str">
        <f>IF(Table1[[#This Row],[value7]]="","",Table1[[#This Row],[value7]])</f>
        <v/>
      </c>
    </row>
    <row r="48" spans="1:17">
      <c r="A48" s="1" t="s">
        <v>116</v>
      </c>
      <c r="B48" s="1" t="s">
        <v>80</v>
      </c>
      <c r="C48" s="1" t="s">
        <v>13</v>
      </c>
      <c r="D48" s="1" t="s">
        <v>56</v>
      </c>
      <c r="E48" s="1" t="s">
        <v>79</v>
      </c>
      <c r="F48" s="1" t="s">
        <v>81</v>
      </c>
      <c r="G48" s="1" t="s">
        <v>86</v>
      </c>
      <c r="H48" s="1" t="s">
        <v>14</v>
      </c>
      <c r="I48" s="1" t="s">
        <v>33</v>
      </c>
      <c r="J48" s="1"/>
      <c r="K48" s="1"/>
      <c r="L48" s="1"/>
      <c r="M48" s="2"/>
      <c r="N48" s="4" t="str">
        <f>Table1[[#This Row],[id2]]&amp;Table1[[#This Row],[name4]]</f>
        <v>cd20023c-210a-498f-9183-65c461183c4cType</v>
      </c>
      <c r="O48" s="4" t="str">
        <f>IF(Table1[[#This Row],[value]]="","",Table1[[#This Row],[value]])</f>
        <v>Hero</v>
      </c>
      <c r="P48" s="4" t="str">
        <f>Table1[[#This Row],[id2]]&amp;Table1[[#This Row],[name6]]</f>
        <v>cd20023c-210a-498f-9183-65c461183c4c</v>
      </c>
      <c r="Q48" s="4" t="str">
        <f>IF(Table1[[#This Row],[value7]]="","",Table1[[#This Row],[value7]])</f>
        <v/>
      </c>
    </row>
    <row r="49" spans="1:17">
      <c r="A49" s="1" t="s">
        <v>116</v>
      </c>
      <c r="B49" s="1" t="s">
        <v>80</v>
      </c>
      <c r="C49" s="1" t="s">
        <v>13</v>
      </c>
      <c r="D49" s="1" t="s">
        <v>56</v>
      </c>
      <c r="E49" s="1" t="s">
        <v>79</v>
      </c>
      <c r="F49" s="1" t="s">
        <v>81</v>
      </c>
      <c r="G49" s="1" t="s">
        <v>86</v>
      </c>
      <c r="H49" s="1" t="s">
        <v>15</v>
      </c>
      <c r="I49" s="1" t="s">
        <v>34</v>
      </c>
      <c r="J49" s="1"/>
      <c r="K49" s="1"/>
      <c r="L49" s="1"/>
      <c r="M49" s="2"/>
      <c r="N49" s="4" t="str">
        <f>Table1[[#This Row],[id2]]&amp;Table1[[#This Row],[name4]]</f>
        <v>cd20023c-210a-498f-9183-65c461183c4cSphere</v>
      </c>
      <c r="O49" s="4" t="str">
        <f>IF(Table1[[#This Row],[value]]="","",Table1[[#This Row],[value]])</f>
        <v>Leadership</v>
      </c>
      <c r="P49" s="4" t="str">
        <f>Table1[[#This Row],[id2]]&amp;Table1[[#This Row],[name6]]</f>
        <v>cd20023c-210a-498f-9183-65c461183c4c</v>
      </c>
      <c r="Q49" s="4" t="str">
        <f>IF(Table1[[#This Row],[value7]]="","",Table1[[#This Row],[value7]])</f>
        <v/>
      </c>
    </row>
    <row r="50" spans="1:17">
      <c r="A50" s="1" t="s">
        <v>116</v>
      </c>
      <c r="B50" s="1" t="s">
        <v>80</v>
      </c>
      <c r="C50" s="1" t="s">
        <v>13</v>
      </c>
      <c r="D50" s="1" t="s">
        <v>56</v>
      </c>
      <c r="E50" s="1" t="s">
        <v>79</v>
      </c>
      <c r="F50" s="1" t="s">
        <v>81</v>
      </c>
      <c r="G50" s="1" t="s">
        <v>86</v>
      </c>
      <c r="H50" s="1" t="s">
        <v>24</v>
      </c>
      <c r="I50" s="1" t="s">
        <v>91</v>
      </c>
      <c r="J50" s="1"/>
      <c r="K50" s="1"/>
      <c r="L50" s="1"/>
      <c r="M50" s="2"/>
      <c r="N50" s="4" t="str">
        <f>Table1[[#This Row],[id2]]&amp;Table1[[#This Row],[name4]]</f>
        <v>cd20023c-210a-498f-9183-65c461183c4cTraits</v>
      </c>
      <c r="O50" s="4" t="str">
        <f>IF(Table1[[#This Row],[value]]="","",Table1[[#This Row],[value]])</f>
        <v>Dunedain. Noble. Ranger.</v>
      </c>
      <c r="P50" s="4" t="str">
        <f>Table1[[#This Row],[id2]]&amp;Table1[[#This Row],[name6]]</f>
        <v>cd20023c-210a-498f-9183-65c461183c4c</v>
      </c>
      <c r="Q50" s="4" t="str">
        <f>IF(Table1[[#This Row],[value7]]="","",Table1[[#This Row],[value7]])</f>
        <v/>
      </c>
    </row>
    <row r="51" spans="1:17">
      <c r="A51" s="1" t="s">
        <v>116</v>
      </c>
      <c r="B51" s="1" t="s">
        <v>80</v>
      </c>
      <c r="C51" s="1" t="s">
        <v>13</v>
      </c>
      <c r="D51" s="1" t="s">
        <v>56</v>
      </c>
      <c r="E51" s="1" t="s">
        <v>79</v>
      </c>
      <c r="F51" s="1" t="s">
        <v>81</v>
      </c>
      <c r="G51" s="1" t="s">
        <v>86</v>
      </c>
      <c r="H51" s="1" t="s">
        <v>27</v>
      </c>
      <c r="I51" s="1" t="s">
        <v>92</v>
      </c>
      <c r="J51" s="1"/>
      <c r="K51" s="1"/>
      <c r="L51" s="1"/>
      <c r="M51" s="2"/>
      <c r="N51" s="4" t="str">
        <f>Table1[[#This Row],[id2]]&amp;Table1[[#This Row],[name4]]</f>
        <v>cd20023c-210a-498f-9183-65c461183c4cKeywords</v>
      </c>
      <c r="O51" s="4" t="str">
        <f>IF(Table1[[#This Row],[value]]="","",Table1[[#This Row],[value]])</f>
        <v>Sentinel.</v>
      </c>
      <c r="P51" s="4" t="str">
        <f>Table1[[#This Row],[id2]]&amp;Table1[[#This Row],[name6]]</f>
        <v>cd20023c-210a-498f-9183-65c461183c4c</v>
      </c>
      <c r="Q51" s="4" t="str">
        <f>IF(Table1[[#This Row],[value7]]="","",Table1[[#This Row],[value7]])</f>
        <v/>
      </c>
    </row>
    <row r="52" spans="1:17">
      <c r="A52" s="1" t="s">
        <v>116</v>
      </c>
      <c r="B52" s="1" t="s">
        <v>80</v>
      </c>
      <c r="C52" s="1" t="s">
        <v>13</v>
      </c>
      <c r="D52" s="1" t="s">
        <v>56</v>
      </c>
      <c r="E52" s="1" t="s">
        <v>79</v>
      </c>
      <c r="F52" s="1" t="s">
        <v>81</v>
      </c>
      <c r="G52" s="1" t="s">
        <v>86</v>
      </c>
      <c r="H52" s="1" t="s">
        <v>16</v>
      </c>
      <c r="I52" s="1" t="s">
        <v>93</v>
      </c>
      <c r="J52" s="1"/>
      <c r="K52" s="1"/>
      <c r="L52" s="1"/>
      <c r="M52" s="2"/>
      <c r="N52" s="4" t="str">
        <f>Table1[[#This Row],[id2]]&amp;Table1[[#This Row],[name4]]</f>
        <v>cd20023c-210a-498f-9183-65c461183c4cCost</v>
      </c>
      <c r="O52" s="4" t="str">
        <f>IF(Table1[[#This Row],[value]]="","",Table1[[#This Row],[value]])</f>
        <v>12</v>
      </c>
      <c r="P52" s="4" t="str">
        <f>Table1[[#This Row],[id2]]&amp;Table1[[#This Row],[name6]]</f>
        <v>cd20023c-210a-498f-9183-65c461183c4c</v>
      </c>
      <c r="Q52" s="4" t="str">
        <f>IF(Table1[[#This Row],[value7]]="","",Table1[[#This Row],[value7]])</f>
        <v/>
      </c>
    </row>
    <row r="53" spans="1:17">
      <c r="A53" s="1" t="s">
        <v>116</v>
      </c>
      <c r="B53" s="1" t="s">
        <v>80</v>
      </c>
      <c r="C53" s="1" t="s">
        <v>13</v>
      </c>
      <c r="D53" s="1" t="s">
        <v>56</v>
      </c>
      <c r="E53" s="1" t="s">
        <v>79</v>
      </c>
      <c r="F53" s="1" t="s">
        <v>81</v>
      </c>
      <c r="G53" s="1" t="s">
        <v>86</v>
      </c>
      <c r="H53" s="1" t="s">
        <v>22</v>
      </c>
      <c r="I53" s="1" t="s">
        <v>37</v>
      </c>
      <c r="J53" s="1"/>
      <c r="K53" s="1"/>
      <c r="L53" s="1"/>
      <c r="M53" s="2"/>
      <c r="N53" s="4" t="str">
        <f>Table1[[#This Row],[id2]]&amp;Table1[[#This Row],[name4]]</f>
        <v>cd20023c-210a-498f-9183-65c461183c4cWillpower</v>
      </c>
      <c r="O53" s="4" t="str">
        <f>IF(Table1[[#This Row],[value]]="","",Table1[[#This Row],[value]])</f>
        <v>2</v>
      </c>
      <c r="P53" s="4" t="str">
        <f>Table1[[#This Row],[id2]]&amp;Table1[[#This Row],[name6]]</f>
        <v>cd20023c-210a-498f-9183-65c461183c4c</v>
      </c>
      <c r="Q53" s="4" t="str">
        <f>IF(Table1[[#This Row],[value7]]="","",Table1[[#This Row],[value7]])</f>
        <v/>
      </c>
    </row>
    <row r="54" spans="1:17">
      <c r="A54" s="1" t="s">
        <v>116</v>
      </c>
      <c r="B54" s="1" t="s">
        <v>80</v>
      </c>
      <c r="C54" s="1" t="s">
        <v>13</v>
      </c>
      <c r="D54" s="1" t="s">
        <v>56</v>
      </c>
      <c r="E54" s="1" t="s">
        <v>79</v>
      </c>
      <c r="F54" s="1" t="s">
        <v>81</v>
      </c>
      <c r="G54" s="1" t="s">
        <v>86</v>
      </c>
      <c r="H54" s="1" t="s">
        <v>20</v>
      </c>
      <c r="I54" s="1" t="s">
        <v>36</v>
      </c>
      <c r="J54" s="1"/>
      <c r="K54" s="1"/>
      <c r="L54" s="1"/>
      <c r="M54" s="2"/>
      <c r="N54" s="4" t="str">
        <f>Table1[[#This Row],[id2]]&amp;Table1[[#This Row],[name4]]</f>
        <v>cd20023c-210a-498f-9183-65c461183c4cAttack</v>
      </c>
      <c r="O54" s="4" t="str">
        <f>IF(Table1[[#This Row],[value]]="","",Table1[[#This Row],[value]])</f>
        <v>3</v>
      </c>
      <c r="P54" s="4" t="str">
        <f>Table1[[#This Row],[id2]]&amp;Table1[[#This Row],[name6]]</f>
        <v>cd20023c-210a-498f-9183-65c461183c4c</v>
      </c>
      <c r="Q54" s="4" t="str">
        <f>IF(Table1[[#This Row],[value7]]="","",Table1[[#This Row],[value7]])</f>
        <v/>
      </c>
    </row>
    <row r="55" spans="1:17">
      <c r="A55" s="1" t="s">
        <v>116</v>
      </c>
      <c r="B55" s="1" t="s">
        <v>80</v>
      </c>
      <c r="C55" s="1" t="s">
        <v>13</v>
      </c>
      <c r="D55" s="1" t="s">
        <v>56</v>
      </c>
      <c r="E55" s="1" t="s">
        <v>79</v>
      </c>
      <c r="F55" s="1" t="s">
        <v>81</v>
      </c>
      <c r="G55" s="1" t="s">
        <v>86</v>
      </c>
      <c r="H55" s="1" t="s">
        <v>21</v>
      </c>
      <c r="I55" s="1" t="s">
        <v>37</v>
      </c>
      <c r="J55" s="1"/>
      <c r="K55" s="1"/>
      <c r="L55" s="1"/>
      <c r="M55" s="2"/>
      <c r="N55" s="4" t="str">
        <f>Table1[[#This Row],[id2]]&amp;Table1[[#This Row],[name4]]</f>
        <v>cd20023c-210a-498f-9183-65c461183c4cDefense</v>
      </c>
      <c r="O55" s="4" t="str">
        <f>IF(Table1[[#This Row],[value]]="","",Table1[[#This Row],[value]])</f>
        <v>2</v>
      </c>
      <c r="P55" s="4" t="str">
        <f>Table1[[#This Row],[id2]]&amp;Table1[[#This Row],[name6]]</f>
        <v>cd20023c-210a-498f-9183-65c461183c4c</v>
      </c>
      <c r="Q55" s="4" t="str">
        <f>IF(Table1[[#This Row],[value7]]="","",Table1[[#This Row],[value7]])</f>
        <v/>
      </c>
    </row>
    <row r="56" spans="1:17">
      <c r="A56" s="1" t="s">
        <v>116</v>
      </c>
      <c r="B56" s="1" t="s">
        <v>80</v>
      </c>
      <c r="C56" s="1" t="s">
        <v>13</v>
      </c>
      <c r="D56" s="1" t="s">
        <v>56</v>
      </c>
      <c r="E56" s="1" t="s">
        <v>79</v>
      </c>
      <c r="F56" s="1" t="s">
        <v>81</v>
      </c>
      <c r="G56" s="1" t="s">
        <v>86</v>
      </c>
      <c r="H56" s="1" t="s">
        <v>23</v>
      </c>
      <c r="I56" s="1" t="s">
        <v>40</v>
      </c>
      <c r="J56" s="1"/>
      <c r="K56" s="1"/>
      <c r="L56" s="1"/>
      <c r="M56" s="2"/>
      <c r="N56" s="4" t="str">
        <f>Table1[[#This Row],[id2]]&amp;Table1[[#This Row],[name4]]</f>
        <v>cd20023c-210a-498f-9183-65c461183c4cHealth</v>
      </c>
      <c r="O56" s="4" t="str">
        <f>IF(Table1[[#This Row],[value]]="","",Table1[[#This Row],[value]])</f>
        <v>5</v>
      </c>
      <c r="P56" s="4" t="str">
        <f>Table1[[#This Row],[id2]]&amp;Table1[[#This Row],[name6]]</f>
        <v>cd20023c-210a-498f-9183-65c461183c4c</v>
      </c>
      <c r="Q56" s="4" t="str">
        <f>IF(Table1[[#This Row],[value7]]="","",Table1[[#This Row],[value7]])</f>
        <v/>
      </c>
    </row>
    <row r="57" spans="1:17">
      <c r="A57" s="1" t="s">
        <v>116</v>
      </c>
      <c r="B57" s="1" t="s">
        <v>80</v>
      </c>
      <c r="C57" s="1" t="s">
        <v>13</v>
      </c>
      <c r="D57" s="1" t="s">
        <v>56</v>
      </c>
      <c r="E57" s="1" t="s">
        <v>79</v>
      </c>
      <c r="F57" s="1" t="s">
        <v>81</v>
      </c>
      <c r="G57" s="1" t="s">
        <v>86</v>
      </c>
      <c r="H57" s="1" t="s">
        <v>31</v>
      </c>
      <c r="I57" s="1" t="s">
        <v>38</v>
      </c>
      <c r="J57" s="1"/>
      <c r="K57" s="1"/>
      <c r="L57" s="1"/>
      <c r="M57" s="2"/>
      <c r="N57" s="4" t="str">
        <f>Table1[[#This Row],[id2]]&amp;Table1[[#This Row],[name4]]</f>
        <v>cd20023c-210a-498f-9183-65c461183c4cQuantity</v>
      </c>
      <c r="O57" s="4" t="str">
        <f>IF(Table1[[#This Row],[value]]="","",Table1[[#This Row],[value]])</f>
        <v>1</v>
      </c>
      <c r="P57" s="4" t="str">
        <f>Table1[[#This Row],[id2]]&amp;Table1[[#This Row],[name6]]</f>
        <v>cd20023c-210a-498f-9183-65c461183c4c</v>
      </c>
      <c r="Q57" s="4" t="str">
        <f>IF(Table1[[#This Row],[value7]]="","",Table1[[#This Row],[value7]])</f>
        <v/>
      </c>
    </row>
    <row r="58" spans="1:17" ht="90">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c r="A59" s="1" t="s">
        <v>116</v>
      </c>
      <c r="B59" s="1" t="s">
        <v>80</v>
      </c>
      <c r="C59" s="1" t="s">
        <v>13</v>
      </c>
      <c r="D59" s="1" t="s">
        <v>56</v>
      </c>
      <c r="E59" s="1" t="s">
        <v>79</v>
      </c>
      <c r="F59" s="1" t="s">
        <v>82</v>
      </c>
      <c r="G59" s="1" t="s">
        <v>87</v>
      </c>
      <c r="H59" s="1" t="s">
        <v>14</v>
      </c>
      <c r="I59" s="1" t="s">
        <v>41</v>
      </c>
      <c r="J59" s="1"/>
      <c r="K59" s="1"/>
      <c r="L59" s="1"/>
      <c r="M59" s="2"/>
      <c r="N59" s="4" t="str">
        <f>Table1[[#This Row],[id2]]&amp;Table1[[#This Row],[name4]]</f>
        <v>ec979e5e-270f-41dd-9ea4-de77431a423aType</v>
      </c>
      <c r="O59" s="4" t="str">
        <f>IF(Table1[[#This Row],[value]]="","",Table1[[#This Row],[value]])</f>
        <v>Attachment</v>
      </c>
      <c r="P59" s="4" t="str">
        <f>Table1[[#This Row],[id2]]&amp;Table1[[#This Row],[name6]]</f>
        <v>ec979e5e-270f-41dd-9ea4-de77431a423a</v>
      </c>
      <c r="Q59" s="4" t="str">
        <f>IF(Table1[[#This Row],[value7]]="","",Table1[[#This Row],[value7]])</f>
        <v/>
      </c>
    </row>
    <row r="60" spans="1:17">
      <c r="A60" s="1" t="s">
        <v>116</v>
      </c>
      <c r="B60" s="1" t="s">
        <v>80</v>
      </c>
      <c r="C60" s="1" t="s">
        <v>13</v>
      </c>
      <c r="D60" s="1" t="s">
        <v>56</v>
      </c>
      <c r="E60" s="1" t="s">
        <v>79</v>
      </c>
      <c r="F60" s="1" t="s">
        <v>82</v>
      </c>
      <c r="G60" s="1" t="s">
        <v>87</v>
      </c>
      <c r="H60" s="1" t="s">
        <v>15</v>
      </c>
      <c r="I60" s="1" t="s">
        <v>39</v>
      </c>
      <c r="J60" s="1"/>
      <c r="K60" s="1"/>
      <c r="L60" s="1"/>
      <c r="M60" s="2"/>
      <c r="N60" s="4" t="str">
        <f>Table1[[#This Row],[id2]]&amp;Table1[[#This Row],[name4]]</f>
        <v>ec979e5e-270f-41dd-9ea4-de77431a423aSphere</v>
      </c>
      <c r="O60" s="4" t="str">
        <f>IF(Table1[[#This Row],[value]]="","",Table1[[#This Row],[value]])</f>
        <v>Lore</v>
      </c>
      <c r="P60" s="4" t="str">
        <f>Table1[[#This Row],[id2]]&amp;Table1[[#This Row],[name6]]</f>
        <v>ec979e5e-270f-41dd-9ea4-de77431a423a</v>
      </c>
      <c r="Q60" s="4" t="str">
        <f>IF(Table1[[#This Row],[value7]]="","",Table1[[#This Row],[value7]])</f>
        <v/>
      </c>
    </row>
    <row r="61" spans="1:17">
      <c r="A61" s="1" t="s">
        <v>116</v>
      </c>
      <c r="B61" s="1" t="s">
        <v>80</v>
      </c>
      <c r="C61" s="1" t="s">
        <v>13</v>
      </c>
      <c r="D61" s="1" t="s">
        <v>56</v>
      </c>
      <c r="E61" s="1" t="s">
        <v>79</v>
      </c>
      <c r="F61" s="1" t="s">
        <v>82</v>
      </c>
      <c r="G61" s="1" t="s">
        <v>87</v>
      </c>
      <c r="H61" s="1" t="s">
        <v>24</v>
      </c>
      <c r="I61" s="1" t="s">
        <v>95</v>
      </c>
      <c r="J61" s="1"/>
      <c r="K61" s="1"/>
      <c r="L61" s="1"/>
      <c r="M61" s="2"/>
      <c r="N61" s="4" t="str">
        <f>Table1[[#This Row],[id2]]&amp;Table1[[#This Row],[name4]]</f>
        <v>ec979e5e-270f-41dd-9ea4-de77431a423aTraits</v>
      </c>
      <c r="O61" s="4" t="str">
        <f>IF(Table1[[#This Row],[value]]="","",Table1[[#This Row],[value]])</f>
        <v>Title.</v>
      </c>
      <c r="P61" s="4" t="str">
        <f>Table1[[#This Row],[id2]]&amp;Table1[[#This Row],[name6]]</f>
        <v>ec979e5e-270f-41dd-9ea4-de77431a423a</v>
      </c>
      <c r="Q61" s="4" t="str">
        <f>IF(Table1[[#This Row],[value7]]="","",Table1[[#This Row],[value7]])</f>
        <v/>
      </c>
    </row>
    <row r="62" spans="1:17">
      <c r="A62" s="1" t="s">
        <v>116</v>
      </c>
      <c r="B62" s="1" t="s">
        <v>80</v>
      </c>
      <c r="C62" s="1" t="s">
        <v>13</v>
      </c>
      <c r="D62" s="1" t="s">
        <v>56</v>
      </c>
      <c r="E62" s="1" t="s">
        <v>79</v>
      </c>
      <c r="F62" s="1" t="s">
        <v>82</v>
      </c>
      <c r="G62" s="1" t="s">
        <v>87</v>
      </c>
      <c r="H62" s="1" t="s">
        <v>27</v>
      </c>
      <c r="I62" s="1" t="s">
        <v>96</v>
      </c>
      <c r="J62" s="1"/>
      <c r="K62" s="1"/>
      <c r="L62" s="1"/>
      <c r="M62" s="2"/>
      <c r="N62" s="4" t="str">
        <f>Table1[[#This Row],[id2]]&amp;Table1[[#This Row],[name4]]</f>
        <v>ec979e5e-270f-41dd-9ea4-de77431a423aKeywords</v>
      </c>
      <c r="O62" s="4" t="str">
        <f>IF(Table1[[#This Row],[value]]="","",Table1[[#This Row],[value]])</f>
        <v>Attach to a hero.</v>
      </c>
      <c r="P62" s="4" t="str">
        <f>Table1[[#This Row],[id2]]&amp;Table1[[#This Row],[name6]]</f>
        <v>ec979e5e-270f-41dd-9ea4-de77431a423a</v>
      </c>
      <c r="Q62" s="4" t="str">
        <f>IF(Table1[[#This Row],[value7]]="","",Table1[[#This Row],[value7]])</f>
        <v/>
      </c>
    </row>
    <row r="63" spans="1:17">
      <c r="A63" s="1" t="s">
        <v>116</v>
      </c>
      <c r="B63" s="1" t="s">
        <v>80</v>
      </c>
      <c r="C63" s="1" t="s">
        <v>13</v>
      </c>
      <c r="D63" s="1" t="s">
        <v>56</v>
      </c>
      <c r="E63" s="1" t="s">
        <v>79</v>
      </c>
      <c r="F63" s="1" t="s">
        <v>82</v>
      </c>
      <c r="G63" s="1" t="s">
        <v>87</v>
      </c>
      <c r="H63" s="1" t="s">
        <v>16</v>
      </c>
      <c r="I63" s="1" t="s">
        <v>38</v>
      </c>
      <c r="J63" s="1"/>
      <c r="K63" s="1"/>
      <c r="L63" s="1"/>
      <c r="M63" s="2"/>
      <c r="N63" s="4" t="str">
        <f>Table1[[#This Row],[id2]]&amp;Table1[[#This Row],[name4]]</f>
        <v>ec979e5e-270f-41dd-9ea4-de77431a423aCost</v>
      </c>
      <c r="O63" s="4" t="str">
        <f>IF(Table1[[#This Row],[value]]="","",Table1[[#This Row],[value]])</f>
        <v>1</v>
      </c>
      <c r="P63" s="4" t="str">
        <f>Table1[[#This Row],[id2]]&amp;Table1[[#This Row],[name6]]</f>
        <v>ec979e5e-270f-41dd-9ea4-de77431a423a</v>
      </c>
      <c r="Q63" s="4" t="str">
        <f>IF(Table1[[#This Row],[value7]]="","",Table1[[#This Row],[value7]])</f>
        <v/>
      </c>
    </row>
    <row r="64" spans="1:17">
      <c r="A64" s="1" t="s">
        <v>116</v>
      </c>
      <c r="B64" s="1" t="s">
        <v>80</v>
      </c>
      <c r="C64" s="1" t="s">
        <v>13</v>
      </c>
      <c r="D64" s="1" t="s">
        <v>56</v>
      </c>
      <c r="E64" s="1" t="s">
        <v>79</v>
      </c>
      <c r="F64" s="1" t="s">
        <v>82</v>
      </c>
      <c r="G64" s="1" t="s">
        <v>87</v>
      </c>
      <c r="H64" s="1" t="s">
        <v>31</v>
      </c>
      <c r="I64" s="1" t="s">
        <v>37</v>
      </c>
      <c r="J64" s="1"/>
      <c r="K64" s="1"/>
      <c r="L64" s="1"/>
      <c r="M64" s="2"/>
      <c r="N64" s="4" t="str">
        <f>Table1[[#This Row],[id2]]&amp;Table1[[#This Row],[name4]]</f>
        <v>ec979e5e-270f-41dd-9ea4-de77431a423aQuantity</v>
      </c>
      <c r="O64" s="4" t="str">
        <f>IF(Table1[[#This Row],[value]]="","",Table1[[#This Row],[value]])</f>
        <v>2</v>
      </c>
      <c r="P64" s="4" t="str">
        <f>Table1[[#This Row],[id2]]&amp;Table1[[#This Row],[name6]]</f>
        <v>ec979e5e-270f-41dd-9ea4-de77431a423a</v>
      </c>
      <c r="Q64" s="4" t="str">
        <f>IF(Table1[[#This Row],[value7]]="","",Table1[[#This Row],[value7]])</f>
        <v/>
      </c>
    </row>
    <row r="65" spans="1:17">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c r="A66" s="1" t="s">
        <v>116</v>
      </c>
      <c r="B66" s="1" t="s">
        <v>80</v>
      </c>
      <c r="C66" s="1" t="s">
        <v>13</v>
      </c>
      <c r="D66" s="1" t="s">
        <v>56</v>
      </c>
      <c r="E66" s="1" t="s">
        <v>79</v>
      </c>
      <c r="F66" s="1" t="s">
        <v>83</v>
      </c>
      <c r="G66" s="1" t="s">
        <v>88</v>
      </c>
      <c r="H66" s="1" t="s">
        <v>14</v>
      </c>
      <c r="I66" s="1" t="s">
        <v>42</v>
      </c>
      <c r="J66" s="1"/>
      <c r="K66" s="1"/>
      <c r="L66" s="1"/>
      <c r="M66" s="2"/>
      <c r="N66" s="4" t="str">
        <f>Table1[[#This Row],[id2]]&amp;Table1[[#This Row],[name4]]</f>
        <v>13c9bc79-dee5-47a6-8649-ddff6a753bf6Type</v>
      </c>
      <c r="O66" s="4" t="str">
        <f>IF(Table1[[#This Row],[value]]="","",Table1[[#This Row],[value]])</f>
        <v>Enemy</v>
      </c>
      <c r="P66" s="4" t="str">
        <f>Table1[[#This Row],[id2]]&amp;Table1[[#This Row],[name6]]</f>
        <v>13c9bc79-dee5-47a6-8649-ddff6a753bf6</v>
      </c>
      <c r="Q66" s="4" t="str">
        <f>IF(Table1[[#This Row],[value7]]="","",Table1[[#This Row],[value7]])</f>
        <v/>
      </c>
    </row>
    <row r="67" spans="1:17">
      <c r="A67" s="1" t="s">
        <v>116</v>
      </c>
      <c r="B67" s="1" t="s">
        <v>80</v>
      </c>
      <c r="C67" s="1" t="s">
        <v>13</v>
      </c>
      <c r="D67" s="1" t="s">
        <v>56</v>
      </c>
      <c r="E67" s="1" t="s">
        <v>79</v>
      </c>
      <c r="F67" s="1" t="s">
        <v>83</v>
      </c>
      <c r="G67" s="1" t="s">
        <v>88</v>
      </c>
      <c r="H67" s="1" t="s">
        <v>24</v>
      </c>
      <c r="I67" s="1" t="s">
        <v>98</v>
      </c>
      <c r="J67" s="1"/>
      <c r="K67" s="1"/>
      <c r="L67" s="1"/>
      <c r="M67" s="2"/>
      <c r="N67" s="4" t="str">
        <f>Table1[[#This Row],[id2]]&amp;Table1[[#This Row],[name4]]</f>
        <v>13c9bc79-dee5-47a6-8649-ddff6a753bf6Traits</v>
      </c>
      <c r="O67" s="4" t="str">
        <f>IF(Table1[[#This Row],[value]]="","",Table1[[#This Row],[value]])</f>
        <v>Creature. Spider.</v>
      </c>
      <c r="P67" s="4" t="str">
        <f>Table1[[#This Row],[id2]]&amp;Table1[[#This Row],[name6]]</f>
        <v>13c9bc79-dee5-47a6-8649-ddff6a753bf6</v>
      </c>
      <c r="Q67" s="4" t="str">
        <f>IF(Table1[[#This Row],[value7]]="","",Table1[[#This Row],[value7]])</f>
        <v/>
      </c>
    </row>
    <row r="68" spans="1:17">
      <c r="A68" s="1" t="s">
        <v>116</v>
      </c>
      <c r="B68" s="1" t="s">
        <v>80</v>
      </c>
      <c r="C68" s="1" t="s">
        <v>13</v>
      </c>
      <c r="D68" s="1" t="s">
        <v>56</v>
      </c>
      <c r="E68" s="1" t="s">
        <v>79</v>
      </c>
      <c r="F68" s="1" t="s">
        <v>83</v>
      </c>
      <c r="G68" s="1" t="s">
        <v>88</v>
      </c>
      <c r="H68" s="1" t="s">
        <v>17</v>
      </c>
      <c r="I68" s="1" t="s">
        <v>99</v>
      </c>
      <c r="J68" s="1"/>
      <c r="K68" s="1"/>
      <c r="L68" s="1"/>
      <c r="M68" s="2"/>
      <c r="N68" s="4" t="str">
        <f>Table1[[#This Row],[id2]]&amp;Table1[[#This Row],[name4]]</f>
        <v>13c9bc79-dee5-47a6-8649-ddff6a753bf6Engagement Cost</v>
      </c>
      <c r="O68" s="4" t="str">
        <f>IF(Table1[[#This Row],[value]]="","",Table1[[#This Row],[value]])</f>
        <v>32</v>
      </c>
      <c r="P68" s="4" t="str">
        <f>Table1[[#This Row],[id2]]&amp;Table1[[#This Row],[name6]]</f>
        <v>13c9bc79-dee5-47a6-8649-ddff6a753bf6</v>
      </c>
      <c r="Q68" s="4" t="str">
        <f>IF(Table1[[#This Row],[value7]]="","",Table1[[#This Row],[value7]])</f>
        <v/>
      </c>
    </row>
    <row r="69" spans="1:17">
      <c r="A69" s="1" t="s">
        <v>116</v>
      </c>
      <c r="B69" s="1" t="s">
        <v>80</v>
      </c>
      <c r="C69" s="1" t="s">
        <v>13</v>
      </c>
      <c r="D69" s="1" t="s">
        <v>56</v>
      </c>
      <c r="E69" s="1" t="s">
        <v>79</v>
      </c>
      <c r="F69" s="1" t="s">
        <v>83</v>
      </c>
      <c r="G69" s="1" t="s">
        <v>88</v>
      </c>
      <c r="H69" s="1" t="s">
        <v>28</v>
      </c>
      <c r="I69" s="1" t="s">
        <v>36</v>
      </c>
      <c r="J69" s="1"/>
      <c r="K69" s="1"/>
      <c r="L69" s="1"/>
      <c r="M69" s="2"/>
      <c r="N69" s="4" t="str">
        <f>Table1[[#This Row],[id2]]&amp;Table1[[#This Row],[name4]]</f>
        <v>13c9bc79-dee5-47a6-8649-ddff6a753bf6Threat</v>
      </c>
      <c r="O69" s="4" t="str">
        <f>IF(Table1[[#This Row],[value]]="","",Table1[[#This Row],[value]])</f>
        <v>3</v>
      </c>
      <c r="P69" s="4" t="str">
        <f>Table1[[#This Row],[id2]]&amp;Table1[[#This Row],[name6]]</f>
        <v>13c9bc79-dee5-47a6-8649-ddff6a753bf6</v>
      </c>
      <c r="Q69" s="4" t="str">
        <f>IF(Table1[[#This Row],[value7]]="","",Table1[[#This Row],[value7]])</f>
        <v/>
      </c>
    </row>
    <row r="70" spans="1:17">
      <c r="A70" s="1" t="s">
        <v>116</v>
      </c>
      <c r="B70" s="1" t="s">
        <v>80</v>
      </c>
      <c r="C70" s="1" t="s">
        <v>13</v>
      </c>
      <c r="D70" s="1" t="s">
        <v>56</v>
      </c>
      <c r="E70" s="1" t="s">
        <v>79</v>
      </c>
      <c r="F70" s="1" t="s">
        <v>83</v>
      </c>
      <c r="G70" s="1" t="s">
        <v>88</v>
      </c>
      <c r="H70" s="1" t="s">
        <v>20</v>
      </c>
      <c r="I70" s="1" t="s">
        <v>40</v>
      </c>
      <c r="J70" s="1"/>
      <c r="K70" s="1"/>
      <c r="L70" s="1"/>
      <c r="M70" s="2"/>
      <c r="N70" s="4" t="str">
        <f>Table1[[#This Row],[id2]]&amp;Table1[[#This Row],[name4]]</f>
        <v>13c9bc79-dee5-47a6-8649-ddff6a753bf6Attack</v>
      </c>
      <c r="O70" s="4" t="str">
        <f>IF(Table1[[#This Row],[value]]="","",Table1[[#This Row],[value]])</f>
        <v>5</v>
      </c>
      <c r="P70" s="4" t="str">
        <f>Table1[[#This Row],[id2]]&amp;Table1[[#This Row],[name6]]</f>
        <v>13c9bc79-dee5-47a6-8649-ddff6a753bf6</v>
      </c>
      <c r="Q70" s="4" t="str">
        <f>IF(Table1[[#This Row],[value7]]="","",Table1[[#This Row],[value7]])</f>
        <v/>
      </c>
    </row>
    <row r="71" spans="1:17">
      <c r="A71" s="1" t="s">
        <v>116</v>
      </c>
      <c r="B71" s="1" t="s">
        <v>80</v>
      </c>
      <c r="C71" s="1" t="s">
        <v>13</v>
      </c>
      <c r="D71" s="1" t="s">
        <v>56</v>
      </c>
      <c r="E71" s="1" t="s">
        <v>79</v>
      </c>
      <c r="F71" s="1" t="s">
        <v>83</v>
      </c>
      <c r="G71" s="1" t="s">
        <v>88</v>
      </c>
      <c r="H71" s="1" t="s">
        <v>21</v>
      </c>
      <c r="I71" s="1" t="s">
        <v>37</v>
      </c>
      <c r="J71" s="1"/>
      <c r="K71" s="1"/>
      <c r="L71" s="1"/>
      <c r="M71" s="2"/>
      <c r="N71" s="4" t="str">
        <f>Table1[[#This Row],[id2]]&amp;Table1[[#This Row],[name4]]</f>
        <v>13c9bc79-dee5-47a6-8649-ddff6a753bf6Defense</v>
      </c>
      <c r="O71" s="4" t="str">
        <f>IF(Table1[[#This Row],[value]]="","",Table1[[#This Row],[value]])</f>
        <v>2</v>
      </c>
      <c r="P71" s="4" t="str">
        <f>Table1[[#This Row],[id2]]&amp;Table1[[#This Row],[name6]]</f>
        <v>13c9bc79-dee5-47a6-8649-ddff6a753bf6</v>
      </c>
      <c r="Q71" s="4" t="str">
        <f>IF(Table1[[#This Row],[value7]]="","",Table1[[#This Row],[value7]])</f>
        <v/>
      </c>
    </row>
    <row r="72" spans="1:17">
      <c r="A72" s="1" t="s">
        <v>116</v>
      </c>
      <c r="B72" s="1" t="s">
        <v>80</v>
      </c>
      <c r="C72" s="1" t="s">
        <v>13</v>
      </c>
      <c r="D72" s="1" t="s">
        <v>56</v>
      </c>
      <c r="E72" s="1" t="s">
        <v>79</v>
      </c>
      <c r="F72" s="1" t="s">
        <v>83</v>
      </c>
      <c r="G72" s="1" t="s">
        <v>88</v>
      </c>
      <c r="H72" s="1" t="s">
        <v>23</v>
      </c>
      <c r="I72" s="1" t="s">
        <v>100</v>
      </c>
      <c r="J72" s="1"/>
      <c r="K72" s="1"/>
      <c r="L72" s="1"/>
      <c r="M72" s="2"/>
      <c r="N72" s="4" t="str">
        <f>Table1[[#This Row],[id2]]&amp;Table1[[#This Row],[name4]]</f>
        <v>13c9bc79-dee5-47a6-8649-ddff6a753bf6Health</v>
      </c>
      <c r="O72" s="4" t="str">
        <f>IF(Table1[[#This Row],[value]]="","",Table1[[#This Row],[value]])</f>
        <v>9</v>
      </c>
      <c r="P72" s="4" t="str">
        <f>Table1[[#This Row],[id2]]&amp;Table1[[#This Row],[name6]]</f>
        <v>13c9bc79-dee5-47a6-8649-ddff6a753bf6</v>
      </c>
      <c r="Q72" s="4" t="str">
        <f>IF(Table1[[#This Row],[value7]]="","",Table1[[#This Row],[value7]])</f>
        <v/>
      </c>
    </row>
    <row r="73" spans="1:17">
      <c r="A73" s="1" t="s">
        <v>116</v>
      </c>
      <c r="B73" s="1" t="s">
        <v>80</v>
      </c>
      <c r="C73" s="1" t="s">
        <v>13</v>
      </c>
      <c r="D73" s="1" t="s">
        <v>56</v>
      </c>
      <c r="E73" s="1" t="s">
        <v>79</v>
      </c>
      <c r="F73" s="1" t="s">
        <v>83</v>
      </c>
      <c r="G73" s="1" t="s">
        <v>88</v>
      </c>
      <c r="H73" s="1" t="s">
        <v>31</v>
      </c>
      <c r="I73" s="1" t="s">
        <v>38</v>
      </c>
      <c r="J73" s="1"/>
      <c r="K73" s="1"/>
      <c r="L73" s="1"/>
      <c r="M73" s="2"/>
      <c r="N73" s="4" t="str">
        <f>Table1[[#This Row],[id2]]&amp;Table1[[#This Row],[name4]]</f>
        <v>13c9bc79-dee5-47a6-8649-ddff6a753bf6Quantity</v>
      </c>
      <c r="O73" s="4" t="str">
        <f>IF(Table1[[#This Row],[value]]="","",Table1[[#This Row],[value]])</f>
        <v>1</v>
      </c>
      <c r="P73" s="4" t="str">
        <f>Table1[[#This Row],[id2]]&amp;Table1[[#This Row],[name6]]</f>
        <v>13c9bc79-dee5-47a6-8649-ddff6a753bf6</v>
      </c>
      <c r="Q73" s="4" t="str">
        <f>IF(Table1[[#This Row],[value7]]="","",Table1[[#This Row],[value7]])</f>
        <v/>
      </c>
    </row>
    <row r="74" spans="1:17">
      <c r="A74" s="1" t="s">
        <v>116</v>
      </c>
      <c r="B74" s="1" t="s">
        <v>80</v>
      </c>
      <c r="C74" s="1" t="s">
        <v>13</v>
      </c>
      <c r="D74" s="1" t="s">
        <v>56</v>
      </c>
      <c r="E74" s="1" t="s">
        <v>79</v>
      </c>
      <c r="F74" s="1" t="s">
        <v>83</v>
      </c>
      <c r="G74" s="1" t="s">
        <v>88</v>
      </c>
      <c r="H74" s="1" t="s">
        <v>25</v>
      </c>
      <c r="I74" s="1" t="s">
        <v>101</v>
      </c>
      <c r="J74" s="1"/>
      <c r="K74" s="1"/>
      <c r="L74" s="1"/>
      <c r="M74" s="2"/>
      <c r="N74" s="4" t="str">
        <f>Table1[[#This Row],[id2]]&amp;Table1[[#This Row],[name4]]</f>
        <v>13c9bc79-dee5-47a6-8649-ddff6a753bf6Text</v>
      </c>
      <c r="O74" s="4" t="str">
        <f>IF(Table1[[#This Row],[value]]="","",Table1[[#This Row],[value]])</f>
        <v>When Revealed: Each character currently committed to a quest gets -1 Ò until the end of the phase.</v>
      </c>
      <c r="P74" s="4" t="str">
        <f>Table1[[#This Row],[id2]]&amp;Table1[[#This Row],[name6]]</f>
        <v>13c9bc79-dee5-47a6-8649-ddff6a753bf6</v>
      </c>
      <c r="Q74" s="4" t="str">
        <f>IF(Table1[[#This Row],[value7]]="","",Table1[[#This Row],[value7]])</f>
        <v/>
      </c>
    </row>
    <row r="75" spans="1:17">
      <c r="A75" s="1" t="s">
        <v>116</v>
      </c>
      <c r="B75" s="1" t="s">
        <v>80</v>
      </c>
      <c r="C75" s="1" t="s">
        <v>13</v>
      </c>
      <c r="D75" s="1" t="s">
        <v>56</v>
      </c>
      <c r="E75" s="1" t="s">
        <v>79</v>
      </c>
      <c r="F75" s="1" t="s">
        <v>83</v>
      </c>
      <c r="G75" s="1" t="s">
        <v>88</v>
      </c>
      <c r="H75" s="1" t="s">
        <v>26</v>
      </c>
      <c r="I75" s="1" t="s">
        <v>102</v>
      </c>
      <c r="J75" s="1"/>
      <c r="K75" s="1"/>
      <c r="L75" s="1"/>
      <c r="M75" s="2"/>
      <c r="N75" s="4" t="str">
        <f>Table1[[#This Row],[id2]]&amp;Table1[[#This Row],[name4]]</f>
        <v>13c9bc79-dee5-47a6-8649-ddff6a753bf6Shadow</v>
      </c>
      <c r="O75" s="4" t="str">
        <f>IF(Table1[[#This Row],[value]]="","",Table1[[#This Row],[value]])</f>
        <v>Shadow: Raise defending player's threat by 4. (Raise defending player's threat by 8 instead if this attack is undefended.)</v>
      </c>
      <c r="P75" s="4" t="str">
        <f>Table1[[#This Row],[id2]]&amp;Table1[[#This Row],[name6]]</f>
        <v>13c9bc79-dee5-47a6-8649-ddff6a753bf6</v>
      </c>
      <c r="Q75" s="4" t="str">
        <f>IF(Table1[[#This Row],[value7]]="","",Table1[[#This Row],[value7]])</f>
        <v/>
      </c>
    </row>
    <row r="76" spans="1:17">
      <c r="A76" s="1" t="s">
        <v>116</v>
      </c>
      <c r="B76" s="1" t="s">
        <v>80</v>
      </c>
      <c r="C76" s="1" t="s">
        <v>13</v>
      </c>
      <c r="D76" s="1" t="s">
        <v>56</v>
      </c>
      <c r="E76" s="1" t="s">
        <v>79</v>
      </c>
      <c r="F76" s="1" t="s">
        <v>83</v>
      </c>
      <c r="G76" s="1" t="s">
        <v>88</v>
      </c>
      <c r="H76" s="1" t="s">
        <v>30</v>
      </c>
      <c r="I76" s="1" t="s">
        <v>103</v>
      </c>
      <c r="J76" s="1"/>
      <c r="K76" s="1"/>
      <c r="L76" s="1"/>
      <c r="M76" s="2"/>
      <c r="N76" s="4" t="str">
        <f>Table1[[#This Row],[id2]]&amp;Table1[[#This Row],[name4]]</f>
        <v>13c9bc79-dee5-47a6-8649-ddff6a753bf6Encounter Set</v>
      </c>
      <c r="O76" s="4" t="str">
        <f>IF(Table1[[#This Row],[value]]="","",Table1[[#This Row],[value]])</f>
        <v>Spiders of Mirkwood</v>
      </c>
      <c r="P76" s="4" t="str">
        <f>Table1[[#This Row],[id2]]&amp;Table1[[#This Row],[name6]]</f>
        <v>13c9bc79-dee5-47a6-8649-ddff6a753bf6</v>
      </c>
      <c r="Q76" s="4" t="str">
        <f>IF(Table1[[#This Row],[value7]]="","",Table1[[#This Row],[value7]])</f>
        <v/>
      </c>
    </row>
    <row r="77" spans="1:17">
      <c r="A77" s="1" t="s">
        <v>116</v>
      </c>
      <c r="B77" s="1" t="s">
        <v>80</v>
      </c>
      <c r="C77" s="1" t="s">
        <v>13</v>
      </c>
      <c r="D77" s="1" t="s">
        <v>56</v>
      </c>
      <c r="E77" s="1" t="s">
        <v>79</v>
      </c>
      <c r="F77" s="1" t="s">
        <v>84</v>
      </c>
      <c r="G77" s="1" t="s">
        <v>89</v>
      </c>
      <c r="H77" s="1" t="s">
        <v>14</v>
      </c>
      <c r="I77" s="1" t="s">
        <v>43</v>
      </c>
      <c r="J77" s="1"/>
      <c r="K77" s="1"/>
      <c r="L77" s="1"/>
      <c r="M77" s="2"/>
      <c r="N77" s="4" t="str">
        <f>Table1[[#This Row],[id2]]&amp;Table1[[#This Row],[name4]]</f>
        <v>bff0cd7a-8fe5-4d18-91e9-d3dbf885b01cType</v>
      </c>
      <c r="O77" s="4" t="str">
        <f>IF(Table1[[#This Row],[value]]="","",Table1[[#This Row],[value]])</f>
        <v>Location</v>
      </c>
      <c r="P77" s="4" t="str">
        <f>Table1[[#This Row],[id2]]&amp;Table1[[#This Row],[name6]]</f>
        <v>bff0cd7a-8fe5-4d18-91e9-d3dbf885b01c</v>
      </c>
      <c r="Q77" s="4" t="str">
        <f>IF(Table1[[#This Row],[value7]]="","",Table1[[#This Row],[value7]])</f>
        <v/>
      </c>
    </row>
    <row r="78" spans="1:17">
      <c r="A78" s="1" t="s">
        <v>116</v>
      </c>
      <c r="B78" s="1" t="s">
        <v>80</v>
      </c>
      <c r="C78" s="1" t="s">
        <v>13</v>
      </c>
      <c r="D78" s="1" t="s">
        <v>56</v>
      </c>
      <c r="E78" s="1" t="s">
        <v>79</v>
      </c>
      <c r="F78" s="1" t="s">
        <v>84</v>
      </c>
      <c r="G78" s="1" t="s">
        <v>89</v>
      </c>
      <c r="H78" s="1" t="s">
        <v>24</v>
      </c>
      <c r="I78" s="1" t="s">
        <v>104</v>
      </c>
      <c r="J78" s="1"/>
      <c r="K78" s="1"/>
      <c r="L78" s="1"/>
      <c r="M78" s="2"/>
      <c r="N78" s="4" t="str">
        <f>Table1[[#This Row],[id2]]&amp;Table1[[#This Row],[name4]]</f>
        <v>bff0cd7a-8fe5-4d18-91e9-d3dbf885b01cTraits</v>
      </c>
      <c r="O78" s="4" t="str">
        <f>IF(Table1[[#This Row],[value]]="","",Table1[[#This Row],[value]])</f>
        <v>Forest.</v>
      </c>
      <c r="P78" s="4" t="str">
        <f>Table1[[#This Row],[id2]]&amp;Table1[[#This Row],[name6]]</f>
        <v>bff0cd7a-8fe5-4d18-91e9-d3dbf885b01c</v>
      </c>
      <c r="Q78" s="4" t="str">
        <f>IF(Table1[[#This Row],[value7]]="","",Table1[[#This Row],[value7]])</f>
        <v/>
      </c>
    </row>
    <row r="79" spans="1:17">
      <c r="A79" s="1" t="s">
        <v>116</v>
      </c>
      <c r="B79" s="1" t="s">
        <v>80</v>
      </c>
      <c r="C79" s="1" t="s">
        <v>13</v>
      </c>
      <c r="D79" s="1" t="s">
        <v>56</v>
      </c>
      <c r="E79" s="1" t="s">
        <v>79</v>
      </c>
      <c r="F79" s="1" t="s">
        <v>84</v>
      </c>
      <c r="G79" s="1" t="s">
        <v>89</v>
      </c>
      <c r="H79" s="1" t="s">
        <v>28</v>
      </c>
      <c r="I79" s="1" t="s">
        <v>37</v>
      </c>
      <c r="J79" s="1"/>
      <c r="K79" s="1"/>
      <c r="L79" s="1"/>
      <c r="M79" s="2"/>
      <c r="N79" s="4" t="str">
        <f>Table1[[#This Row],[id2]]&amp;Table1[[#This Row],[name4]]</f>
        <v>bff0cd7a-8fe5-4d18-91e9-d3dbf885b01cThreat</v>
      </c>
      <c r="O79" s="4" t="str">
        <f>IF(Table1[[#This Row],[value]]="","",Table1[[#This Row],[value]])</f>
        <v>2</v>
      </c>
      <c r="P79" s="4" t="str">
        <f>Table1[[#This Row],[id2]]&amp;Table1[[#This Row],[name6]]</f>
        <v>bff0cd7a-8fe5-4d18-91e9-d3dbf885b01c</v>
      </c>
      <c r="Q79" s="4" t="str">
        <f>IF(Table1[[#This Row],[value7]]="","",Table1[[#This Row],[value7]])</f>
        <v/>
      </c>
    </row>
    <row r="80" spans="1:17">
      <c r="A80" s="1" t="s">
        <v>116</v>
      </c>
      <c r="B80" s="1" t="s">
        <v>80</v>
      </c>
      <c r="C80" s="1" t="s">
        <v>13</v>
      </c>
      <c r="D80" s="1" t="s">
        <v>56</v>
      </c>
      <c r="E80" s="1" t="s">
        <v>79</v>
      </c>
      <c r="F80" s="1" t="s">
        <v>84</v>
      </c>
      <c r="G80" s="1" t="s">
        <v>89</v>
      </c>
      <c r="H80" s="1" t="s">
        <v>29</v>
      </c>
      <c r="I80" s="1" t="s">
        <v>37</v>
      </c>
      <c r="J80" s="1"/>
      <c r="K80" s="1"/>
      <c r="L80" s="1"/>
      <c r="M80" s="2"/>
      <c r="N80" s="4" t="str">
        <f>Table1[[#This Row],[id2]]&amp;Table1[[#This Row],[name4]]</f>
        <v>bff0cd7a-8fe5-4d18-91e9-d3dbf885b01cQuest Points</v>
      </c>
      <c r="O80" s="4" t="str">
        <f>IF(Table1[[#This Row],[value]]="","",Table1[[#This Row],[value]])</f>
        <v>2</v>
      </c>
      <c r="P80" s="4" t="str">
        <f>Table1[[#This Row],[id2]]&amp;Table1[[#This Row],[name6]]</f>
        <v>bff0cd7a-8fe5-4d18-91e9-d3dbf885b01c</v>
      </c>
      <c r="Q80" s="4" t="str">
        <f>IF(Table1[[#This Row],[value7]]="","",Table1[[#This Row],[value7]])</f>
        <v/>
      </c>
    </row>
    <row r="81" spans="1:17">
      <c r="A81" s="1" t="s">
        <v>116</v>
      </c>
      <c r="B81" s="1" t="s">
        <v>80</v>
      </c>
      <c r="C81" s="1" t="s">
        <v>13</v>
      </c>
      <c r="D81" s="1" t="s">
        <v>56</v>
      </c>
      <c r="E81" s="1" t="s">
        <v>79</v>
      </c>
      <c r="F81" s="1" t="s">
        <v>84</v>
      </c>
      <c r="G81" s="1" t="s">
        <v>89</v>
      </c>
      <c r="H81" s="1" t="s">
        <v>31</v>
      </c>
      <c r="I81" s="1" t="s">
        <v>37</v>
      </c>
      <c r="J81" s="1"/>
      <c r="K81" s="1"/>
      <c r="L81" s="1"/>
      <c r="M81" s="2"/>
      <c r="N81" s="4" t="str">
        <f>Table1[[#This Row],[id2]]&amp;Table1[[#This Row],[name4]]</f>
        <v>bff0cd7a-8fe5-4d18-91e9-d3dbf885b01cQuantity</v>
      </c>
      <c r="O81" s="4" t="str">
        <f>IF(Table1[[#This Row],[value]]="","",Table1[[#This Row],[value]])</f>
        <v>2</v>
      </c>
      <c r="P81" s="4" t="str">
        <f>Table1[[#This Row],[id2]]&amp;Table1[[#This Row],[name6]]</f>
        <v>bff0cd7a-8fe5-4d18-91e9-d3dbf885b01c</v>
      </c>
      <c r="Q81" s="4" t="str">
        <f>IF(Table1[[#This Row],[value7]]="","",Table1[[#This Row],[value7]])</f>
        <v/>
      </c>
    </row>
    <row r="82" spans="1:17">
      <c r="A82" s="1" t="s">
        <v>116</v>
      </c>
      <c r="B82" s="1" t="s">
        <v>80</v>
      </c>
      <c r="C82" s="1" t="s">
        <v>13</v>
      </c>
      <c r="D82" s="1" t="s">
        <v>56</v>
      </c>
      <c r="E82" s="1" t="s">
        <v>79</v>
      </c>
      <c r="F82" s="1" t="s">
        <v>84</v>
      </c>
      <c r="G82" s="1" t="s">
        <v>89</v>
      </c>
      <c r="H82" s="1" t="s">
        <v>25</v>
      </c>
      <c r="I82" s="1" t="s">
        <v>105</v>
      </c>
      <c r="J82" s="1"/>
      <c r="K82" s="1"/>
      <c r="L82" s="1"/>
      <c r="M82" s="2"/>
      <c r="N82" s="4" t="str">
        <f>Table1[[#This Row],[id2]]&amp;Table1[[#This Row],[name4]]</f>
        <v>bff0cd7a-8fe5-4d18-91e9-d3dbf885b01cText</v>
      </c>
      <c r="O82" s="4" t="str">
        <f>IF(Table1[[#This Row],[value]]="","",Table1[[#This Row],[value]])</f>
        <v>Travel: Each player must exhaust 1 hero he controls to travel here.</v>
      </c>
      <c r="P82" s="4" t="str">
        <f>Table1[[#This Row],[id2]]&amp;Table1[[#This Row],[name6]]</f>
        <v>bff0cd7a-8fe5-4d18-91e9-d3dbf885b01c</v>
      </c>
      <c r="Q82" s="4" t="str">
        <f>IF(Table1[[#This Row],[value7]]="","",Table1[[#This Row],[value7]])</f>
        <v/>
      </c>
    </row>
    <row r="83" spans="1:17">
      <c r="A83" s="1" t="s">
        <v>116</v>
      </c>
      <c r="B83" s="1" t="s">
        <v>80</v>
      </c>
      <c r="C83" s="1" t="s">
        <v>13</v>
      </c>
      <c r="D83" s="1" t="s">
        <v>56</v>
      </c>
      <c r="E83" s="1" t="s">
        <v>79</v>
      </c>
      <c r="F83" s="1" t="s">
        <v>84</v>
      </c>
      <c r="G83" s="1" t="s">
        <v>89</v>
      </c>
      <c r="H83" s="1" t="s">
        <v>30</v>
      </c>
      <c r="I83" s="1" t="s">
        <v>103</v>
      </c>
      <c r="J83" s="1"/>
      <c r="K83" s="1"/>
      <c r="L83" s="1"/>
      <c r="M83" s="2"/>
      <c r="N83" s="4" t="str">
        <f>Table1[[#This Row],[id2]]&amp;Table1[[#This Row],[name4]]</f>
        <v>bff0cd7a-8fe5-4d18-91e9-d3dbf885b01cEncounter Set</v>
      </c>
      <c r="O83" s="4" t="str">
        <f>IF(Table1[[#This Row],[value]]="","",Table1[[#This Row],[value]])</f>
        <v>Spiders of Mirkwood</v>
      </c>
      <c r="P83" s="4" t="str">
        <f>Table1[[#This Row],[id2]]&amp;Table1[[#This Row],[name6]]</f>
        <v>bff0cd7a-8fe5-4d18-91e9-d3dbf885b01c</v>
      </c>
      <c r="Q83" s="4" t="str">
        <f>IF(Table1[[#This Row],[value7]]="","",Table1[[#This Row],[value7]])</f>
        <v/>
      </c>
    </row>
    <row r="84" spans="1:17">
      <c r="A84" s="1" t="s">
        <v>116</v>
      </c>
      <c r="B84" s="1" t="s">
        <v>80</v>
      </c>
      <c r="C84" s="1" t="s">
        <v>13</v>
      </c>
      <c r="D84" s="1" t="s">
        <v>56</v>
      </c>
      <c r="E84" s="1" t="s">
        <v>79</v>
      </c>
      <c r="F84" s="1" t="s">
        <v>85</v>
      </c>
      <c r="G84" s="1" t="s">
        <v>90</v>
      </c>
      <c r="H84" s="1" t="s">
        <v>14</v>
      </c>
      <c r="I84" s="1" t="s">
        <v>44</v>
      </c>
      <c r="J84" s="1"/>
      <c r="K84" s="1"/>
      <c r="L84" s="1"/>
      <c r="M84" s="2"/>
      <c r="N84" s="4" t="str">
        <f>Table1[[#This Row],[id2]]&amp;Table1[[#This Row],[name4]]</f>
        <v>86a8cb61-a4d2-40f7-82a7-adfe5a835acdType</v>
      </c>
      <c r="O84" s="4" t="str">
        <f>IF(Table1[[#This Row],[value]]="","",Table1[[#This Row],[value]])</f>
        <v>Quest</v>
      </c>
      <c r="P84" s="4" t="str">
        <f>Table1[[#This Row],[id2]]&amp;Table1[[#This Row],[name6]]</f>
        <v>86a8cb61-a4d2-40f7-82a7-adfe5a835acd</v>
      </c>
      <c r="Q84" s="4" t="str">
        <f>IF(Table1[[#This Row],[value7]]="","",Table1[[#This Row],[value7]])</f>
        <v/>
      </c>
    </row>
    <row r="85" spans="1:17">
      <c r="A85" s="1" t="s">
        <v>116</v>
      </c>
      <c r="B85" s="1" t="s">
        <v>80</v>
      </c>
      <c r="C85" s="1" t="s">
        <v>13</v>
      </c>
      <c r="D85" s="1" t="s">
        <v>56</v>
      </c>
      <c r="E85" s="1" t="s">
        <v>79</v>
      </c>
      <c r="F85" s="1" t="s">
        <v>85</v>
      </c>
      <c r="G85" s="1" t="s">
        <v>90</v>
      </c>
      <c r="H85" s="1" t="s">
        <v>31</v>
      </c>
      <c r="I85" s="1" t="s">
        <v>38</v>
      </c>
      <c r="J85" s="1"/>
      <c r="K85" s="1"/>
      <c r="L85" s="1"/>
      <c r="M85" s="2"/>
      <c r="N85" s="4" t="str">
        <f>Table1[[#This Row],[id2]]&amp;Table1[[#This Row],[name4]]</f>
        <v>86a8cb61-a4d2-40f7-82a7-adfe5a835acdQuantity</v>
      </c>
      <c r="O85" s="4" t="str">
        <f>IF(Table1[[#This Row],[value]]="","",Table1[[#This Row],[value]])</f>
        <v>1</v>
      </c>
      <c r="P85" s="4" t="str">
        <f>Table1[[#This Row],[id2]]&amp;Table1[[#This Row],[name6]]</f>
        <v>86a8cb61-a4d2-40f7-82a7-adfe5a835acd</v>
      </c>
      <c r="Q85" s="4" t="str">
        <f>IF(Table1[[#This Row],[value7]]="","",Table1[[#This Row],[value7]])</f>
        <v/>
      </c>
    </row>
    <row r="86" spans="1:17">
      <c r="A86" s="1" t="s">
        <v>116</v>
      </c>
      <c r="B86" s="1" t="s">
        <v>80</v>
      </c>
      <c r="C86" s="1" t="s">
        <v>13</v>
      </c>
      <c r="D86" s="1" t="s">
        <v>56</v>
      </c>
      <c r="E86" s="1" t="s">
        <v>79</v>
      </c>
      <c r="F86" s="1" t="s">
        <v>85</v>
      </c>
      <c r="G86" s="1" t="s">
        <v>90</v>
      </c>
      <c r="H86" s="1" t="s">
        <v>25</v>
      </c>
      <c r="I86" s="1" t="s">
        <v>106</v>
      </c>
      <c r="J86" s="1"/>
      <c r="K86" s="1"/>
      <c r="L86" s="1"/>
      <c r="M86" s="2"/>
      <c r="N86" s="4" t="str">
        <f>Table1[[#This Row],[id2]]&amp;Table1[[#This Row],[name4]]</f>
        <v>86a8cb61-a4d2-40f7-82a7-adfe5a835acdText</v>
      </c>
      <c r="O86"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6" s="4" t="str">
        <f>Table1[[#This Row],[id2]]&amp;Table1[[#This Row],[name6]]</f>
        <v>86a8cb61-a4d2-40f7-82a7-adfe5a835acd</v>
      </c>
      <c r="Q86" s="4" t="str">
        <f>IF(Table1[[#This Row],[value7]]="","",Table1[[#This Row],[value7]])</f>
        <v/>
      </c>
    </row>
    <row r="87" spans="1:17">
      <c r="A87" s="1" t="s">
        <v>116</v>
      </c>
      <c r="B87" s="1" t="s">
        <v>80</v>
      </c>
      <c r="C87" s="1" t="s">
        <v>13</v>
      </c>
      <c r="D87" s="1" t="s">
        <v>56</v>
      </c>
      <c r="E87" s="1" t="s">
        <v>79</v>
      </c>
      <c r="F87" s="1" t="s">
        <v>85</v>
      </c>
      <c r="G87" s="1" t="s">
        <v>90</v>
      </c>
      <c r="H87" s="1" t="s">
        <v>30</v>
      </c>
      <c r="I87" s="1" t="s">
        <v>107</v>
      </c>
      <c r="J87" s="1"/>
      <c r="K87" s="1"/>
      <c r="L87" s="1"/>
      <c r="M87" s="2"/>
      <c r="N87" s="4" t="str">
        <f>Table1[[#This Row],[id2]]&amp;Table1[[#This Row],[name4]]</f>
        <v>86a8cb61-a4d2-40f7-82a7-adfe5a835acdEncounter Set</v>
      </c>
      <c r="O87" s="4" t="str">
        <f>IF(Table1[[#This Row],[value]]="","",Table1[[#This Row],[value]])</f>
        <v>Escape from Dol Guldur</v>
      </c>
      <c r="P87" s="4" t="str">
        <f>Table1[[#This Row],[id2]]&amp;Table1[[#This Row],[name6]]</f>
        <v>86a8cb61-a4d2-40f7-82a7-adfe5a835acd</v>
      </c>
      <c r="Q87" s="4" t="str">
        <f>IF(Table1[[#This Row],[value7]]="","",Table1[[#This Row],[value7]])</f>
        <v/>
      </c>
    </row>
    <row r="88" spans="1:17">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A1:K6"/>
  <sheetViews>
    <sheetView topLeftCell="B1"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113</v>
      </c>
      <c r="J1" s="3" t="s">
        <v>114</v>
      </c>
      <c r="K1" s="3" t="s">
        <v>4</v>
      </c>
    </row>
    <row r="2" spans="1:11">
      <c r="A2" t="s">
        <v>116</v>
      </c>
      <c r="B2" t="s">
        <v>81</v>
      </c>
      <c r="C2" t="s">
        <v>80</v>
      </c>
      <c r="D2" t="s">
        <v>86</v>
      </c>
      <c r="F2" t="s">
        <v>85</v>
      </c>
      <c r="G2" t="s">
        <v>109</v>
      </c>
      <c r="I2" t="s">
        <v>80</v>
      </c>
      <c r="J2" t="s">
        <v>116</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Z6"/>
  <sheetViews>
    <sheetView showRowColHeaders="0" workbookViewId="0">
      <pane ySplit="1" topLeftCell="A2" activePane="bottomLeft" state="frozen"/>
      <selection activeCell="I1" sqref="I1"/>
      <selection pane="bottomLeft"/>
    </sheetView>
  </sheetViews>
  <sheetFormatPr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02">
      <c r="A1" s="8" t="s">
        <v>46</v>
      </c>
      <c r="B1" s="8" t="s">
        <v>50</v>
      </c>
      <c r="C1" s="9" t="s">
        <v>57</v>
      </c>
      <c r="D1" s="9" t="s">
        <v>55</v>
      </c>
      <c r="E1" s="8" t="s">
        <v>48</v>
      </c>
      <c r="F1" s="9" t="s">
        <v>18</v>
      </c>
      <c r="G1" s="8" t="s">
        <v>14</v>
      </c>
      <c r="H1" s="8" t="s">
        <v>15</v>
      </c>
      <c r="I1" s="8" t="s">
        <v>24</v>
      </c>
      <c r="J1" s="10" t="s">
        <v>27</v>
      </c>
      <c r="K1" s="9" t="s">
        <v>16</v>
      </c>
      <c r="L1" s="9" t="s">
        <v>17</v>
      </c>
      <c r="M1" s="9" t="s">
        <v>28</v>
      </c>
      <c r="N1" s="9" t="s">
        <v>22</v>
      </c>
      <c r="O1" s="9" t="s">
        <v>20</v>
      </c>
      <c r="P1" s="9" t="s">
        <v>21</v>
      </c>
      <c r="Q1" s="9" t="s">
        <v>23</v>
      </c>
      <c r="R1" s="9" t="s">
        <v>29</v>
      </c>
      <c r="S1" s="9" t="s">
        <v>31</v>
      </c>
      <c r="T1" s="9" t="s">
        <v>32</v>
      </c>
      <c r="U1" s="10" t="s">
        <v>25</v>
      </c>
      <c r="V1" s="10" t="s">
        <v>26</v>
      </c>
      <c r="W1" s="8" t="s">
        <v>30</v>
      </c>
      <c r="X1" s="8" t="s">
        <v>19</v>
      </c>
      <c r="Y1" s="8" t="s">
        <v>49</v>
      </c>
      <c r="Z1" s="10" t="s">
        <v>25</v>
      </c>
    </row>
    <row r="2" spans="1:26" ht="90">
      <c r="A2" s="6" t="str">
        <f>VLOOKUP(B2,IDS!$B:$D,2,FALSE)</f>
        <v>61747121-05d1-4216-8c22-06dcc958e7a3</v>
      </c>
      <c r="B2" s="6" t="str">
        <f>IDS!B2</f>
        <v>cd20023c-210a-498f-9183-65c461183c4c</v>
      </c>
      <c r="E2" s="6" t="str">
        <f>IDS!D2</f>
        <v>Aragorn</v>
      </c>
      <c r="F2" s="6" t="str">
        <f>IFERROR(VLOOKUP($B2&amp;F$1,Import!$N:$O,2,FALSE),"")</f>
        <v>‰</v>
      </c>
      <c r="G2" s="6" t="str">
        <f>IFERROR(VLOOKUP($B2&amp;G$1,Import!$N:$O,2,FALSE),"")</f>
        <v>Hero</v>
      </c>
      <c r="H2" s="6" t="str">
        <f>IFERROR(VLOOKUP($B2&amp;H$1,Import!$N:$O,2,FALSE),"")</f>
        <v>Leadership</v>
      </c>
      <c r="I2" s="6" t="str">
        <f>IFERROR(VLOOKUP($B2&amp;I$1,Import!$N:$O,2,FALSE),"")</f>
        <v>Dunedain. Noble. Ranger.</v>
      </c>
      <c r="J2" s="7" t="str">
        <f>IFERROR(VLOOKUP($B2&amp;J$1,Import!$N:$O,2,FALSE),"")</f>
        <v>Sentinel.</v>
      </c>
      <c r="K2" s="6">
        <f>IFERROR(VALUE(IFERROR(VLOOKUP($B2&amp;K$1,Import!$N:$O,2,FALSE),"")),IFERROR(VLOOKUP($B2&amp;K$1,Import!$N:$O,2,FALSE),""))</f>
        <v>12</v>
      </c>
      <c r="L2" s="6" t="str">
        <f>IFERROR(VALUE(IFERROR(VLOOKUP($B2&amp;L$1,Import!$N:$O,2,FALSE),"")),IFERROR(VLOOKUP($B2&amp;L$1,Import!$N:$O,2,FALSE),""))</f>
        <v/>
      </c>
      <c r="M2" s="6" t="str">
        <f>IFERROR(VALUE(IFERROR(VLOOKUP($B2&amp;M$1,Import!$N:$O,2,FALSE),"")),IFERROR(VLOOKUP($B2&amp;M$1,Import!$N:$O,2,FALSE),""))</f>
        <v/>
      </c>
      <c r="N2" s="6">
        <f>IFERROR(VALUE(IFERROR(VLOOKUP($B2&amp;N$1,Import!$N:$O,2,FALSE),"")),IFERROR(VLOOKUP($B2&amp;N$1,Import!$N:$O,2,FALSE),""))</f>
        <v>2</v>
      </c>
      <c r="O2" s="6">
        <f>IFERROR(VALUE(IFERROR(VLOOKUP($B2&amp;O$1,Import!$N:$O,2,FALSE),"")),IFERROR(VLOOKUP($B2&amp;O$1,Import!$N:$O,2,FALSE),""))</f>
        <v>3</v>
      </c>
      <c r="P2" s="6">
        <f>IFERROR(VALUE(IFERROR(VLOOKUP($B2&amp;P$1,Import!$N:$O,2,FALSE),"")),IFERROR(VLOOKUP($B2&amp;P$1,Import!$N:$O,2,FALSE),""))</f>
        <v>2</v>
      </c>
      <c r="Q2" s="6">
        <f>IFERROR(VALUE(IFERROR(VLOOKUP($B2&amp;Q$1,Import!$N:$O,2,FALSE),"")),IFERROR(VLOOKUP($B2&amp;Q$1,Import!$N:$O,2,FALSE),""))</f>
        <v>5</v>
      </c>
      <c r="R2" s="6" t="str">
        <f>IF(IFERROR(VLOOKUP($B2&amp;R$1,Import!$P:$Q,2,FALSE),"")="",IFERROR(VALUE(IFERROR(VLOOKUP($B2&amp;R$1,Import!$N:$O,2,FALSE),"")),IFERROR(VLOOKUP($B2&amp;R$1,Import!$N:$O,2,FALSE),"")),IFERROR(VALUE(IFERROR(VLOOKUP($B2&amp;R$1,Import!$P:$Q,2,FALSE),"")),IFERROR(VLOOKUP($B2&amp;R$1,Import!$P:$Q,2,FALSE),"")))</f>
        <v/>
      </c>
      <c r="S2" s="6">
        <f>IFERROR(VALUE(IFERROR(VLOOKUP($B2&amp;S$1,Import!$N:$O,2,FALSE),"")),IFERROR(VLOOKUP($B2&amp;S$1,Import!$N:$O,2,FALSE),""))</f>
        <v>1</v>
      </c>
      <c r="T2" s="6" t="str">
        <f>IFERROR(VALUE(IFERROR(VLOOKUP($B2&amp;T$1,Import!$N:$O,2,FALSE),"")),IFERROR(VLOOKUP($B2&amp;T$1,Import!$N:$O,2,FALSE),""))</f>
        <v/>
      </c>
      <c r="U2" s="7" t="str">
        <f>IFERROR(VLOOKUP($B2&amp;U$1,Import!$N:$O,2,FALSE),"")</f>
        <v>Response: After Aragorn commits to a quest, spend 1 resource from his resource pool to ready him. 
You can now use "Quotes" &amp; Ampersands!
hit "ALT+Enter" for 
Newlines!</v>
      </c>
      <c r="V2" s="7" t="str">
        <f>IFERROR(VLOOKUP($B2&amp;V$1,Import!$N:$O,2,FALSE),"")</f>
        <v/>
      </c>
      <c r="W2" s="6" t="str">
        <f>IFERROR(VLOOKUP($B2&amp;W$1,Import!$N:$O,2,FALSE),"")</f>
        <v/>
      </c>
      <c r="X2" s="6" t="str">
        <f>IFERROR(VLOOKUP($B2&amp;X$1,Import!$N:$O,2,FALSE),"")</f>
        <v/>
      </c>
      <c r="Y2" s="6" t="str">
        <f>IFERROR(VLOOKUP(B2,IDS!$F:$G,2,FALSE),"")</f>
        <v/>
      </c>
      <c r="Z2" s="7" t="str">
        <f>IFERROR(VLOOKUP($B2&amp;Z$1,Import!$P:$Q,2,FALSE),"")</f>
        <v/>
      </c>
    </row>
    <row r="3" spans="1:26" ht="30">
      <c r="A3" s="6" t="str">
        <f>VLOOKUP(B3,IDS!$B:$D,2,FALSE)</f>
        <v>61747121-05d1-4216-8c22-06dcc958e7a3</v>
      </c>
      <c r="B3" s="6" t="str">
        <f>IDS!B3</f>
        <v>ec979e5e-270f-41dd-9ea4-de77431a423a</v>
      </c>
      <c r="E3" s="6" t="str">
        <f>IDS!D3</f>
        <v>Protector of Lórien</v>
      </c>
      <c r="F3" s="6" t="str">
        <f>IFERROR(VLOOKUP($B3&amp;F$1,Import!$N:$O,2,FALSE),"")</f>
        <v/>
      </c>
      <c r="G3" s="6" t="str">
        <f>IFERROR(VLOOKUP($B3&amp;G$1,Import!$N:$O,2,FALSE),"")</f>
        <v>Attachment</v>
      </c>
      <c r="H3" s="6" t="str">
        <f>IFERROR(VLOOKUP($B3&amp;H$1,Import!$N:$O,2,FALSE),"")</f>
        <v>Lore</v>
      </c>
      <c r="I3" s="6" t="str">
        <f>IFERROR(VLOOKUP($B3&amp;I$1,Import!$N:$O,2,FALSE),"")</f>
        <v>Title.</v>
      </c>
      <c r="J3" s="7" t="str">
        <f>IFERROR(VLOOKUP($B3&amp;J$1,Import!$N:$O,2,FALSE),"")</f>
        <v>Attach to a hero.</v>
      </c>
      <c r="K3" s="6">
        <f>IFERROR(VALUE(IFERROR(VLOOKUP($B3&amp;K$1,Import!$N:$O,2,FALSE),"")),IFERROR(VLOOKUP($B3&amp;K$1,Import!$N:$O,2,FALSE),""))</f>
        <v>1</v>
      </c>
      <c r="L3" s="6" t="str">
        <f>IFERROR(VALUE(IFERROR(VLOOKUP($B3&amp;L$1,Import!$N:$O,2,FALSE),"")),IFERROR(VLOOKUP($B3&amp;L$1,Import!$N:$O,2,FALSE),""))</f>
        <v/>
      </c>
      <c r="M3" s="6" t="str">
        <f>IFERROR(VALUE(IFERROR(VLOOKUP($B3&amp;M$1,Import!$N:$O,2,FALSE),"")),IFERROR(VLOOKUP($B3&amp;M$1,Import!$N:$O,2,FALSE),""))</f>
        <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IFERROR(VLOOKUP($B3&amp;R$1,Import!$P:$Q,2,FALSE),"")="",IFERROR(VALUE(IFERROR(VLOOKUP($B3&amp;R$1,Import!$N:$O,2,FALSE),"")),IFERROR(VLOOKUP($B3&amp;R$1,Import!$N:$O,2,FALSE),"")),IFERROR(VALUE(IFERROR(VLOOKUP($B3&amp;R$1,Import!$P:$Q,2,FALSE),"")),IFERROR(VLOOKUP($B3&amp;R$1,Import!$P:$Q,2,FALSE),"")))</f>
        <v/>
      </c>
      <c r="S3" s="6">
        <f>IFERROR(VALUE(IFERROR(VLOOKUP($B3&amp;S$1,Import!$N:$O,2,FALSE),"")),IFERROR(VLOOKUP($B3&amp;S$1,Import!$N:$O,2,FALSE),""))</f>
        <v>2</v>
      </c>
      <c r="T3" s="6" t="str">
        <f>IFERROR(VALUE(IFERROR(VLOOKUP($B3&amp;T$1,Import!$N:$O,2,FALSE),"")),IFERROR(VLOOKUP($B3&amp;T$1,Import!$N:$O,2,FALSE),""))</f>
        <v/>
      </c>
      <c r="U3" s="7" t="str">
        <f>IFERROR(VLOOKUP($B3&amp;U$1,Import!$N:$O,2,FALSE),"")</f>
        <v>Action: Discard a card from your hand to give attached hero +1 Ú or +1 Ò until the end of the phase. Limit 3 times per phase.</v>
      </c>
      <c r="V3" s="7" t="str">
        <f>IFERROR(VLOOKUP($B3&amp;V$1,Import!$N:$O,2,FALSE),"")</f>
        <v/>
      </c>
      <c r="W3" s="6" t="str">
        <f>IFERROR(VLOOKUP($B3&amp;W$1,Import!$N:$O,2,FALSE),"")</f>
        <v/>
      </c>
      <c r="X3" s="6" t="str">
        <f>IFERROR(VLOOKUP($B3&amp;X$1,Import!$N:$O,2,FALSE),"")</f>
        <v/>
      </c>
      <c r="Y3" s="6" t="str">
        <f>IFERROR(VLOOKUP(B3,IDS!$F:$G,2,FALSE),"")</f>
        <v/>
      </c>
      <c r="Z3" s="7" t="str">
        <f>IFERROR(VLOOKUP($B3&amp;Z$1,Import!$P:$Q,2,FALSE),"")</f>
        <v/>
      </c>
    </row>
    <row r="4" spans="1:26" ht="30">
      <c r="A4" s="6" t="str">
        <f>VLOOKUP(B4,IDS!$B:$D,2,FALSE)</f>
        <v>61747121-05d1-4216-8c22-06dcc958e7a3</v>
      </c>
      <c r="B4" s="6" t="str">
        <f>IDS!B4</f>
        <v>13c9bc79-dee5-47a6-8649-ddff6a753bf6</v>
      </c>
      <c r="E4" s="6" t="str">
        <f>IDS!D4</f>
        <v>Ungoliant's Spawn</v>
      </c>
      <c r="F4" s="6" t="str">
        <f>IFERROR(VLOOKUP($B4&amp;F$1,Import!$N:$O,2,FALSE),"")</f>
        <v/>
      </c>
      <c r="G4" s="6" t="str">
        <f>IFERROR(VLOOKUP($B4&amp;G$1,Import!$N:$O,2,FALSE),"")</f>
        <v>Enemy</v>
      </c>
      <c r="H4" s="6" t="str">
        <f>IFERROR(VLOOKUP($B4&amp;H$1,Import!$N:$O,2,FALSE),"")</f>
        <v/>
      </c>
      <c r="I4" s="6" t="str">
        <f>IFERROR(VLOOKUP($B4&amp;I$1,Import!$N:$O,2,FALSE),"")</f>
        <v>Creature. Spider.</v>
      </c>
      <c r="J4" s="7" t="str">
        <f>IFERROR(VLOOKUP($B4&amp;J$1,Import!$N:$O,2,FALSE),"")</f>
        <v/>
      </c>
      <c r="K4" s="6" t="str">
        <f>IFERROR(VALUE(IFERROR(VLOOKUP($B4&amp;K$1,Import!$N:$O,2,FALSE),"")),IFERROR(VLOOKUP($B4&amp;K$1,Import!$N:$O,2,FALSE),""))</f>
        <v/>
      </c>
      <c r="L4" s="6">
        <f>IFERROR(VALUE(IFERROR(VLOOKUP($B4&amp;L$1,Import!$N:$O,2,FALSE),"")),IFERROR(VLOOKUP($B4&amp;L$1,Import!$N:$O,2,FALSE),""))</f>
        <v>32</v>
      </c>
      <c r="M4" s="6">
        <f>IFERROR(VALUE(IFERROR(VLOOKUP($B4&amp;M$1,Import!$N:$O,2,FALSE),"")),IFERROR(VLOOKUP($B4&amp;M$1,Import!$N:$O,2,FALSE),""))</f>
        <v>3</v>
      </c>
      <c r="N4" s="6" t="str">
        <f>IFERROR(VALUE(IFERROR(VLOOKUP($B4&amp;N$1,Import!$N:$O,2,FALSE),"")),IFERROR(VLOOKUP($B4&amp;N$1,Import!$N:$O,2,FALSE),""))</f>
        <v/>
      </c>
      <c r="O4" s="6">
        <f>IFERROR(VALUE(IFERROR(VLOOKUP($B4&amp;O$1,Import!$N:$O,2,FALSE),"")),IFERROR(VLOOKUP($B4&amp;O$1,Import!$N:$O,2,FALSE),""))</f>
        <v>5</v>
      </c>
      <c r="P4" s="6">
        <f>IFERROR(VALUE(IFERROR(VLOOKUP($B4&amp;P$1,Import!$N:$O,2,FALSE),"")),IFERROR(VLOOKUP($B4&amp;P$1,Import!$N:$O,2,FALSE),""))</f>
        <v>2</v>
      </c>
      <c r="Q4" s="6">
        <f>IFERROR(VALUE(IFERROR(VLOOKUP($B4&amp;Q$1,Import!$N:$O,2,FALSE),"")),IFERROR(VLOOKUP($B4&amp;Q$1,Import!$N:$O,2,FALSE),""))</f>
        <v>9</v>
      </c>
      <c r="R4" s="6" t="str">
        <f>IF(IFERROR(VLOOKUP($B4&amp;R$1,Import!$P:$Q,2,FALSE),"")="",IFERROR(VALUE(IFERROR(VLOOKUP($B4&amp;R$1,Import!$N:$O,2,FALSE),"")),IFERROR(VLOOKUP($B4&amp;R$1,Import!$N:$O,2,FALSE),"")),IFERROR(VALUE(IFERROR(VLOOKUP($B4&amp;R$1,Import!$P:$Q,2,FALSE),"")),IFERROR(VLOOKUP($B4&amp;R$1,Import!$P:$Q,2,FALSE),"")))</f>
        <v/>
      </c>
      <c r="S4" s="6">
        <f>IFERROR(VALUE(IFERROR(VLOOKUP($B4&amp;S$1,Import!$N:$O,2,FALSE),"")),IFERROR(VLOOKUP($B4&amp;S$1,Import!$N:$O,2,FALSE),""))</f>
        <v>1</v>
      </c>
      <c r="T4" s="6" t="str">
        <f>IFERROR(VALUE(IFERROR(VLOOKUP($B4&amp;T$1,Import!$N:$O,2,FALSE),"")),IFERROR(VLOOKUP($B4&amp;T$1,Import!$N:$O,2,FALSE),""))</f>
        <v/>
      </c>
      <c r="U4" s="7" t="str">
        <f>IFERROR(VLOOKUP($B4&amp;U$1,Import!$N:$O,2,FALSE),"")</f>
        <v>When Revealed: Each character currently committed to a quest gets -1 Ò until the end of the phase.</v>
      </c>
      <c r="V4" s="7" t="str">
        <f>IFERROR(VLOOKUP($B4&amp;V$1,Import!$N:$O,2,FALSE),"")</f>
        <v>Shadow: Raise defending player's threat by 4. (Raise defending player's threat by 8 instead if this attack is undefended.)</v>
      </c>
      <c r="W4" s="6" t="str">
        <f>IFERROR(VLOOKUP($B4&amp;W$1,Import!$N:$O,2,FALSE),"")</f>
        <v>Spiders of Mirkwood</v>
      </c>
      <c r="X4" s="6" t="str">
        <f>IFERROR(VLOOKUP($B4&amp;X$1,Import!$N:$O,2,FALSE),"")</f>
        <v/>
      </c>
      <c r="Y4" s="6" t="str">
        <f>IFERROR(VLOOKUP(B4,IDS!$F:$G,2,FALSE),"")</f>
        <v/>
      </c>
      <c r="Z4" s="7" t="str">
        <f>IFERROR(VLOOKUP($B4&amp;Z$1,Import!$P:$Q,2,FALSE),"")</f>
        <v/>
      </c>
    </row>
    <row r="5" spans="1:26" ht="30">
      <c r="A5" s="6" t="str">
        <f>VLOOKUP(B5,IDS!$B:$D,2,FALSE)</f>
        <v>61747121-05d1-4216-8c22-06dcc958e7a3</v>
      </c>
      <c r="B5" s="6" t="str">
        <f>IDS!B5</f>
        <v>bff0cd7a-8fe5-4d18-91e9-d3dbf885b01c</v>
      </c>
      <c r="E5" s="6" t="str">
        <f>IDS!D5</f>
        <v>Great Forest Web</v>
      </c>
      <c r="F5" s="6" t="str">
        <f>IFERROR(VLOOKUP($B5&amp;F$1,Import!$N:$O,2,FALSE),"")</f>
        <v/>
      </c>
      <c r="G5" s="6" t="str">
        <f>IFERROR(VLOOKUP($B5&amp;G$1,Import!$N:$O,2,FALSE),"")</f>
        <v>Location</v>
      </c>
      <c r="H5" s="6" t="str">
        <f>IFERROR(VLOOKUP($B5&amp;H$1,Import!$N:$O,2,FALSE),"")</f>
        <v/>
      </c>
      <c r="I5" s="6" t="str">
        <f>IFERROR(VLOOKUP($B5&amp;I$1,Import!$N:$O,2,FALSE),"")</f>
        <v>Forest.</v>
      </c>
      <c r="J5" s="7" t="str">
        <f>IFERROR(VLOOKUP($B5&amp;J$1,Import!$N:$O,2,FALSE),"")</f>
        <v/>
      </c>
      <c r="K5" s="6" t="str">
        <f>IFERROR(VALUE(IFERROR(VLOOKUP($B5&amp;K$1,Import!$N:$O,2,FALSE),"")),IFERROR(VLOOKUP($B5&amp;K$1,Import!$N:$O,2,FALSE),""))</f>
        <v/>
      </c>
      <c r="L5" s="6" t="str">
        <f>IFERROR(VALUE(IFERROR(VLOOKUP($B5&amp;L$1,Import!$N:$O,2,FALSE),"")),IFERROR(VLOOKUP($B5&amp;L$1,Import!$N:$O,2,FALSE),""))</f>
        <v/>
      </c>
      <c r="M5" s="6">
        <f>IFERROR(VALUE(IFERROR(VLOOKUP($B5&amp;M$1,Import!$N:$O,2,FALSE),"")),IFERROR(VLOOKUP($B5&amp;M$1,Import!$N:$O,2,FALSE),""))</f>
        <v>2</v>
      </c>
      <c r="N5" s="6" t="str">
        <f>IFERROR(VALUE(IFERROR(VLOOKUP($B5&amp;N$1,Import!$N:$O,2,FALSE),"")),IFERROR(VLOOKUP($B5&amp;N$1,Import!$N:$O,2,FALSE),""))</f>
        <v/>
      </c>
      <c r="O5" s="6" t="str">
        <f>IFERROR(VALUE(IFERROR(VLOOKUP($B5&amp;O$1,Import!$N:$O,2,FALSE),"")),IFERROR(VLOOKUP($B5&amp;O$1,Import!$N:$O,2,FALSE),""))</f>
        <v/>
      </c>
      <c r="P5" s="6" t="str">
        <f>IFERROR(VALUE(IFERROR(VLOOKUP($B5&amp;P$1,Import!$N:$O,2,FALSE),"")),IFERROR(VLOOKUP($B5&amp;P$1,Import!$N:$O,2,FALSE),""))</f>
        <v/>
      </c>
      <c r="Q5" s="6" t="str">
        <f>IFERROR(VALUE(IFERROR(VLOOKUP($B5&amp;Q$1,Import!$N:$O,2,FALSE),"")),IFERROR(VLOOKUP($B5&amp;Q$1,Import!$N:$O,2,FALSE),""))</f>
        <v/>
      </c>
      <c r="R5" s="6">
        <f>IF(IFERROR(VLOOKUP($B5&amp;R$1,Import!$P:$Q,2,FALSE),"")="",IFERROR(VALUE(IFERROR(VLOOKUP($B5&amp;R$1,Import!$N:$O,2,FALSE),"")),IFERROR(VLOOKUP($B5&amp;R$1,Import!$N:$O,2,FALSE),"")),IFERROR(VALUE(IFERROR(VLOOKUP($B5&amp;R$1,Import!$P:$Q,2,FALSE),"")),IFERROR(VLOOKUP($B5&amp;R$1,Import!$P:$Q,2,FALSE),"")))</f>
        <v>2</v>
      </c>
      <c r="S5" s="6">
        <f>IFERROR(VALUE(IFERROR(VLOOKUP($B5&amp;S$1,Import!$N:$O,2,FALSE),"")),IFERROR(VLOOKUP($B5&amp;S$1,Import!$N:$O,2,FALSE),""))</f>
        <v>2</v>
      </c>
      <c r="T5" s="6" t="str">
        <f>IFERROR(VALUE(IFERROR(VLOOKUP($B5&amp;T$1,Import!$N:$O,2,FALSE),"")),IFERROR(VLOOKUP($B5&amp;T$1,Import!$N:$O,2,FALSE),""))</f>
        <v/>
      </c>
      <c r="U5" s="7" t="str">
        <f>IFERROR(VLOOKUP($B5&amp;U$1,Import!$N:$O,2,FALSE),"")</f>
        <v>Travel: Each player must exhaust 1 hero he controls to travel here.</v>
      </c>
      <c r="V5" s="7" t="str">
        <f>IFERROR(VLOOKUP($B5&amp;V$1,Import!$N:$O,2,FALSE),"")</f>
        <v/>
      </c>
      <c r="W5" s="6" t="str">
        <f>IFERROR(VLOOKUP($B5&amp;W$1,Import!$N:$O,2,FALSE),"")</f>
        <v>Spiders of Mirkwood</v>
      </c>
      <c r="X5" s="6" t="str">
        <f>IFERROR(VLOOKUP($B5&amp;X$1,Import!$N:$O,2,FALSE),"")</f>
        <v/>
      </c>
      <c r="Y5" s="6" t="str">
        <f>IFERROR(VLOOKUP(B5,IDS!$F:$G,2,FALSE),"")</f>
        <v/>
      </c>
      <c r="Z5" s="7" t="str">
        <f>IFERROR(VLOOKUP($B5&amp;Z$1,Import!$P:$Q,2,FALSE),"")</f>
        <v/>
      </c>
    </row>
    <row r="6" spans="1:26" ht="30">
      <c r="A6" s="6" t="str">
        <f>VLOOKUP(B6,IDS!$B:$D,2,FALSE)</f>
        <v>61747121-05d1-4216-8c22-06dcc958e7a3</v>
      </c>
      <c r="B6" s="6" t="str">
        <f>IDS!B6</f>
        <v>86a8cb61-a4d2-40f7-82a7-adfe5a835acd</v>
      </c>
      <c r="E6" s="6" t="str">
        <f>IDS!D6</f>
        <v>The Necromancer's Tower - 1A</v>
      </c>
      <c r="F6" s="6" t="str">
        <f>IFERROR(VLOOKUP($B6&amp;F$1,Import!$N:$O,2,FALSE),"")</f>
        <v/>
      </c>
      <c r="G6" s="6" t="str">
        <f>IFERROR(VLOOKUP($B6&amp;G$1,Import!$N:$O,2,FALSE),"")</f>
        <v>Quest</v>
      </c>
      <c r="H6" s="6" t="str">
        <f>IFERROR(VLOOKUP($B6&amp;H$1,Import!$N:$O,2,FALSE),"")</f>
        <v/>
      </c>
      <c r="I6" s="6" t="str">
        <f>IFERROR(VLOOKUP($B6&amp;I$1,Import!$N:$O,2,FALSE),"")</f>
        <v/>
      </c>
      <c r="J6" s="7" t="str">
        <f>IFERROR(VLOOKUP($B6&amp;J$1,Import!$N:$O,2,FALSE),"")</f>
        <v/>
      </c>
      <c r="K6" s="6" t="str">
        <f>IFERROR(VALUE(IFERROR(VLOOKUP($B6&amp;K$1,Import!$N:$O,2,FALSE),"")),IFERROR(VLOOKUP($B6&amp;K$1,Import!$N:$O,2,FALSE),""))</f>
        <v/>
      </c>
      <c r="L6" s="6" t="str">
        <f>IFERROR(VALUE(IFERROR(VLOOKUP($B6&amp;L$1,Import!$N:$O,2,FALSE),"")),IFERROR(VLOOKUP($B6&amp;L$1,Import!$N:$O,2,FALSE),""))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f>IF(IFERROR(VLOOKUP($B6&amp;R$1,Import!$P:$Q,2,FALSE),"")="",IFERROR(VALUE(IFERROR(VLOOKUP($B6&amp;R$1,Import!$N:$O,2,FALSE),"")),IFERROR(VLOOKUP($B6&amp;R$1,Import!$N:$O,2,FALSE),"")),IFERROR(VALUE(IFERROR(VLOOKUP($B6&amp;R$1,Import!$P:$Q,2,FALSE),"")),IFERROR(VLOOKUP($B6&amp;R$1,Import!$P:$Q,2,FALSE),"")))</f>
        <v>9</v>
      </c>
      <c r="S6" s="6">
        <f>IFERROR(VALUE(IFERROR(VLOOKUP($B6&amp;S$1,Import!$N:$O,2,FALSE),"")),IFERROR(VLOOKUP($B6&amp;S$1,Import!$N:$O,2,FALSE),""))</f>
        <v>1</v>
      </c>
      <c r="T6" s="6" t="str">
        <f>IFERROR(VALUE(IFERROR(VLOOKUP($B6&amp;T$1,Import!$N:$O,2,FALSE),"")),IFERROR(VLOOKUP($B6&amp;T$1,Import!$N:$O,2,FALSE),""))</f>
        <v/>
      </c>
      <c r="U6" s="7" t="str">
        <f>IFERROR(VLOOKUP($B6&amp;U$1,Import!$N:$O,2,FALSE),"")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V6" s="7" t="str">
        <f>IFERROR(VLOOKUP($B6&amp;V$1,Import!$N:$O,2,FALSE),"")</f>
        <v/>
      </c>
      <c r="W6" s="6" t="str">
        <f>IFERROR(VLOOKUP($B6&amp;W$1,Import!$N:$O,2,FALSE),"")</f>
        <v>Escape from Dol Guldur</v>
      </c>
      <c r="X6" s="6" t="str">
        <f>IFERROR(VLOOKUP($B6&amp;X$1,Import!$N:$O,2,FALSE),"")</f>
        <v>ssst</v>
      </c>
      <c r="Y6" s="6" t="str">
        <f>IFERROR(VLOOKUP(B6,IDS!$F:$G,2,FALSE),"")</f>
        <v>The Necromancer's Tower - 1B</v>
      </c>
      <c r="Z6" s="7" t="str">
        <f>IFERROR(VLOOKUP($B6&amp;Z$1,Import!$P:$Q,2,FALSE),"")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pageSetup paperSize="9" orientation="portrait" horizontalDpi="4294967293" verticalDpi="0" r:id="rId1"/>
  <ignoredErrors>
    <ignoredError sqref="R2" formula="1"/>
  </ignoredErrors>
</worksheet>
</file>

<file path=xl/worksheets/sheet4.xml><?xml version="1.0" encoding="utf-8"?>
<worksheet xmlns="http://schemas.openxmlformats.org/spreadsheetml/2006/main" xmlns:r="http://schemas.openxmlformats.org/officeDocument/2006/relationships">
  <sheetPr codeName="Sheet5"/>
  <dimension ref="A1:C3"/>
  <sheetViews>
    <sheetView showRowColHeaders="0" workbookViewId="0">
      <selection activeCell="A3" sqref="A3"/>
    </sheetView>
  </sheetViews>
  <sheetFormatPr defaultRowHeight="15"/>
  <cols>
    <col min="1" max="1" width="36.7109375" style="21" bestFit="1" customWidth="1"/>
    <col min="2" max="2" width="20" style="21" bestFit="1" customWidth="1"/>
    <col min="3" max="16384" width="9.140625" style="21"/>
  </cols>
  <sheetData>
    <row r="1" spans="1:3">
      <c r="A1" s="18" t="s">
        <v>13</v>
      </c>
      <c r="B1" s="19" t="s">
        <v>115</v>
      </c>
      <c r="C1" s="20" t="s">
        <v>56</v>
      </c>
    </row>
    <row r="2" spans="1:3">
      <c r="A2" s="23" t="s">
        <v>113</v>
      </c>
      <c r="B2" s="23" t="s">
        <v>114</v>
      </c>
      <c r="C2" s="23" t="s">
        <v>4</v>
      </c>
    </row>
    <row r="3" spans="1:3">
      <c r="A3" s="21" t="s">
        <v>80</v>
      </c>
      <c r="B3" s="21" t="s">
        <v>116</v>
      </c>
      <c r="C3" s="22" t="s">
        <v>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2"/>
  <dimension ref="A1:Z6"/>
  <sheetViews>
    <sheetView showRowColHeaders="0" tabSelected="1" workbookViewId="0">
      <pane xSplit="5" ySplit="1" topLeftCell="F2" activePane="bottomRight" state="frozen"/>
      <selection pane="topRight" activeCell="F1" sqref="F1"/>
      <selection pane="bottomLeft" activeCell="A2" sqref="A2"/>
      <selection pane="bottomRight" activeCell="A2" sqref="A2"/>
    </sheetView>
  </sheetViews>
  <sheetFormatPr defaultRowHeight="12"/>
  <cols>
    <col min="1" max="1" width="30.7109375" style="14" bestFit="1" customWidth="1"/>
    <col min="2" max="2" width="31.42578125" style="14" customWidth="1"/>
    <col min="3" max="4" width="3.140625" style="14" bestFit="1" customWidth="1"/>
    <col min="5" max="5" width="32.28515625" style="14" customWidth="1"/>
    <col min="6" max="6" width="3.140625" style="14" bestFit="1" customWidth="1"/>
    <col min="7" max="7" width="8.7109375" style="14" bestFit="1" customWidth="1"/>
    <col min="8" max="8" width="8.42578125" style="14" bestFit="1" customWidth="1"/>
    <col min="9" max="9" width="26.5703125" style="15" customWidth="1"/>
    <col min="10" max="10" width="31" style="15" customWidth="1"/>
    <col min="11" max="19" width="3.140625" style="14" bestFit="1" customWidth="1"/>
    <col min="20" max="20" width="9.5703125" style="14" customWidth="1"/>
    <col min="21" max="21" width="46" style="15" customWidth="1"/>
    <col min="22" max="22" width="45.28515625" style="15" customWidth="1"/>
    <col min="23" max="23" width="33.5703125" style="14" customWidth="1"/>
    <col min="24" max="24" width="7" style="14" bestFit="1" customWidth="1"/>
    <col min="25" max="25" width="32" style="14" customWidth="1"/>
    <col min="26" max="26" width="62" style="15" customWidth="1"/>
    <col min="27" max="16384" width="9.140625" style="14"/>
  </cols>
  <sheetData>
    <row r="1" spans="1:26" s="13" customFormat="1" ht="79.5">
      <c r="A1" s="11" t="s">
        <v>46</v>
      </c>
      <c r="B1" s="11" t="s">
        <v>50</v>
      </c>
      <c r="C1" s="17" t="s">
        <v>112</v>
      </c>
      <c r="D1" s="17" t="s">
        <v>55</v>
      </c>
      <c r="E1" s="11" t="s">
        <v>48</v>
      </c>
      <c r="F1" s="17" t="s">
        <v>18</v>
      </c>
      <c r="G1" s="11" t="s">
        <v>14</v>
      </c>
      <c r="H1" s="11" t="s">
        <v>15</v>
      </c>
      <c r="I1" s="12" t="s">
        <v>24</v>
      </c>
      <c r="J1" s="12" t="s">
        <v>27</v>
      </c>
      <c r="K1" s="17" t="s">
        <v>16</v>
      </c>
      <c r="L1" s="17" t="s">
        <v>17</v>
      </c>
      <c r="M1" s="17" t="s">
        <v>28</v>
      </c>
      <c r="N1" s="17" t="s">
        <v>22</v>
      </c>
      <c r="O1" s="17" t="s">
        <v>20</v>
      </c>
      <c r="P1" s="17" t="s">
        <v>21</v>
      </c>
      <c r="Q1" s="17" t="s">
        <v>23</v>
      </c>
      <c r="R1" s="17" t="s">
        <v>29</v>
      </c>
      <c r="S1" s="17" t="s">
        <v>31</v>
      </c>
      <c r="T1" s="17" t="s">
        <v>32</v>
      </c>
      <c r="U1" s="12" t="s">
        <v>25</v>
      </c>
      <c r="V1" s="12" t="s">
        <v>26</v>
      </c>
      <c r="W1" s="11" t="s">
        <v>30</v>
      </c>
      <c r="X1" s="11" t="s">
        <v>19</v>
      </c>
      <c r="Y1" s="11" t="s">
        <v>49</v>
      </c>
      <c r="Z1" s="12" t="s">
        <v>25</v>
      </c>
    </row>
    <row r="2" spans="1:26" ht="72">
      <c r="A2" s="14" t="s">
        <v>80</v>
      </c>
      <c r="B2" s="14" t="s">
        <v>81</v>
      </c>
      <c r="E2" s="14" t="s">
        <v>86</v>
      </c>
      <c r="F2" s="14" t="s">
        <v>35</v>
      </c>
      <c r="G2" s="14" t="s">
        <v>33</v>
      </c>
      <c r="H2" s="14" t="s">
        <v>34</v>
      </c>
      <c r="I2" s="15" t="s">
        <v>91</v>
      </c>
      <c r="J2" s="15" t="s">
        <v>92</v>
      </c>
      <c r="K2" s="14">
        <v>12</v>
      </c>
      <c r="L2" s="14" t="s">
        <v>111</v>
      </c>
      <c r="M2" s="14" t="s">
        <v>111</v>
      </c>
      <c r="N2" s="14">
        <v>2</v>
      </c>
      <c r="O2" s="14">
        <v>3</v>
      </c>
      <c r="P2" s="14">
        <v>2</v>
      </c>
      <c r="Q2" s="14">
        <v>5</v>
      </c>
      <c r="R2" s="14" t="s">
        <v>111</v>
      </c>
      <c r="S2" s="14">
        <v>1</v>
      </c>
      <c r="T2" s="14" t="s">
        <v>111</v>
      </c>
      <c r="U2" s="15" t="s">
        <v>94</v>
      </c>
      <c r="V2" s="15" t="s">
        <v>111</v>
      </c>
      <c r="W2" s="14" t="s">
        <v>111</v>
      </c>
      <c r="X2" s="14" t="s">
        <v>111</v>
      </c>
      <c r="Y2" s="14" t="s">
        <v>111</v>
      </c>
      <c r="Z2" s="15" t="s">
        <v>111</v>
      </c>
    </row>
    <row r="3" spans="1:26" ht="24">
      <c r="A3" s="14" t="s">
        <v>80</v>
      </c>
      <c r="B3" s="14" t="s">
        <v>82</v>
      </c>
      <c r="E3" s="14" t="s">
        <v>87</v>
      </c>
      <c r="F3" s="14" t="s">
        <v>111</v>
      </c>
      <c r="G3" s="14" t="s">
        <v>41</v>
      </c>
      <c r="H3" s="14" t="s">
        <v>39</v>
      </c>
      <c r="I3" s="15" t="s">
        <v>95</v>
      </c>
      <c r="J3" s="15" t="s">
        <v>96</v>
      </c>
      <c r="K3" s="14">
        <v>1</v>
      </c>
      <c r="L3" s="14" t="s">
        <v>111</v>
      </c>
      <c r="M3" s="14" t="s">
        <v>111</v>
      </c>
      <c r="N3" s="14" t="s">
        <v>111</v>
      </c>
      <c r="O3" s="14" t="s">
        <v>111</v>
      </c>
      <c r="P3" s="14" t="s">
        <v>111</v>
      </c>
      <c r="Q3" s="14" t="s">
        <v>111</v>
      </c>
      <c r="R3" s="14" t="s">
        <v>111</v>
      </c>
      <c r="S3" s="14">
        <v>2</v>
      </c>
      <c r="T3" s="14" t="s">
        <v>111</v>
      </c>
      <c r="U3" s="15" t="s">
        <v>97</v>
      </c>
      <c r="V3" s="15" t="s">
        <v>111</v>
      </c>
      <c r="W3" s="14" t="s">
        <v>111</v>
      </c>
      <c r="X3" s="14" t="s">
        <v>111</v>
      </c>
      <c r="Y3" s="14" t="s">
        <v>111</v>
      </c>
      <c r="Z3" s="15" t="s">
        <v>111</v>
      </c>
    </row>
    <row r="4" spans="1:26" ht="24">
      <c r="A4" s="14" t="s">
        <v>80</v>
      </c>
      <c r="B4" s="14" t="s">
        <v>83</v>
      </c>
      <c r="E4" s="14" t="s">
        <v>88</v>
      </c>
      <c r="F4" s="14" t="s">
        <v>111</v>
      </c>
      <c r="G4" s="14" t="s">
        <v>42</v>
      </c>
      <c r="H4" s="14" t="s">
        <v>111</v>
      </c>
      <c r="I4" s="15" t="s">
        <v>98</v>
      </c>
      <c r="J4" s="15" t="s">
        <v>111</v>
      </c>
      <c r="K4" s="14" t="s">
        <v>111</v>
      </c>
      <c r="L4" s="14">
        <v>32</v>
      </c>
      <c r="M4" s="14">
        <v>3</v>
      </c>
      <c r="N4" s="14" t="s">
        <v>111</v>
      </c>
      <c r="O4" s="14">
        <v>5</v>
      </c>
      <c r="P4" s="14">
        <v>2</v>
      </c>
      <c r="Q4" s="14">
        <v>9</v>
      </c>
      <c r="R4" s="14" t="s">
        <v>111</v>
      </c>
      <c r="S4" s="14">
        <v>1</v>
      </c>
      <c r="T4" s="14" t="s">
        <v>111</v>
      </c>
      <c r="U4" s="15" t="s">
        <v>101</v>
      </c>
      <c r="V4" s="15" t="s">
        <v>102</v>
      </c>
      <c r="W4" s="14" t="s">
        <v>103</v>
      </c>
      <c r="X4" s="14" t="s">
        <v>111</v>
      </c>
      <c r="Y4" s="14" t="s">
        <v>111</v>
      </c>
      <c r="Z4" s="15" t="s">
        <v>111</v>
      </c>
    </row>
    <row r="5" spans="1:26" ht="24">
      <c r="A5" s="14" t="s">
        <v>80</v>
      </c>
      <c r="B5" s="14" t="s">
        <v>84</v>
      </c>
      <c r="E5" s="14" t="s">
        <v>89</v>
      </c>
      <c r="F5" s="14" t="s">
        <v>111</v>
      </c>
      <c r="G5" s="14" t="s">
        <v>43</v>
      </c>
      <c r="H5" s="14" t="s">
        <v>111</v>
      </c>
      <c r="I5" s="15" t="s">
        <v>104</v>
      </c>
      <c r="J5" s="15" t="s">
        <v>111</v>
      </c>
      <c r="K5" s="14" t="s">
        <v>111</v>
      </c>
      <c r="L5" s="14" t="s">
        <v>111</v>
      </c>
      <c r="M5" s="14">
        <v>2</v>
      </c>
      <c r="N5" s="14" t="s">
        <v>111</v>
      </c>
      <c r="O5" s="14" t="s">
        <v>111</v>
      </c>
      <c r="P5" s="14" t="s">
        <v>111</v>
      </c>
      <c r="Q5" s="14" t="s">
        <v>111</v>
      </c>
      <c r="R5" s="14">
        <v>2</v>
      </c>
      <c r="S5" s="14">
        <v>2</v>
      </c>
      <c r="T5" s="14" t="s">
        <v>111</v>
      </c>
      <c r="U5" s="15" t="s">
        <v>105</v>
      </c>
      <c r="V5" s="15" t="s">
        <v>111</v>
      </c>
      <c r="W5" s="14" t="s">
        <v>103</v>
      </c>
      <c r="X5" s="14" t="s">
        <v>111</v>
      </c>
      <c r="Y5" s="14" t="s">
        <v>111</v>
      </c>
      <c r="Z5" s="15" t="s">
        <v>111</v>
      </c>
    </row>
    <row r="6" spans="1:26" ht="108">
      <c r="A6" s="14" t="s">
        <v>80</v>
      </c>
      <c r="B6" s="14" t="s">
        <v>85</v>
      </c>
      <c r="E6" s="14" t="s">
        <v>90</v>
      </c>
      <c r="F6" s="14" t="s">
        <v>111</v>
      </c>
      <c r="G6" s="14" t="s">
        <v>44</v>
      </c>
      <c r="H6" s="14" t="s">
        <v>111</v>
      </c>
      <c r="I6" s="15" t="s">
        <v>111</v>
      </c>
      <c r="J6" s="15" t="s">
        <v>111</v>
      </c>
      <c r="K6" s="14" t="s">
        <v>111</v>
      </c>
      <c r="L6" s="14" t="s">
        <v>111</v>
      </c>
      <c r="M6" s="14" t="s">
        <v>111</v>
      </c>
      <c r="N6" s="14" t="s">
        <v>111</v>
      </c>
      <c r="O6" s="14" t="s">
        <v>111</v>
      </c>
      <c r="P6" s="14" t="s">
        <v>111</v>
      </c>
      <c r="Q6" s="14" t="s">
        <v>111</v>
      </c>
      <c r="R6" s="14">
        <v>9</v>
      </c>
      <c r="S6" s="14">
        <v>1</v>
      </c>
      <c r="T6" s="14" t="s">
        <v>111</v>
      </c>
      <c r="U6" s="15" t="s">
        <v>106</v>
      </c>
      <c r="V6" s="15" t="s">
        <v>111</v>
      </c>
      <c r="W6" s="14" t="s">
        <v>107</v>
      </c>
      <c r="X6" s="14" t="s">
        <v>108</v>
      </c>
      <c r="Y6" s="14" t="s">
        <v>109</v>
      </c>
      <c r="Z6" s="15" t="s">
        <v>110</v>
      </c>
    </row>
  </sheetData>
  <pageMargins left="0.7" right="0.7" top="0.75" bottom="0.75" header="0.3" footer="0.3"/>
  <pageSetup paperSize="9"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sheetPr codeName="Sheet7"/>
  <dimension ref="B2:C12"/>
  <sheetViews>
    <sheetView showGridLines="0" showRowColHeaders="0" workbookViewId="0"/>
  </sheetViews>
  <sheetFormatPr defaultRowHeight="15"/>
  <cols>
    <col min="2" max="2" width="4.85546875" bestFit="1" customWidth="1"/>
    <col min="3" max="3" width="12.140625" bestFit="1" customWidth="1"/>
  </cols>
  <sheetData>
    <row r="2" spans="2:3">
      <c r="B2" s="16" t="s">
        <v>58</v>
      </c>
      <c r="C2" t="s">
        <v>59</v>
      </c>
    </row>
    <row r="3" spans="2:3">
      <c r="B3" s="6" t="s">
        <v>60</v>
      </c>
      <c r="C3" t="s">
        <v>61</v>
      </c>
    </row>
    <row r="4" spans="2:3">
      <c r="B4" s="16" t="s">
        <v>62</v>
      </c>
      <c r="C4" t="s">
        <v>63</v>
      </c>
    </row>
    <row r="5" spans="2:3">
      <c r="B5" s="16" t="s">
        <v>64</v>
      </c>
      <c r="C5" t="s">
        <v>65</v>
      </c>
    </row>
    <row r="6" spans="2:3">
      <c r="B6" s="16" t="s">
        <v>66</v>
      </c>
      <c r="C6" t="s">
        <v>67</v>
      </c>
    </row>
    <row r="7" spans="2:3">
      <c r="B7" s="16" t="s">
        <v>68</v>
      </c>
      <c r="C7" t="s">
        <v>69</v>
      </c>
    </row>
    <row r="8" spans="2:3">
      <c r="B8" s="16" t="s">
        <v>70</v>
      </c>
      <c r="C8" t="s">
        <v>71</v>
      </c>
    </row>
    <row r="9" spans="2:3">
      <c r="B9" s="16" t="s">
        <v>72</v>
      </c>
      <c r="C9" t="s">
        <v>73</v>
      </c>
    </row>
    <row r="10" spans="2:3">
      <c r="B10" s="16" t="s">
        <v>74</v>
      </c>
      <c r="C10" t="s">
        <v>75</v>
      </c>
    </row>
    <row r="11" spans="2:3">
      <c r="B11" s="16" t="s">
        <v>76</v>
      </c>
      <c r="C11" t="s">
        <v>77</v>
      </c>
    </row>
    <row r="12" spans="2:3">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2014-06-30T14:06:39Z</dcterms:created>
  <dcterms:modified xsi:type="dcterms:W3CDTF">2014-07-09T07:12:28Z</dcterms:modified>
</cp:coreProperties>
</file>